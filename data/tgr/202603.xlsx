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【提出用】3月度TGR全体PL※編集不要" sheetId="1" r:id="rId5"/>
    <sheet state="visible" name="3月度　対予算（旅館）" sheetId="2" r:id="rId6"/>
    <sheet state="visible" name="3月度　対見込み（旅館）" sheetId="3" r:id="rId7"/>
    <sheet state="visible" name="3月度　対見込み（ゴルフ）" sheetId="4" r:id="rId8"/>
    <sheet state="visible" name="3月度　対予算（ゴルフ）" sheetId="5" r:id="rId9"/>
    <sheet state="hidden" name="当月定例会最終版（旅館）" sheetId="6" r:id="rId10"/>
  </sheets>
  <definedNames>
    <definedName name="TemptableForExpo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9">
      <text>
        <t xml:space="preserve">TGRO･TGRAのインフォマート導入費用100千円×2を旅館とゴルフで按分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0">
      <text>
        <t xml:space="preserve">トライアルオープン6,808,000円含む</t>
      </text>
    </comment>
    <comment authorId="0" ref="E21">
      <text>
        <t xml:space="preserve">トライアルOP
8,537,044円含む
</t>
      </text>
    </comment>
    <comment authorId="0" ref="E44">
      <text>
        <t xml:space="preserve">健診費用25万円
制服費用月ズレ7万円（4月）
</t>
      </text>
    </comment>
    <comment authorId="0" ref="D48">
      <text>
        <t xml:space="preserve">No.9H橋脚調査費65万円</t>
      </text>
    </comment>
    <comment authorId="0" ref="E58">
      <text>
        <t xml:space="preserve">トライアルOP
8,692,708円含む</t>
      </text>
    </comment>
    <comment authorId="0" ref="E74">
      <text>
        <t xml:space="preserve">ハウス内消火器交換月ズレ
327,000円（保守管理費・12月）</t>
      </text>
    </comment>
    <comment authorId="0" ref="D98">
      <text>
        <t xml:space="preserve">コース管理確認
</t>
      </text>
    </comment>
    <comment authorId="0" ref="E98">
      <text>
        <t xml:space="preserve">コース管理確認
</t>
      </text>
    </comment>
    <comment authorId="0" ref="F98">
      <text>
        <t xml:space="preserve">コース管理確認
</t>
      </text>
    </comment>
    <comment authorId="0" ref="E124">
      <text>
        <t xml:space="preserve">テクノクラフト社解約済みのため
▲179,407円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0">
      <text>
        <t xml:space="preserve">トライアルオープン9百万円</t>
      </text>
    </comment>
    <comment authorId="0" ref="E21">
      <text>
        <t xml:space="preserve">トライアルOP
8,537,044円含む
</t>
      </text>
    </comment>
    <comment authorId="0" ref="E44">
      <text>
        <t xml:space="preserve">健診費用25万円
制服費用月ズレ7万円（4月）
</t>
      </text>
    </comment>
    <comment authorId="0" ref="D48">
      <text>
        <t xml:space="preserve">No.9H橋脚調査費65万円</t>
      </text>
    </comment>
    <comment authorId="0" ref="E58">
      <text>
        <t xml:space="preserve">トライアルOP
8,692,708円含む</t>
      </text>
    </comment>
    <comment authorId="0" ref="E74">
      <text>
        <t xml:space="preserve">ハウス内消火器交換月ズレ
327,000円（保守管理費・12月）</t>
      </text>
    </comment>
    <comment authorId="0" ref="D98">
      <text>
        <t xml:space="preserve">コース管理確認
</t>
      </text>
    </comment>
    <comment authorId="0" ref="E98">
      <text>
        <t xml:space="preserve">コース管理確認
</t>
      </text>
    </comment>
    <comment authorId="0" ref="F98">
      <text>
        <t xml:space="preserve">コース管理確認
</t>
      </text>
    </comment>
    <comment authorId="0" ref="E124">
      <text>
        <t xml:space="preserve">テクノクラフト社解約済みのため
▲179,407円
</t>
      </text>
    </comment>
  </commentList>
</comments>
</file>

<file path=xl/sharedStrings.xml><?xml version="1.0" encoding="utf-8"?>
<sst xmlns="http://schemas.openxmlformats.org/spreadsheetml/2006/main" count="968" uniqueCount="126">
  <si>
    <t>2026.3月度（速報）</t>
  </si>
  <si>
    <t xml:space="preserve">九重久織亭		</t>
  </si>
  <si>
    <t>九重虎の湯</t>
  </si>
  <si>
    <t>宮若虎の湯</t>
  </si>
  <si>
    <t>小塚久の葉</t>
  </si>
  <si>
    <t>仙石原久の葉</t>
  </si>
  <si>
    <t>古民家煉り</t>
  </si>
  <si>
    <t>九重PJ</t>
  </si>
  <si>
    <t>Tsmart</t>
  </si>
  <si>
    <t>旅館事業合計</t>
  </si>
  <si>
    <t>本社旅館</t>
  </si>
  <si>
    <t>若宮コース</t>
  </si>
  <si>
    <t>大分コース</t>
  </si>
  <si>
    <t>阿蘇コース</t>
  </si>
  <si>
    <t>ゴルフ事業合計</t>
  </si>
  <si>
    <t>本社ゴルフ</t>
  </si>
  <si>
    <t>TGR全体</t>
  </si>
  <si>
    <t>メンバー</t>
  </si>
  <si>
    <t>ビジター</t>
  </si>
  <si>
    <t>来場者数計</t>
  </si>
  <si>
    <t>販売客室数</t>
  </si>
  <si>
    <t>客室稼働率</t>
  </si>
  <si>
    <t>ADR（円）</t>
  </si>
  <si>
    <t>RevPAR（円）</t>
  </si>
  <si>
    <t>売上高合計</t>
  </si>
  <si>
    <t>売上原価</t>
  </si>
  <si>
    <t>原価率</t>
  </si>
  <si>
    <t>売上総利益</t>
  </si>
  <si>
    <t>人件費</t>
  </si>
  <si>
    <t>運営費</t>
  </si>
  <si>
    <t>固定費</t>
  </si>
  <si>
    <t>本部費</t>
  </si>
  <si>
    <t>販売管理費</t>
  </si>
  <si>
    <t>営業利益</t>
  </si>
  <si>
    <t>利益率</t>
  </si>
  <si>
    <t>減価償却費</t>
  </si>
  <si>
    <t>EBITDA</t>
  </si>
  <si>
    <t>飲食売上高</t>
  </si>
  <si>
    <t>旅館売上高</t>
  </si>
  <si>
    <t>売店売上高</t>
  </si>
  <si>
    <t>予算</t>
  </si>
  <si>
    <t>実績</t>
  </si>
  <si>
    <t>役員報酬</t>
  </si>
  <si>
    <t>給与手当</t>
  </si>
  <si>
    <t>雑給</t>
  </si>
  <si>
    <t>出向人件費</t>
  </si>
  <si>
    <t>見込み</t>
  </si>
  <si>
    <t>賞与引当金繰入</t>
  </si>
  <si>
    <t>法定福利費</t>
  </si>
  <si>
    <t>福利厚生費</t>
  </si>
  <si>
    <t>派遣外注費</t>
  </si>
  <si>
    <t>委託外注費</t>
  </si>
  <si>
    <t>清掃費（外注）</t>
  </si>
  <si>
    <t>業務委託費</t>
  </si>
  <si>
    <t>顧問料</t>
  </si>
  <si>
    <t>広告宣伝費</t>
  </si>
  <si>
    <t>販売促進費</t>
  </si>
  <si>
    <t>送客手数料</t>
  </si>
  <si>
    <t>送客手数料（旅行会社）</t>
  </si>
  <si>
    <t>クレジット手数料</t>
  </si>
  <si>
    <t>水道光熱費</t>
  </si>
  <si>
    <t>修繕引当金繰入</t>
  </si>
  <si>
    <t>修繕費</t>
  </si>
  <si>
    <t>特別修繕引当金繰入</t>
  </si>
  <si>
    <t>備品消耗品費</t>
  </si>
  <si>
    <t>客用消耗品費</t>
  </si>
  <si>
    <t>クリーニング費</t>
  </si>
  <si>
    <t>荷造運賃</t>
  </si>
  <si>
    <t>接待交際費</t>
  </si>
  <si>
    <t>通信費</t>
  </si>
  <si>
    <t>租税公課</t>
  </si>
  <si>
    <t>車両費</t>
  </si>
  <si>
    <t>旅費交通費</t>
  </si>
  <si>
    <t>保険料</t>
  </si>
  <si>
    <t>清掃費</t>
  </si>
  <si>
    <t>事務用品費</t>
  </si>
  <si>
    <t>温泉使用料</t>
  </si>
  <si>
    <t>支払手数料</t>
  </si>
  <si>
    <t>採用費</t>
  </si>
  <si>
    <t>教育費</t>
  </si>
  <si>
    <t>雑費</t>
  </si>
  <si>
    <t>寄付金</t>
  </si>
  <si>
    <t>地代家賃</t>
  </si>
  <si>
    <t>リース料</t>
  </si>
  <si>
    <t>システム利用料</t>
  </si>
  <si>
    <t>保守管理費</t>
  </si>
  <si>
    <t>諸会費</t>
  </si>
  <si>
    <t>営業利益（見込み）</t>
  </si>
  <si>
    <t>予算比</t>
  </si>
  <si>
    <t>本部費の端数は宮若虎の湯で調整</t>
  </si>
  <si>
    <t>営業利益（予算）</t>
  </si>
  <si>
    <t>人時</t>
  </si>
  <si>
    <t>従業員</t>
  </si>
  <si>
    <t>正社員</t>
  </si>
  <si>
    <t>AS</t>
  </si>
  <si>
    <t>タイミー</t>
  </si>
  <si>
    <t>来場客数</t>
  </si>
  <si>
    <t>来場組数</t>
  </si>
  <si>
    <t>稼働率</t>
  </si>
  <si>
    <t>客単価</t>
  </si>
  <si>
    <t>平均バッグ数</t>
  </si>
  <si>
    <t>レストラン売上高</t>
  </si>
  <si>
    <t>ゴルフ売上高</t>
  </si>
  <si>
    <t>宿泊売上高</t>
  </si>
  <si>
    <t>その他売上</t>
  </si>
  <si>
    <t>キャンセル料</t>
  </si>
  <si>
    <t>レストラン原価</t>
  </si>
  <si>
    <t>売店原価</t>
  </si>
  <si>
    <t>外注費</t>
  </si>
  <si>
    <t>新聞図書費</t>
  </si>
  <si>
    <t>コース管理費</t>
  </si>
  <si>
    <t>カート管理費</t>
  </si>
  <si>
    <t>会議費</t>
  </si>
  <si>
    <t>寄附金</t>
  </si>
  <si>
    <t>繰延資産償却</t>
  </si>
  <si>
    <t>本部費の端数は若宮で調整</t>
  </si>
  <si>
    <t>見込み比</t>
  </si>
  <si>
    <t>九重久織亭</t>
  </si>
  <si>
    <t xml:space="preserve">九重虎乃湯 </t>
  </si>
  <si>
    <t>合計</t>
  </si>
  <si>
    <t>食割合（予約実績）</t>
  </si>
  <si>
    <t>食材原価</t>
  </si>
  <si>
    <t xml:space="preserve">　原価率</t>
  </si>
  <si>
    <t>●追加経費</t>
  </si>
  <si>
    <t>販管費合計</t>
  </si>
  <si>
    <t>営業利益（昨年）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</si>
</sst>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#,##0;&quot;▲ &quot;#,##0"/>
    <numFmt numFmtId="166" formatCode="0.00_);[Red]\(0.00\)"/>
    <numFmt numFmtId="167" formatCode="#,##0.000;[Red]\-#,##0.000"/>
    <numFmt numFmtId="168" formatCode="#,##0.000;&quot;▲ &quot;#,##0.000"/>
    <numFmt numFmtId="169" formatCode="#,##0_);[Red]\-#,##0"/>
  </numFmts>
  <fonts count="23">
    <font>
      <sz val="11.0"/>
      <color theme="1"/>
      <name val="Calibri"/>
      <scheme val="minor"/>
    </font>
    <font>
      <b/>
      <sz val="11.0"/>
      <color theme="1"/>
      <name val="游ゴシック"/>
    </font>
    <font>
      <b/>
      <sz val="11.0"/>
      <color theme="0"/>
      <name val="游ゴシック"/>
    </font>
    <font>
      <sz val="11.0"/>
      <color theme="1"/>
      <name val="游ゴシック"/>
    </font>
    <font>
      <sz val="11.0"/>
      <color rgb="FF0000FF"/>
      <name val="游ゴシック"/>
    </font>
    <font>
      <sz val="11.0"/>
      <color theme="1"/>
      <name val="Calibri"/>
    </font>
    <font>
      <b/>
      <sz val="11.0"/>
      <color rgb="FF0000FF"/>
      <name val="游ゴシック"/>
    </font>
    <font>
      <sz val="11.0"/>
      <color rgb="FFFF0000"/>
      <name val="游ゴシック"/>
    </font>
    <font>
      <b/>
      <sz val="11.0"/>
      <color rgb="FFFF0000"/>
      <name val="游ゴシック"/>
    </font>
    <font>
      <sz val="11.0"/>
      <color theme="0"/>
      <name val="游ゴシック"/>
    </font>
    <font>
      <b/>
      <sz val="16.0"/>
      <color theme="1"/>
      <name val="MS PGothic"/>
    </font>
    <font>
      <b/>
      <sz val="11.0"/>
      <color theme="1"/>
      <name val="MS PGothic"/>
    </font>
    <font>
      <b/>
      <sz val="10.0"/>
      <color rgb="FF000000"/>
      <name val="MS PGothic"/>
    </font>
    <font>
      <sz val="10.0"/>
      <color rgb="FF366092"/>
      <name val="MS PGothic"/>
    </font>
    <font>
      <b/>
      <sz val="10.0"/>
      <color theme="1"/>
      <name val="MS PGothic"/>
    </font>
    <font>
      <sz val="10.0"/>
      <color rgb="FF000000"/>
      <name val="MS PGothic"/>
    </font>
    <font>
      <sz val="10.0"/>
      <color theme="1"/>
      <name val="MS PGothic"/>
    </font>
    <font>
      <b/>
      <sz val="11.0"/>
      <color rgb="FF000000"/>
      <name val="MS PGothic"/>
    </font>
    <font>
      <sz val="10.0"/>
      <color rgb="FFFF0000"/>
      <name val="MS PGothic"/>
    </font>
    <font>
      <sz val="11.0"/>
      <color theme="1"/>
      <name val="MS PGothic"/>
    </font>
    <font>
      <sz val="11.0"/>
      <color rgb="FF000000"/>
      <name val="MS PGothic"/>
    </font>
    <font>
      <b/>
      <sz val="11.0"/>
      <color rgb="FFFF0000"/>
      <name val="MS PGothic"/>
    </font>
    <font>
      <sz val="11.0"/>
      <color rgb="FFFF0000"/>
      <name val="MS PGothic"/>
    </font>
  </fonts>
  <fills count="1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FFCCFF"/>
        <bgColor rgb="FFFFCCFF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rgb="FFD9D9D9"/>
        <bgColor rgb="FFD9D9D9"/>
      </patternFill>
    </fill>
    <fill>
      <patternFill patternType="solid">
        <fgColor rgb="FFDBE5F1"/>
        <bgColor rgb="FFDBE5F1"/>
      </patternFill>
    </fill>
    <fill>
      <patternFill patternType="solid">
        <fgColor rgb="FFCCCCCC"/>
        <bgColor rgb="FFCCCCCC"/>
      </patternFill>
    </fill>
    <fill>
      <patternFill patternType="solid">
        <fgColor rgb="FFFFFF99"/>
        <bgColor rgb="FFFFFF99"/>
      </patternFill>
    </fill>
    <fill>
      <patternFill patternType="solid">
        <fgColor rgb="FFC9DAF8"/>
        <bgColor rgb="FFC9DAF8"/>
      </patternFill>
    </fill>
  </fills>
  <borders count="4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 style="hair">
        <color rgb="FF000000"/>
      </bottom>
    </border>
    <border>
      <left/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/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  <bottom/>
    </border>
    <border>
      <left style="medium">
        <color rgb="FF000000"/>
      </left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medium">
        <color rgb="FF000000"/>
      </bottom>
    </border>
    <border>
      <left/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/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center" wrapText="0"/>
    </xf>
    <xf borderId="0" fillId="0" fontId="1" numFmtId="38" xfId="0" applyAlignment="1" applyFont="1" applyNumberFormat="1">
      <alignment horizontal="center" vertical="center"/>
    </xf>
    <xf borderId="1" fillId="2" fontId="2" numFmtId="38" xfId="0" applyAlignment="1" applyBorder="1" applyFill="1" applyFont="1" applyNumberFormat="1">
      <alignment horizontal="left" vertical="center"/>
    </xf>
    <xf borderId="2" fillId="2" fontId="2" numFmtId="38" xfId="0" applyAlignment="1" applyBorder="1" applyFont="1" applyNumberFormat="1">
      <alignment horizontal="center" vertical="center"/>
    </xf>
    <xf borderId="0" fillId="0" fontId="3" numFmtId="38" xfId="0" applyAlignment="1" applyFont="1" applyNumberFormat="1">
      <alignment vertical="center"/>
    </xf>
    <xf borderId="1" fillId="3" fontId="4" numFmtId="38" xfId="0" applyAlignment="1" applyBorder="1" applyFill="1" applyFont="1" applyNumberFormat="1">
      <alignment vertical="center"/>
    </xf>
    <xf borderId="3" fillId="3" fontId="3" numFmtId="38" xfId="0" applyAlignment="1" applyBorder="1" applyFont="1" applyNumberFormat="1">
      <alignment vertical="center"/>
    </xf>
    <xf borderId="3" fillId="3" fontId="4" numFmtId="38" xfId="0" applyAlignment="1" applyBorder="1" applyFont="1" applyNumberFormat="1">
      <alignment vertical="center"/>
    </xf>
    <xf borderId="1" fillId="3" fontId="4" numFmtId="164" xfId="0" applyAlignment="1" applyBorder="1" applyFont="1" applyNumberFormat="1">
      <alignment vertical="center"/>
    </xf>
    <xf borderId="3" fillId="3" fontId="4" numFmtId="164" xfId="0" applyAlignment="1" applyBorder="1" applyFont="1" applyNumberFormat="1">
      <alignment vertical="center"/>
    </xf>
    <xf borderId="0" fillId="0" fontId="3" numFmtId="40" xfId="0" applyAlignment="1" applyFont="1" applyNumberFormat="1">
      <alignment vertical="center"/>
    </xf>
    <xf borderId="1" fillId="3" fontId="4" numFmtId="40" xfId="0" applyAlignment="1" applyBorder="1" applyFont="1" applyNumberFormat="1">
      <alignment vertical="center"/>
    </xf>
    <xf borderId="3" fillId="3" fontId="3" numFmtId="40" xfId="0" applyAlignment="1" applyBorder="1" applyFont="1" applyNumberFormat="1">
      <alignment vertical="center"/>
    </xf>
    <xf borderId="3" fillId="3" fontId="4" numFmtId="40" xfId="0" applyAlignment="1" applyBorder="1" applyFont="1" applyNumberFormat="1">
      <alignment vertical="center"/>
    </xf>
    <xf borderId="0" fillId="0" fontId="5" numFmtId="40" xfId="0" applyAlignment="1" applyFont="1" applyNumberFormat="1">
      <alignment vertical="center"/>
    </xf>
    <xf borderId="1" fillId="4" fontId="6" numFmtId="38" xfId="0" applyAlignment="1" applyBorder="1" applyFill="1" applyFont="1" applyNumberFormat="1">
      <alignment vertical="center"/>
    </xf>
    <xf borderId="3" fillId="4" fontId="6" numFmtId="38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borderId="1" fillId="4" fontId="8" numFmtId="164" xfId="0" applyAlignment="1" applyBorder="1" applyFont="1" applyNumberFormat="1">
      <alignment vertical="center"/>
    </xf>
    <xf borderId="3" fillId="4" fontId="8" numFmtId="164" xfId="0" applyAlignment="1" applyBorder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1" fillId="4" fontId="6" numFmtId="165" xfId="0" applyAlignment="1" applyBorder="1" applyFont="1" applyNumberFormat="1">
      <alignment vertical="center"/>
    </xf>
    <xf borderId="3" fillId="4" fontId="6" numFmtId="165" xfId="0" applyAlignment="1" applyBorder="1" applyFont="1" applyNumberFormat="1">
      <alignment vertical="center"/>
    </xf>
    <xf borderId="3" fillId="0" fontId="3" numFmtId="165" xfId="0" applyAlignment="1" applyBorder="1" applyFont="1" applyNumberFormat="1">
      <alignment vertical="center"/>
    </xf>
    <xf borderId="1" fillId="5" fontId="6" numFmtId="165" xfId="0" applyAlignment="1" applyBorder="1" applyFill="1" applyFont="1" applyNumberFormat="1">
      <alignment vertical="center"/>
    </xf>
    <xf borderId="3" fillId="5" fontId="6" numFmtId="165" xfId="0" applyAlignment="1" applyBorder="1" applyFont="1" applyNumberFormat="1">
      <alignment vertical="center"/>
    </xf>
    <xf borderId="0" fillId="0" fontId="8" numFmtId="164" xfId="0" applyAlignment="1" applyFont="1" applyNumberFormat="1">
      <alignment vertical="center"/>
    </xf>
    <xf borderId="1" fillId="3" fontId="8" numFmtId="164" xfId="0" applyAlignment="1" applyBorder="1" applyFont="1" applyNumberFormat="1">
      <alignment vertical="center"/>
    </xf>
    <xf borderId="4" fillId="3" fontId="8" numFmtId="164" xfId="0" applyAlignment="1" applyBorder="1" applyFont="1" applyNumberFormat="1">
      <alignment vertical="center"/>
    </xf>
    <xf borderId="0" fillId="0" fontId="1" numFmtId="165" xfId="0" applyAlignment="1" applyFont="1" applyNumberFormat="1">
      <alignment vertical="center"/>
    </xf>
    <xf borderId="1" fillId="2" fontId="2" numFmtId="38" xfId="0" applyAlignment="1" applyBorder="1" applyFont="1" applyNumberFormat="1">
      <alignment horizontal="center" vertical="center"/>
    </xf>
    <xf borderId="1" fillId="3" fontId="3" numFmtId="38" xfId="0" applyAlignment="1" applyBorder="1" applyFont="1" applyNumberFormat="1">
      <alignment vertical="center"/>
    </xf>
    <xf borderId="0" fillId="0" fontId="3" numFmtId="38" xfId="0" applyAlignment="1" applyFont="1" applyNumberFormat="1">
      <alignment horizontal="left" vertical="center"/>
    </xf>
    <xf borderId="3" fillId="0" fontId="3" numFmtId="38" xfId="0" applyAlignment="1" applyBorder="1" applyFont="1" applyNumberFormat="1">
      <alignment vertical="center"/>
    </xf>
    <xf borderId="1" fillId="4" fontId="4" numFmtId="38" xfId="0" applyAlignment="1" applyBorder="1" applyFont="1" applyNumberFormat="1">
      <alignment vertical="center"/>
    </xf>
    <xf borderId="3" fillId="4" fontId="4" numFmtId="38" xfId="0" applyAlignment="1" applyBorder="1" applyFont="1" applyNumberFormat="1">
      <alignment vertical="center"/>
    </xf>
    <xf borderId="3" fillId="4" fontId="4" numFmtId="165" xfId="0" applyAlignment="1" applyBorder="1" applyFont="1" applyNumberFormat="1">
      <alignment vertical="center"/>
    </xf>
    <xf borderId="0" fillId="0" fontId="1" numFmtId="38" xfId="0" applyAlignment="1" applyFont="1" applyNumberFormat="1">
      <alignment vertical="center"/>
    </xf>
    <xf borderId="3" fillId="0" fontId="1" numFmtId="165" xfId="0" applyAlignment="1" applyBorder="1" applyFont="1" applyNumberFormat="1">
      <alignment vertical="center"/>
    </xf>
    <xf borderId="1" fillId="6" fontId="3" numFmtId="165" xfId="0" applyAlignment="1" applyBorder="1" applyFill="1" applyFont="1" applyNumberFormat="1">
      <alignment horizontal="left" vertical="center"/>
    </xf>
    <xf borderId="1" fillId="6" fontId="3" numFmtId="38" xfId="0" applyAlignment="1" applyBorder="1" applyFont="1" applyNumberFormat="1">
      <alignment vertical="center"/>
    </xf>
    <xf borderId="3" fillId="6" fontId="3" numFmtId="165" xfId="0" applyAlignment="1" applyBorder="1" applyFont="1" applyNumberFormat="1">
      <alignment vertical="center"/>
    </xf>
    <xf borderId="1" fillId="6" fontId="1" numFmtId="38" xfId="0" applyAlignment="1" applyBorder="1" applyFont="1" applyNumberFormat="1">
      <alignment vertical="center"/>
    </xf>
    <xf borderId="3" fillId="6" fontId="1" numFmtId="165" xfId="0" applyAlignment="1" applyBorder="1" applyFont="1" applyNumberFormat="1">
      <alignment vertical="center"/>
    </xf>
    <xf borderId="1" fillId="3" fontId="3" numFmtId="165" xfId="0" applyAlignment="1" applyBorder="1" applyFont="1" applyNumberFormat="1">
      <alignment vertical="center"/>
    </xf>
    <xf borderId="1" fillId="7" fontId="3" numFmtId="165" xfId="0" applyAlignment="1" applyBorder="1" applyFill="1" applyFont="1" applyNumberFormat="1">
      <alignment horizontal="left" vertical="center"/>
    </xf>
    <xf borderId="1" fillId="7" fontId="3" numFmtId="38" xfId="0" applyAlignment="1" applyBorder="1" applyFont="1" applyNumberFormat="1">
      <alignment vertical="center"/>
    </xf>
    <xf borderId="3" fillId="7" fontId="3" numFmtId="165" xfId="0" applyAlignment="1" applyBorder="1" applyFont="1" applyNumberFormat="1">
      <alignment vertical="center"/>
    </xf>
    <xf borderId="1" fillId="7" fontId="1" numFmtId="38" xfId="0" applyAlignment="1" applyBorder="1" applyFont="1" applyNumberFormat="1">
      <alignment vertical="center"/>
    </xf>
    <xf borderId="3" fillId="7" fontId="1" numFmtId="165" xfId="0" applyAlignment="1" applyBorder="1" applyFont="1" applyNumberFormat="1">
      <alignment vertical="center"/>
    </xf>
    <xf borderId="1" fillId="8" fontId="3" numFmtId="165" xfId="0" applyAlignment="1" applyBorder="1" applyFill="1" applyFont="1" applyNumberFormat="1">
      <alignment horizontal="left" vertical="center"/>
    </xf>
    <xf borderId="1" fillId="8" fontId="3" numFmtId="38" xfId="0" applyAlignment="1" applyBorder="1" applyFont="1" applyNumberFormat="1">
      <alignment vertical="center"/>
    </xf>
    <xf borderId="3" fillId="8" fontId="3" numFmtId="165" xfId="0" applyAlignment="1" applyBorder="1" applyFont="1" applyNumberFormat="1">
      <alignment vertical="center"/>
    </xf>
    <xf borderId="1" fillId="8" fontId="1" numFmtId="38" xfId="0" applyAlignment="1" applyBorder="1" applyFont="1" applyNumberFormat="1">
      <alignment vertical="center"/>
    </xf>
    <xf borderId="3" fillId="8" fontId="1" numFmtId="165" xfId="0" applyAlignment="1" applyBorder="1" applyFont="1" applyNumberFormat="1">
      <alignment vertical="center"/>
    </xf>
    <xf borderId="0" fillId="0" fontId="9" numFmtId="165" xfId="0" applyAlignment="1" applyFont="1" applyNumberFormat="1">
      <alignment vertical="center"/>
    </xf>
    <xf borderId="1" fillId="5" fontId="4" numFmtId="38" xfId="0" applyAlignment="1" applyBorder="1" applyFont="1" applyNumberFormat="1">
      <alignment vertical="center"/>
    </xf>
    <xf borderId="3" fillId="5" fontId="4" numFmtId="165" xfId="0" applyAlignment="1" applyBorder="1" applyFont="1" applyNumberFormat="1">
      <alignment vertical="center"/>
    </xf>
    <xf borderId="1" fillId="5" fontId="6" numFmtId="38" xfId="0" applyAlignment="1" applyBorder="1" applyFont="1" applyNumberFormat="1">
      <alignment vertical="center"/>
    </xf>
    <xf borderId="0" fillId="0" fontId="8" numFmtId="38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5" fillId="0" fontId="2" numFmtId="38" xfId="0" applyAlignment="1" applyBorder="1" applyFont="1" applyNumberFormat="1">
      <alignment horizontal="center" vertical="center"/>
    </xf>
    <xf borderId="5" fillId="0" fontId="4" numFmtId="38" xfId="0" applyAlignment="1" applyBorder="1" applyFont="1" applyNumberFormat="1">
      <alignment vertical="center"/>
    </xf>
    <xf borderId="5" fillId="0" fontId="4" numFmtId="164" xfId="0" applyAlignment="1" applyBorder="1" applyFont="1" applyNumberFormat="1">
      <alignment vertical="center"/>
    </xf>
    <xf borderId="5" fillId="0" fontId="3" numFmtId="38" xfId="0" applyAlignment="1" applyBorder="1" applyFont="1" applyNumberFormat="1">
      <alignment vertical="center"/>
    </xf>
    <xf borderId="1" fillId="4" fontId="4" numFmtId="0" xfId="0" applyAlignment="1" applyBorder="1" applyFont="1">
      <alignment vertical="center"/>
    </xf>
    <xf borderId="5" fillId="0" fontId="6" numFmtId="38" xfId="0" applyAlignment="1" applyBorder="1" applyFont="1" applyNumberFormat="1">
      <alignment vertical="center"/>
    </xf>
    <xf borderId="5" fillId="0" fontId="4" numFmtId="165" xfId="0" applyAlignment="1" applyBorder="1" applyFont="1" applyNumberFormat="1">
      <alignment vertical="center"/>
    </xf>
    <xf borderId="5" fillId="0" fontId="6" numFmtId="165" xfId="0" applyAlignment="1" applyBorder="1" applyFont="1" applyNumberFormat="1">
      <alignment vertical="center"/>
    </xf>
    <xf borderId="5" fillId="0" fontId="3" numFmtId="165" xfId="0" applyAlignment="1" applyBorder="1" applyFont="1" applyNumberFormat="1">
      <alignment vertical="center"/>
    </xf>
    <xf borderId="5" fillId="0" fontId="1" numFmtId="165" xfId="0" applyAlignment="1" applyBorder="1" applyFont="1" applyNumberFormat="1">
      <alignment vertical="center"/>
    </xf>
    <xf borderId="5" fillId="0" fontId="8" numFmtId="164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1" numFmtId="38" xfId="0" applyAlignment="1" applyFont="1" applyNumberFormat="1">
      <alignment horizontal="left" vertical="center"/>
    </xf>
    <xf borderId="0" fillId="0" fontId="2" numFmtId="38" xfId="0" applyAlignment="1" applyFont="1" applyNumberFormat="1">
      <alignment horizontal="center" vertical="center"/>
    </xf>
    <xf borderId="1" fillId="3" fontId="6" numFmtId="38" xfId="0" applyAlignment="1" applyBorder="1" applyFont="1" applyNumberFormat="1">
      <alignment vertical="center"/>
    </xf>
    <xf borderId="3" fillId="3" fontId="6" numFmtId="38" xfId="0" applyAlignment="1" applyBorder="1" applyFont="1" applyNumberFormat="1">
      <alignment vertical="center"/>
    </xf>
    <xf borderId="3" fillId="3" fontId="4" numFmtId="164" xfId="0" applyAlignment="1" applyBorder="1" applyFont="1" applyNumberFormat="1">
      <alignment horizontal="right" vertical="center"/>
    </xf>
    <xf borderId="3" fillId="3" fontId="6" numFmtId="164" xfId="0" applyAlignment="1" applyBorder="1" applyFont="1" applyNumberFormat="1">
      <alignment vertical="center"/>
    </xf>
    <xf borderId="3" fillId="3" fontId="4" numFmtId="3" xfId="0" applyAlignment="1" applyBorder="1" applyFont="1" applyNumberFormat="1">
      <alignment vertical="center"/>
    </xf>
    <xf borderId="1" fillId="3" fontId="4" numFmtId="167" xfId="0" applyAlignment="1" applyBorder="1" applyFont="1" applyNumberFormat="1">
      <alignment vertical="center"/>
    </xf>
    <xf borderId="3" fillId="3" fontId="4" numFmtId="167" xfId="0" applyAlignment="1" applyBorder="1" applyFont="1" applyNumberFormat="1">
      <alignment vertical="center"/>
    </xf>
    <xf borderId="0" fillId="0" fontId="3" numFmtId="167" xfId="0" applyAlignment="1" applyFont="1" applyNumberFormat="1">
      <alignment vertical="center"/>
    </xf>
    <xf borderId="3" fillId="3" fontId="6" numFmtId="167" xfId="0" applyAlignment="1" applyBorder="1" applyFont="1" applyNumberFormat="1">
      <alignment vertical="center"/>
    </xf>
    <xf borderId="0" fillId="0" fontId="3" numFmtId="168" xfId="0" applyAlignment="1" applyFont="1" applyNumberFormat="1">
      <alignment vertical="center"/>
    </xf>
    <xf borderId="0" fillId="0" fontId="3" numFmtId="167" xfId="0" applyAlignment="1" applyFont="1" applyNumberFormat="1">
      <alignment horizontal="left" vertical="center"/>
    </xf>
    <xf borderId="0" fillId="0" fontId="5" numFmtId="167" xfId="0" applyAlignment="1" applyFont="1" applyNumberFormat="1">
      <alignment vertical="center"/>
    </xf>
    <xf borderId="0" fillId="0" fontId="7" numFmtId="164" xfId="0" applyAlignment="1" applyFont="1" applyNumberFormat="1">
      <alignment horizontal="left" vertical="center"/>
    </xf>
    <xf borderId="0" fillId="0" fontId="5" numFmtId="0" xfId="0" applyAlignment="1" applyFont="1">
      <alignment horizontal="right" vertical="center"/>
    </xf>
    <xf borderId="0" fillId="0" fontId="3" numFmtId="165" xfId="0" applyAlignment="1" applyFont="1" applyNumberFormat="1">
      <alignment horizontal="left" vertical="center"/>
    </xf>
    <xf borderId="0" fillId="0" fontId="5" numFmtId="165" xfId="0" applyAlignment="1" applyFont="1" applyNumberFormat="1">
      <alignment vertical="center"/>
    </xf>
    <xf borderId="0" fillId="0" fontId="5" numFmtId="3" xfId="0" applyAlignment="1" applyFont="1" applyNumberFormat="1">
      <alignment vertical="center"/>
    </xf>
    <xf borderId="0" fillId="0" fontId="8" numFmtId="164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1" fillId="3" fontId="6" numFmtId="164" xfId="0" applyAlignment="1" applyBorder="1" applyFont="1" applyNumberFormat="1">
      <alignment vertical="center"/>
    </xf>
    <xf borderId="1" fillId="3" fontId="6" numFmtId="167" xfId="0" applyAlignment="1" applyBorder="1" applyFont="1" applyNumberFormat="1">
      <alignment vertical="center"/>
    </xf>
    <xf borderId="6" fillId="0" fontId="10" numFmtId="38" xfId="0" applyAlignment="1" applyBorder="1" applyFont="1" applyNumberFormat="1">
      <alignment horizontal="right" shrinkToFit="1" vertical="center" wrapText="0"/>
    </xf>
    <xf borderId="7" fillId="0" fontId="5" numFmtId="0" xfId="0" applyAlignment="1" applyBorder="1" applyFont="1">
      <alignment horizontal="right" vertical="bottom"/>
    </xf>
    <xf borderId="8" fillId="0" fontId="11" numFmtId="0" xfId="0" applyAlignment="1" applyBorder="1" applyFont="1">
      <alignment horizontal="center" shrinkToFit="1" vertical="center" wrapText="0"/>
    </xf>
    <xf borderId="9" fillId="0" fontId="11" numFmtId="0" xfId="0" applyAlignment="1" applyBorder="1" applyFont="1">
      <alignment horizontal="center" shrinkToFit="1" vertical="center" wrapText="0"/>
    </xf>
    <xf borderId="10" fillId="0" fontId="11" numFmtId="0" xfId="0" applyAlignment="1" applyBorder="1" applyFont="1">
      <alignment horizontal="center" shrinkToFit="1" vertical="center" wrapText="0"/>
    </xf>
    <xf borderId="11" fillId="9" fontId="11" numFmtId="169" xfId="0" applyAlignment="1" applyBorder="1" applyFill="1" applyFont="1" applyNumberFormat="1">
      <alignment horizontal="left" shrinkToFit="1" vertical="center" wrapText="0"/>
    </xf>
    <xf borderId="12" fillId="9" fontId="11" numFmtId="169" xfId="0" applyAlignment="1" applyBorder="1" applyFont="1" applyNumberFormat="1">
      <alignment horizontal="left" shrinkToFit="1" vertical="center" wrapText="0"/>
    </xf>
    <xf borderId="13" fillId="9" fontId="11" numFmtId="169" xfId="0" applyAlignment="1" applyBorder="1" applyFont="1" applyNumberFormat="1">
      <alignment shrinkToFit="1" vertical="center" wrapText="0"/>
    </xf>
    <xf borderId="14" fillId="9" fontId="11" numFmtId="169" xfId="0" applyAlignment="1" applyBorder="1" applyFont="1" applyNumberFormat="1">
      <alignment shrinkToFit="1" vertical="center" wrapText="0"/>
    </xf>
    <xf borderId="15" fillId="9" fontId="11" numFmtId="169" xfId="0" applyAlignment="1" applyBorder="1" applyFont="1" applyNumberFormat="1">
      <alignment shrinkToFit="1" vertical="center" wrapText="0"/>
    </xf>
    <xf borderId="16" fillId="9" fontId="11" numFmtId="169" xfId="0" applyAlignment="1" applyBorder="1" applyFont="1" applyNumberFormat="1">
      <alignment horizontal="left" shrinkToFit="1" vertical="center" wrapText="0"/>
    </xf>
    <xf borderId="17" fillId="9" fontId="11" numFmtId="169" xfId="0" applyAlignment="1" applyBorder="1" applyFont="1" applyNumberFormat="1">
      <alignment horizontal="left" shrinkToFit="1" vertical="center" wrapText="0"/>
    </xf>
    <xf borderId="18" fillId="9" fontId="11" numFmtId="169" xfId="0" applyAlignment="1" applyBorder="1" applyFont="1" applyNumberFormat="1">
      <alignment shrinkToFit="1" vertical="center" wrapText="0"/>
    </xf>
    <xf borderId="19" fillId="9" fontId="11" numFmtId="169" xfId="0" applyAlignment="1" applyBorder="1" applyFont="1" applyNumberFormat="1">
      <alignment shrinkToFit="1" vertical="center" wrapText="0"/>
    </xf>
    <xf borderId="20" fillId="9" fontId="11" numFmtId="169" xfId="0" applyAlignment="1" applyBorder="1" applyFont="1" applyNumberFormat="1">
      <alignment shrinkToFit="1" vertical="center" wrapText="0"/>
    </xf>
    <xf borderId="21" fillId="10" fontId="12" numFmtId="0" xfId="0" applyAlignment="1" applyBorder="1" applyFill="1" applyFont="1">
      <alignment horizontal="left" shrinkToFit="1" vertical="center" wrapText="0"/>
    </xf>
    <xf borderId="22" fillId="10" fontId="12" numFmtId="0" xfId="0" applyAlignment="1" applyBorder="1" applyFont="1">
      <alignment horizontal="right" shrinkToFit="1" vertical="center" wrapText="0"/>
    </xf>
    <xf borderId="23" fillId="10" fontId="13" numFmtId="164" xfId="0" applyAlignment="1" applyBorder="1" applyFont="1" applyNumberFormat="1">
      <alignment shrinkToFit="1" vertical="center" wrapText="0"/>
    </xf>
    <xf borderId="24" fillId="10" fontId="13" numFmtId="164" xfId="0" applyAlignment="1" applyBorder="1" applyFont="1" applyNumberFormat="1">
      <alignment shrinkToFit="1" vertical="center" wrapText="0"/>
    </xf>
    <xf borderId="25" fillId="9" fontId="13" numFmtId="164" xfId="0" applyAlignment="1" applyBorder="1" applyFont="1" applyNumberFormat="1">
      <alignment shrinkToFit="1" vertical="center" wrapText="0"/>
    </xf>
    <xf borderId="26" fillId="9" fontId="13" numFmtId="164" xfId="0" applyAlignment="1" applyBorder="1" applyFont="1" applyNumberFormat="1">
      <alignment shrinkToFit="1" vertical="center" wrapText="0"/>
    </xf>
    <xf borderId="16" fillId="11" fontId="11" numFmtId="169" xfId="0" applyAlignment="1" applyBorder="1" applyFill="1" applyFont="1" applyNumberFormat="1">
      <alignment shrinkToFit="1" vertical="center" wrapText="0"/>
    </xf>
    <xf borderId="17" fillId="11" fontId="11" numFmtId="169" xfId="0" applyAlignment="1" applyBorder="1" applyFont="1" applyNumberFormat="1">
      <alignment horizontal="right" shrinkToFit="1" vertical="center" wrapText="0"/>
    </xf>
    <xf borderId="18" fillId="11" fontId="11" numFmtId="169" xfId="0" applyAlignment="1" applyBorder="1" applyFont="1" applyNumberFormat="1">
      <alignment shrinkToFit="1" vertical="center" wrapText="0"/>
    </xf>
    <xf borderId="19" fillId="11" fontId="11" numFmtId="169" xfId="0" applyAlignment="1" applyBorder="1" applyFont="1" applyNumberFormat="1">
      <alignment shrinkToFit="1" vertical="center" wrapText="0"/>
    </xf>
    <xf borderId="20" fillId="11" fontId="11" numFmtId="169" xfId="0" applyAlignment="1" applyBorder="1" applyFont="1" applyNumberFormat="1">
      <alignment shrinkToFit="1" vertical="center" wrapText="0"/>
    </xf>
    <xf borderId="21" fillId="11" fontId="14" numFmtId="164" xfId="0" applyAlignment="1" applyBorder="1" applyFont="1" applyNumberFormat="1">
      <alignment shrinkToFit="1" vertical="center" wrapText="0"/>
    </xf>
    <xf borderId="22" fillId="11" fontId="14" numFmtId="164" xfId="0" applyAlignment="1" applyBorder="1" applyFont="1" applyNumberFormat="1">
      <alignment horizontal="right" shrinkToFit="1" vertical="center" wrapText="0"/>
    </xf>
    <xf borderId="25" fillId="11" fontId="13" numFmtId="164" xfId="0" applyAlignment="1" applyBorder="1" applyFont="1" applyNumberFormat="1">
      <alignment shrinkToFit="1" vertical="center" wrapText="0"/>
    </xf>
    <xf borderId="24" fillId="11" fontId="13" numFmtId="164" xfId="0" applyAlignment="1" applyBorder="1" applyFont="1" applyNumberFormat="1">
      <alignment shrinkToFit="1" vertical="center" wrapText="0"/>
    </xf>
    <xf borderId="26" fillId="11" fontId="13" numFmtId="164" xfId="0" applyAlignment="1" applyBorder="1" applyFont="1" applyNumberFormat="1">
      <alignment shrinkToFit="1" vertical="center" wrapText="0"/>
    </xf>
    <xf borderId="16" fillId="9" fontId="11" numFmtId="38" xfId="0" applyAlignment="1" applyBorder="1" applyFont="1" applyNumberFormat="1">
      <alignment horizontal="left" vertical="center"/>
    </xf>
    <xf borderId="17" fillId="9" fontId="15" numFmtId="38" xfId="0" applyAlignment="1" applyBorder="1" applyFont="1" applyNumberFormat="1">
      <alignment horizontal="right" shrinkToFit="1" vertical="center" wrapText="0"/>
    </xf>
    <xf borderId="18" fillId="9" fontId="16" numFmtId="38" xfId="0" applyAlignment="1" applyBorder="1" applyFont="1" applyNumberFormat="1">
      <alignment shrinkToFit="1" vertical="center" wrapText="0"/>
    </xf>
    <xf borderId="19" fillId="9" fontId="16" numFmtId="38" xfId="0" applyAlignment="1" applyBorder="1" applyFont="1" applyNumberFormat="1">
      <alignment shrinkToFit="1" vertical="center" wrapText="0"/>
    </xf>
    <xf borderId="20" fillId="9" fontId="16" numFmtId="38" xfId="0" applyAlignment="1" applyBorder="1" applyFont="1" applyNumberFormat="1">
      <alignment shrinkToFit="1" vertical="center" wrapText="0"/>
    </xf>
    <xf borderId="27" fillId="9" fontId="14" numFmtId="164" xfId="0" applyAlignment="1" applyBorder="1" applyFont="1" applyNumberFormat="1">
      <alignment horizontal="left" shrinkToFit="1" vertical="center" wrapText="0"/>
    </xf>
    <xf borderId="28" fillId="9" fontId="17" numFmtId="164" xfId="0" applyAlignment="1" applyBorder="1" applyFont="1" applyNumberFormat="1">
      <alignment horizontal="right" shrinkToFit="1" vertical="center" wrapText="0"/>
    </xf>
    <xf borderId="29" fillId="9" fontId="17" numFmtId="3" xfId="0" applyAlignment="1" applyBorder="1" applyFont="1" applyNumberFormat="1">
      <alignment shrinkToFit="1" vertical="center" wrapText="0"/>
    </xf>
    <xf borderId="30" fillId="9" fontId="17" numFmtId="3" xfId="0" applyAlignment="1" applyBorder="1" applyFont="1" applyNumberFormat="1">
      <alignment shrinkToFit="1" vertical="center" wrapText="0"/>
    </xf>
    <xf borderId="31" fillId="9" fontId="17" numFmtId="3" xfId="0" applyAlignment="1" applyBorder="1" applyFont="1" applyNumberFormat="1">
      <alignment shrinkToFit="1" vertical="center" wrapText="0"/>
    </xf>
    <xf borderId="21" fillId="9" fontId="14" numFmtId="164" xfId="0" applyAlignment="1" applyBorder="1" applyFont="1" applyNumberFormat="1">
      <alignment horizontal="left" shrinkToFit="1" vertical="center" wrapText="0"/>
    </xf>
    <xf borderId="22" fillId="9" fontId="15" numFmtId="164" xfId="0" applyAlignment="1" applyBorder="1" applyFont="1" applyNumberFormat="1">
      <alignment horizontal="right" shrinkToFit="1" vertical="center" wrapText="0"/>
    </xf>
    <xf borderId="25" fillId="9" fontId="18" numFmtId="164" xfId="0" applyAlignment="1" applyBorder="1" applyFont="1" applyNumberFormat="1">
      <alignment shrinkToFit="1" vertical="center" wrapText="0"/>
    </xf>
    <xf borderId="24" fillId="9" fontId="18" numFmtId="164" xfId="0" applyAlignment="1" applyBorder="1" applyFont="1" applyNumberFormat="1">
      <alignment shrinkToFit="1" vertical="center" wrapText="0"/>
    </xf>
    <xf borderId="26" fillId="9" fontId="18" numFmtId="164" xfId="0" applyAlignment="1" applyBorder="1" applyFont="1" applyNumberFormat="1">
      <alignment shrinkToFit="1" vertical="center" wrapText="0"/>
    </xf>
    <xf borderId="17" fillId="9" fontId="15" numFmtId="169" xfId="0" applyAlignment="1" applyBorder="1" applyFont="1" applyNumberFormat="1">
      <alignment horizontal="right" shrinkToFit="1" vertical="center" wrapText="0"/>
    </xf>
    <xf borderId="18" fillId="9" fontId="16" numFmtId="169" xfId="0" applyAlignment="1" applyBorder="1" applyFont="1" applyNumberFormat="1">
      <alignment shrinkToFit="1" vertical="center" wrapText="0"/>
    </xf>
    <xf borderId="19" fillId="9" fontId="16" numFmtId="169" xfId="0" applyAlignment="1" applyBorder="1" applyFont="1" applyNumberFormat="1">
      <alignment shrinkToFit="1" vertical="center" wrapText="0"/>
    </xf>
    <xf borderId="20" fillId="9" fontId="16" numFmtId="169" xfId="0" applyAlignment="1" applyBorder="1" applyFont="1" applyNumberFormat="1">
      <alignment shrinkToFit="1" vertical="center" wrapText="0"/>
    </xf>
    <xf borderId="27" fillId="9" fontId="18" numFmtId="164" xfId="0" applyAlignment="1" applyBorder="1" applyFont="1" applyNumberFormat="1">
      <alignment horizontal="left" shrinkToFit="1" vertical="center" wrapText="0"/>
    </xf>
    <xf borderId="28" fillId="9" fontId="17" numFmtId="169" xfId="0" applyAlignment="1" applyBorder="1" applyFont="1" applyNumberFormat="1">
      <alignment horizontal="right" vertical="center"/>
    </xf>
    <xf borderId="19" fillId="9" fontId="17" numFmtId="169" xfId="0" applyAlignment="1" applyBorder="1" applyFont="1" applyNumberFormat="1">
      <alignment shrinkToFit="1" vertical="center" wrapText="0"/>
    </xf>
    <xf borderId="21" fillId="9" fontId="18" numFmtId="164" xfId="0" applyAlignment="1" applyBorder="1" applyFont="1" applyNumberFormat="1">
      <alignment horizontal="left" shrinkToFit="1" vertical="center" wrapText="0"/>
    </xf>
    <xf borderId="22" fillId="9" fontId="15" numFmtId="0" xfId="0" applyAlignment="1" applyBorder="1" applyFont="1">
      <alignment horizontal="right" vertical="center"/>
    </xf>
    <xf borderId="26" fillId="9" fontId="18" numFmtId="38" xfId="0" applyAlignment="1" applyBorder="1" applyFont="1" applyNumberFormat="1">
      <alignment shrinkToFit="1" vertical="center" wrapText="0"/>
    </xf>
    <xf borderId="27" fillId="11" fontId="11" numFmtId="169" xfId="0" applyAlignment="1" applyBorder="1" applyFont="1" applyNumberFormat="1">
      <alignment shrinkToFit="1" vertical="center" wrapText="0"/>
    </xf>
    <xf borderId="28" fillId="11" fontId="15" numFmtId="169" xfId="0" applyAlignment="1" applyBorder="1" applyFont="1" applyNumberFormat="1">
      <alignment horizontal="right" vertical="center"/>
    </xf>
    <xf borderId="29" fillId="11" fontId="16" numFmtId="169" xfId="0" applyAlignment="1" applyBorder="1" applyFont="1" applyNumberFormat="1">
      <alignment shrinkToFit="1" vertical="center" wrapText="0"/>
    </xf>
    <xf borderId="30" fillId="11" fontId="16" numFmtId="169" xfId="0" applyAlignment="1" applyBorder="1" applyFont="1" applyNumberFormat="1">
      <alignment shrinkToFit="1" vertical="center" wrapText="0"/>
    </xf>
    <xf borderId="31" fillId="11" fontId="16" numFmtId="169" xfId="0" applyAlignment="1" applyBorder="1" applyFont="1" applyNumberFormat="1">
      <alignment shrinkToFit="1" vertical="center" wrapText="0"/>
    </xf>
    <xf borderId="27" fillId="11" fontId="18" numFmtId="164" xfId="0" applyAlignment="1" applyBorder="1" applyFont="1" applyNumberFormat="1">
      <alignment horizontal="left" shrinkToFit="1" vertical="center" wrapText="0"/>
    </xf>
    <xf borderId="28" fillId="11" fontId="12" numFmtId="169" xfId="0" applyAlignment="1" applyBorder="1" applyFont="1" applyNumberFormat="1">
      <alignment horizontal="right" vertical="center"/>
    </xf>
    <xf borderId="29" fillId="11" fontId="11" numFmtId="169" xfId="0" applyAlignment="1" applyBorder="1" applyFont="1" applyNumberFormat="1">
      <alignment shrinkToFit="1" vertical="center" wrapText="0"/>
    </xf>
    <xf borderId="30" fillId="11" fontId="11" numFmtId="169" xfId="0" applyAlignment="1" applyBorder="1" applyFont="1" applyNumberFormat="1">
      <alignment shrinkToFit="1" vertical="center" wrapText="0"/>
    </xf>
    <xf borderId="31" fillId="11" fontId="17" numFmtId="3" xfId="0" applyAlignment="1" applyBorder="1" applyFont="1" applyNumberFormat="1">
      <alignment shrinkToFit="1" vertical="center" wrapText="0"/>
    </xf>
    <xf borderId="28" fillId="11" fontId="15" numFmtId="164" xfId="0" applyAlignment="1" applyBorder="1" applyFont="1" applyNumberFormat="1">
      <alignment horizontal="right" vertical="center"/>
    </xf>
    <xf borderId="29" fillId="11" fontId="13" numFmtId="164" xfId="0" applyAlignment="1" applyBorder="1" applyFont="1" applyNumberFormat="1">
      <alignment shrinkToFit="1" vertical="center" wrapText="0"/>
    </xf>
    <xf borderId="30" fillId="11" fontId="13" numFmtId="164" xfId="0" applyAlignment="1" applyBorder="1" applyFont="1" applyNumberFormat="1">
      <alignment shrinkToFit="1" vertical="center" wrapText="0"/>
    </xf>
    <xf borderId="31" fillId="11" fontId="13" numFmtId="164" xfId="0" applyAlignment="1" applyBorder="1" applyFont="1" applyNumberFormat="1">
      <alignment shrinkToFit="1" vertical="center" wrapText="0"/>
    </xf>
    <xf borderId="16" fillId="11" fontId="11" numFmtId="169" xfId="0" applyAlignment="1" applyBorder="1" applyFont="1" applyNumberFormat="1">
      <alignment vertical="center"/>
    </xf>
    <xf borderId="18" fillId="11" fontId="16" numFmtId="169" xfId="0" applyAlignment="1" applyBorder="1" applyFont="1" applyNumberFormat="1">
      <alignment shrinkToFit="1" vertical="center" wrapText="0"/>
    </xf>
    <xf borderId="19" fillId="11" fontId="16" numFmtId="169" xfId="0" applyAlignment="1" applyBorder="1" applyFont="1" applyNumberFormat="1">
      <alignment shrinkToFit="1" vertical="center" wrapText="0"/>
    </xf>
    <xf borderId="20" fillId="11" fontId="16" numFmtId="169" xfId="0" applyAlignment="1" applyBorder="1" applyFont="1" applyNumberFormat="1">
      <alignment shrinkToFit="1" vertical="center" wrapText="0"/>
    </xf>
    <xf borderId="27" fillId="11" fontId="14" numFmtId="164" xfId="0" applyAlignment="1" applyBorder="1" applyFont="1" applyNumberFormat="1">
      <alignment shrinkToFit="1" vertical="center" wrapText="0"/>
    </xf>
    <xf borderId="28" fillId="11" fontId="17" numFmtId="169" xfId="0" applyAlignment="1" applyBorder="1" applyFont="1" applyNumberFormat="1">
      <alignment horizontal="right" vertical="center"/>
    </xf>
    <xf borderId="29" fillId="11" fontId="17" numFmtId="3" xfId="0" applyAlignment="1" applyBorder="1" applyFont="1" applyNumberFormat="1">
      <alignment shrinkToFit="1" vertical="center" wrapText="0"/>
    </xf>
    <xf borderId="30" fillId="11" fontId="17" numFmtId="3" xfId="0" applyAlignment="1" applyBorder="1" applyFont="1" applyNumberFormat="1">
      <alignment shrinkToFit="1" vertical="center" wrapText="0"/>
    </xf>
    <xf borderId="28" fillId="11" fontId="15" numFmtId="164" xfId="0" applyAlignment="1" applyBorder="1" applyFont="1" applyNumberFormat="1">
      <alignment horizontal="right" shrinkToFit="1" vertical="center" wrapText="0"/>
    </xf>
    <xf borderId="27" fillId="9" fontId="13" numFmtId="164" xfId="0" applyAlignment="1" applyBorder="1" applyFont="1" applyNumberFormat="1">
      <alignment horizontal="left" vertical="center"/>
    </xf>
    <xf borderId="21" fillId="9" fontId="13" numFmtId="164" xfId="0" applyAlignment="1" applyBorder="1" applyFont="1" applyNumberFormat="1">
      <alignment horizontal="left" vertical="center"/>
    </xf>
    <xf borderId="22" fillId="9" fontId="15" numFmtId="164" xfId="0" applyAlignment="1" applyBorder="1" applyFont="1" applyNumberFormat="1">
      <alignment horizontal="right" vertical="center"/>
    </xf>
    <xf borderId="24" fillId="9" fontId="13" numFmtId="164" xfId="0" applyAlignment="1" applyBorder="1" applyFont="1" applyNumberFormat="1">
      <alignment shrinkToFit="1" vertical="center" wrapText="0"/>
    </xf>
    <xf borderId="32" fillId="3" fontId="19" numFmtId="10" xfId="0" applyAlignment="1" applyBorder="1" applyFont="1" applyNumberFormat="1">
      <alignment horizontal="left" vertical="center"/>
    </xf>
    <xf borderId="33" fillId="3" fontId="20" numFmtId="169" xfId="0" applyAlignment="1" applyBorder="1" applyFont="1" applyNumberFormat="1">
      <alignment horizontal="right" vertical="center"/>
    </xf>
    <xf borderId="34" fillId="3" fontId="19" numFmtId="38" xfId="0" applyAlignment="1" applyBorder="1" applyFont="1" applyNumberFormat="1">
      <alignment shrinkToFit="1" vertical="center" wrapText="0"/>
    </xf>
    <xf borderId="35" fillId="3" fontId="19" numFmtId="38" xfId="0" applyAlignment="1" applyBorder="1" applyFont="1" applyNumberFormat="1">
      <alignment shrinkToFit="1" vertical="center" wrapText="0"/>
    </xf>
    <xf borderId="36" fillId="3" fontId="19" numFmtId="38" xfId="0" applyAlignment="1" applyBorder="1" applyFont="1" applyNumberFormat="1">
      <alignment shrinkToFit="1" vertical="center" wrapText="0"/>
    </xf>
    <xf borderId="33" fillId="3" fontId="17" numFmtId="10" xfId="0" applyAlignment="1" applyBorder="1" applyFont="1" applyNumberFormat="1">
      <alignment horizontal="right" vertical="center"/>
    </xf>
    <xf borderId="18" fillId="12" fontId="11" numFmtId="38" xfId="0" applyAlignment="1" applyBorder="1" applyFill="1" applyFont="1" applyNumberFormat="1">
      <alignment shrinkToFit="1" vertical="center" wrapText="0"/>
    </xf>
    <xf borderId="35" fillId="12" fontId="11" numFmtId="38" xfId="0" applyAlignment="1" applyBorder="1" applyFont="1" applyNumberFormat="1">
      <alignment shrinkToFit="1" vertical="center" wrapText="0"/>
    </xf>
    <xf borderId="34" fillId="12" fontId="11" numFmtId="38" xfId="0" applyAlignment="1" applyBorder="1" applyFont="1" applyNumberFormat="1">
      <alignment shrinkToFit="1" vertical="center" wrapText="0"/>
    </xf>
    <xf borderId="36" fillId="12" fontId="11" numFmtId="38" xfId="0" applyAlignment="1" applyBorder="1" applyFont="1" applyNumberFormat="1">
      <alignment shrinkToFit="1" vertical="center" wrapText="0"/>
    </xf>
    <xf borderId="18" fillId="12" fontId="19" numFmtId="38" xfId="0" applyAlignment="1" applyBorder="1" applyFont="1" applyNumberFormat="1">
      <alignment shrinkToFit="1" vertical="center" wrapText="0"/>
    </xf>
    <xf borderId="35" fillId="12" fontId="19" numFmtId="38" xfId="0" applyAlignment="1" applyBorder="1" applyFont="1" applyNumberFormat="1">
      <alignment shrinkToFit="1" vertical="center" wrapText="0"/>
    </xf>
    <xf borderId="34" fillId="12" fontId="19" numFmtId="38" xfId="0" applyAlignment="1" applyBorder="1" applyFont="1" applyNumberFormat="1">
      <alignment shrinkToFit="1" vertical="center" wrapText="0"/>
    </xf>
    <xf borderId="36" fillId="12" fontId="19" numFmtId="38" xfId="0" applyAlignment="1" applyBorder="1" applyFont="1" applyNumberFormat="1">
      <alignment shrinkToFit="1" vertical="center" wrapText="0"/>
    </xf>
    <xf borderId="16" fillId="3" fontId="19" numFmtId="10" xfId="0" applyAlignment="1" applyBorder="1" applyFont="1" applyNumberFormat="1">
      <alignment horizontal="left" vertical="center"/>
    </xf>
    <xf borderId="17" fillId="3" fontId="17" numFmtId="10" xfId="0" applyAlignment="1" applyBorder="1" applyFont="1" applyNumberFormat="1">
      <alignment horizontal="right" vertical="center"/>
    </xf>
    <xf borderId="19" fillId="12" fontId="11" numFmtId="38" xfId="0" applyAlignment="1" applyBorder="1" applyFont="1" applyNumberFormat="1">
      <alignment shrinkToFit="1" vertical="center" wrapText="0"/>
    </xf>
    <xf borderId="20" fillId="12" fontId="11" numFmtId="38" xfId="0" applyAlignment="1" applyBorder="1" applyFont="1" applyNumberFormat="1">
      <alignment shrinkToFit="1" vertical="center" wrapText="0"/>
    </xf>
    <xf borderId="16" fillId="9" fontId="11" numFmtId="169" xfId="0" applyAlignment="1" applyBorder="1" applyFont="1" applyNumberFormat="1">
      <alignment horizontal="left" vertical="center"/>
    </xf>
    <xf borderId="17" fillId="9" fontId="15" numFmtId="169" xfId="0" applyAlignment="1" applyBorder="1" applyFont="1" applyNumberFormat="1">
      <alignment horizontal="right" vertical="center"/>
    </xf>
    <xf borderId="32" fillId="3" fontId="19" numFmtId="169" xfId="0" applyAlignment="1" applyBorder="1" applyFont="1" applyNumberFormat="1">
      <alignment horizontal="left" vertical="center"/>
    </xf>
    <xf borderId="35" fillId="12" fontId="19" numFmtId="169" xfId="0" applyAlignment="1" applyBorder="1" applyFont="1" applyNumberFormat="1">
      <alignment shrinkToFit="1" vertical="center" wrapText="0"/>
    </xf>
    <xf borderId="34" fillId="12" fontId="19" numFmtId="169" xfId="0" applyAlignment="1" applyBorder="1" applyFont="1" applyNumberFormat="1">
      <alignment shrinkToFit="1" vertical="center" wrapText="0"/>
    </xf>
    <xf borderId="36" fillId="12" fontId="19" numFmtId="169" xfId="0" applyAlignment="1" applyBorder="1" applyFont="1" applyNumberFormat="1">
      <alignment shrinkToFit="1" vertical="center" wrapText="0"/>
    </xf>
    <xf borderId="33" fillId="3" fontId="17" numFmtId="169" xfId="0" applyAlignment="1" applyBorder="1" applyFont="1" applyNumberFormat="1">
      <alignment horizontal="right" vertical="center"/>
    </xf>
    <xf borderId="35" fillId="12" fontId="11" numFmtId="169" xfId="0" applyAlignment="1" applyBorder="1" applyFont="1" applyNumberFormat="1">
      <alignment shrinkToFit="1" vertical="center" wrapText="0"/>
    </xf>
    <xf borderId="34" fillId="12" fontId="11" numFmtId="169" xfId="0" applyAlignment="1" applyBorder="1" applyFont="1" applyNumberFormat="1">
      <alignment shrinkToFit="1" vertical="center" wrapText="0"/>
    </xf>
    <xf borderId="36" fillId="12" fontId="11" numFmtId="169" xfId="0" applyAlignment="1" applyBorder="1" applyFont="1" applyNumberFormat="1">
      <alignment shrinkToFit="1" vertical="center" wrapText="0"/>
    </xf>
    <xf borderId="34" fillId="12" fontId="17" numFmtId="169" xfId="0" applyAlignment="1" applyBorder="1" applyFont="1" applyNumberFormat="1">
      <alignment shrinkToFit="1" vertical="center" wrapText="0"/>
    </xf>
    <xf borderId="34" fillId="12" fontId="20" numFmtId="169" xfId="0" applyAlignment="1" applyBorder="1" applyFont="1" applyNumberFormat="1">
      <alignment shrinkToFit="1" vertical="center" wrapText="0"/>
    </xf>
    <xf borderId="33" fillId="3" fontId="17" numFmtId="169" xfId="0" applyAlignment="1" applyBorder="1" applyFont="1" applyNumberFormat="1">
      <alignment horizontal="right" shrinkToFit="1" vertical="center" wrapText="0"/>
    </xf>
    <xf borderId="33" fillId="3" fontId="20" numFmtId="169" xfId="0" applyAlignment="1" applyBorder="1" applyFont="1" applyNumberFormat="1">
      <alignment horizontal="right" shrinkToFit="1" vertical="center" wrapText="0"/>
    </xf>
    <xf borderId="35" fillId="3" fontId="11" numFmtId="169" xfId="0" applyAlignment="1" applyBorder="1" applyFont="1" applyNumberFormat="1">
      <alignment shrinkToFit="1" vertical="center" wrapText="0"/>
    </xf>
    <xf borderId="34" fillId="3" fontId="11" numFmtId="169" xfId="0" applyAlignment="1" applyBorder="1" applyFont="1" applyNumberFormat="1">
      <alignment shrinkToFit="1" vertical="center" wrapText="0"/>
    </xf>
    <xf borderId="36" fillId="3" fontId="11" numFmtId="169" xfId="0" applyAlignment="1" applyBorder="1" applyFont="1" applyNumberFormat="1">
      <alignment shrinkToFit="1" vertical="center" wrapText="0"/>
    </xf>
    <xf borderId="35" fillId="3" fontId="19" numFmtId="169" xfId="0" applyAlignment="1" applyBorder="1" applyFont="1" applyNumberFormat="1">
      <alignment shrinkToFit="1" vertical="center" wrapText="0"/>
    </xf>
    <xf borderId="34" fillId="3" fontId="19" numFmtId="169" xfId="0" applyAlignment="1" applyBorder="1" applyFont="1" applyNumberFormat="1">
      <alignment shrinkToFit="1" vertical="center" wrapText="0"/>
    </xf>
    <xf borderId="36" fillId="3" fontId="19" numFmtId="169" xfId="0" applyAlignment="1" applyBorder="1" applyFont="1" applyNumberFormat="1">
      <alignment shrinkToFit="1" vertical="center" wrapText="0"/>
    </xf>
    <xf borderId="16" fillId="3" fontId="19" numFmtId="169" xfId="0" applyAlignment="1" applyBorder="1" applyFont="1" applyNumberFormat="1">
      <alignment horizontal="left" vertical="center"/>
    </xf>
    <xf borderId="17" fillId="3" fontId="17" numFmtId="169" xfId="0" applyAlignment="1" applyBorder="1" applyFont="1" applyNumberFormat="1">
      <alignment horizontal="right" vertical="center"/>
    </xf>
    <xf borderId="19" fillId="3" fontId="11" numFmtId="169" xfId="0" applyAlignment="1" applyBorder="1" applyFont="1" applyNumberFormat="1">
      <alignment shrinkToFit="1" vertical="center" wrapText="0"/>
    </xf>
    <xf borderId="18" fillId="3" fontId="11" numFmtId="169" xfId="0" applyAlignment="1" applyBorder="1" applyFont="1" applyNumberFormat="1">
      <alignment shrinkToFit="1" vertical="center" wrapText="0"/>
    </xf>
    <xf borderId="20" fillId="3" fontId="11" numFmtId="169" xfId="0" applyAlignment="1" applyBorder="1" applyFont="1" applyNumberFormat="1">
      <alignment shrinkToFit="1" vertical="center" wrapText="0"/>
    </xf>
    <xf borderId="16" fillId="13" fontId="21" numFmtId="0" xfId="0" applyAlignment="1" applyBorder="1" applyFill="1" applyFont="1">
      <alignment horizontal="left" vertical="center"/>
    </xf>
    <xf borderId="17" fillId="13" fontId="20" numFmtId="38" xfId="0" applyAlignment="1" applyBorder="1" applyFont="1" applyNumberFormat="1">
      <alignment horizontal="right" vertical="center"/>
    </xf>
    <xf borderId="19" fillId="13" fontId="19" numFmtId="3" xfId="0" applyAlignment="1" applyBorder="1" applyFont="1" applyNumberFormat="1">
      <alignment shrinkToFit="1" vertical="center" wrapText="0"/>
    </xf>
    <xf borderId="18" fillId="13" fontId="19" numFmtId="3" xfId="0" applyAlignment="1" applyBorder="1" applyFont="1" applyNumberFormat="1">
      <alignment shrinkToFit="1" vertical="center" wrapText="0"/>
    </xf>
    <xf borderId="20" fillId="13" fontId="19" numFmtId="3" xfId="0" applyAlignment="1" applyBorder="1" applyFont="1" applyNumberFormat="1">
      <alignment shrinkToFit="1" vertical="center" wrapText="0"/>
    </xf>
    <xf borderId="27" fillId="13" fontId="19" numFmtId="10" xfId="0" applyAlignment="1" applyBorder="1" applyFont="1" applyNumberFormat="1">
      <alignment horizontal="left" vertical="center"/>
    </xf>
    <xf borderId="28" fillId="13" fontId="20" numFmtId="38" xfId="0" applyAlignment="1" applyBorder="1" applyFont="1" applyNumberFormat="1">
      <alignment horizontal="right" vertical="center"/>
    </xf>
    <xf borderId="30" fillId="13" fontId="19" numFmtId="3" xfId="0" applyAlignment="1" applyBorder="1" applyFont="1" applyNumberFormat="1">
      <alignment shrinkToFit="1" vertical="center" wrapText="0"/>
    </xf>
    <xf borderId="29" fillId="13" fontId="19" numFmtId="3" xfId="0" applyAlignment="1" applyBorder="1" applyFont="1" applyNumberFormat="1">
      <alignment shrinkToFit="1" vertical="center" wrapText="0"/>
    </xf>
    <xf borderId="31" fillId="13" fontId="19" numFmtId="3" xfId="0" applyAlignment="1" applyBorder="1" applyFont="1" applyNumberFormat="1">
      <alignment shrinkToFit="1" vertical="center" wrapText="0"/>
    </xf>
    <xf borderId="28" fillId="13" fontId="20" numFmtId="0" xfId="0" applyAlignment="1" applyBorder="1" applyFont="1">
      <alignment horizontal="right" vertical="center"/>
    </xf>
    <xf borderId="16" fillId="13" fontId="19" numFmtId="10" xfId="0" applyAlignment="1" applyBorder="1" applyFont="1" applyNumberFormat="1">
      <alignment horizontal="left" vertical="center"/>
    </xf>
    <xf borderId="16" fillId="13" fontId="19" numFmtId="165" xfId="0" applyAlignment="1" applyBorder="1" applyFont="1" applyNumberFormat="1">
      <alignment horizontal="left" vertical="center"/>
    </xf>
    <xf borderId="17" fillId="13" fontId="20" numFmtId="165" xfId="0" applyAlignment="1" applyBorder="1" applyFont="1" applyNumberFormat="1">
      <alignment horizontal="right" vertical="center"/>
    </xf>
    <xf borderId="16" fillId="13" fontId="22" numFmtId="10" xfId="0" applyAlignment="1" applyBorder="1" applyFont="1" applyNumberFormat="1">
      <alignment horizontal="left" vertical="center"/>
    </xf>
    <xf borderId="17" fillId="13" fontId="20" numFmtId="10" xfId="0" applyAlignment="1" applyBorder="1" applyFont="1" applyNumberFormat="1">
      <alignment horizontal="right" vertical="center"/>
    </xf>
    <xf borderId="17" fillId="13" fontId="20" numFmtId="0" xfId="0" applyAlignment="1" applyBorder="1" applyFont="1">
      <alignment horizontal="right" vertical="center"/>
    </xf>
    <xf borderId="32" fillId="13" fontId="11" numFmtId="3" xfId="0" applyAlignment="1" applyBorder="1" applyFont="1" applyNumberFormat="1">
      <alignment horizontal="left" shrinkToFit="1" vertical="center" wrapText="0"/>
    </xf>
    <xf borderId="33" fillId="13" fontId="20" numFmtId="3" xfId="0" applyAlignment="1" applyBorder="1" applyFont="1" applyNumberFormat="1">
      <alignment horizontal="right" shrinkToFit="1" vertical="center" wrapText="0"/>
    </xf>
    <xf borderId="35" fillId="13" fontId="11" numFmtId="3" xfId="0" applyAlignment="1" applyBorder="1" applyFont="1" applyNumberFormat="1">
      <alignment shrinkToFit="1" vertical="center" wrapText="0"/>
    </xf>
    <xf borderId="34" fillId="13" fontId="11" numFmtId="3" xfId="0" applyAlignment="1" applyBorder="1" applyFont="1" applyNumberFormat="1">
      <alignment shrinkToFit="1" vertical="center" wrapText="0"/>
    </xf>
    <xf borderId="36" fillId="13" fontId="19" numFmtId="3" xfId="0" applyAlignment="1" applyBorder="1" applyFont="1" applyNumberFormat="1">
      <alignment shrinkToFit="1" vertical="center" wrapText="0"/>
    </xf>
    <xf borderId="32" fillId="14" fontId="19" numFmtId="3" xfId="0" applyAlignment="1" applyBorder="1" applyFill="1" applyFont="1" applyNumberFormat="1">
      <alignment horizontal="left" shrinkToFit="1" vertical="center" wrapText="0"/>
    </xf>
    <xf borderId="33" fillId="14" fontId="20" numFmtId="169" xfId="0" applyAlignment="1" applyBorder="1" applyFont="1" applyNumberFormat="1">
      <alignment horizontal="right" vertical="center"/>
    </xf>
    <xf borderId="35" fillId="14" fontId="19" numFmtId="38" xfId="0" applyAlignment="1" applyBorder="1" applyFont="1" applyNumberFormat="1">
      <alignment shrinkToFit="1" vertical="center" wrapText="0"/>
    </xf>
    <xf borderId="34" fillId="14" fontId="19" numFmtId="38" xfId="0" applyAlignment="1" applyBorder="1" applyFont="1" applyNumberFormat="1">
      <alignment shrinkToFit="1" vertical="center" wrapText="0"/>
    </xf>
    <xf borderId="36" fillId="14" fontId="19" numFmtId="38" xfId="0" applyAlignment="1" applyBorder="1" applyFont="1" applyNumberFormat="1">
      <alignment shrinkToFit="1" vertical="center" wrapText="0"/>
    </xf>
    <xf borderId="32" fillId="14" fontId="19" numFmtId="0" xfId="0" applyAlignment="1" applyBorder="1" applyFont="1">
      <alignment horizontal="left" shrinkToFit="1" vertical="center" wrapText="0"/>
    </xf>
    <xf borderId="33" fillId="14" fontId="17" numFmtId="3" xfId="0" applyAlignment="1" applyBorder="1" applyFont="1" applyNumberFormat="1">
      <alignment horizontal="right" vertical="center"/>
    </xf>
    <xf borderId="35" fillId="14" fontId="11" numFmtId="38" xfId="0" applyAlignment="1" applyBorder="1" applyFont="1" applyNumberFormat="1">
      <alignment shrinkToFit="1" vertical="center" wrapText="0"/>
    </xf>
    <xf borderId="34" fillId="14" fontId="11" numFmtId="38" xfId="0" applyAlignment="1" applyBorder="1" applyFont="1" applyNumberFormat="1">
      <alignment shrinkToFit="1" vertical="center" wrapText="0"/>
    </xf>
    <xf borderId="36" fillId="14" fontId="11" numFmtId="38" xfId="0" applyAlignment="1" applyBorder="1" applyFont="1" applyNumberFormat="1">
      <alignment shrinkToFit="1" vertical="center" wrapText="0"/>
    </xf>
    <xf borderId="32" fillId="14" fontId="19" numFmtId="0" xfId="0" applyAlignment="1" applyBorder="1" applyFont="1">
      <alignment horizontal="left" vertical="center"/>
    </xf>
    <xf borderId="33" fillId="14" fontId="17" numFmtId="0" xfId="0" applyAlignment="1" applyBorder="1" applyFont="1">
      <alignment horizontal="right" vertical="center"/>
    </xf>
    <xf borderId="16" fillId="14" fontId="19" numFmtId="0" xfId="0" applyAlignment="1" applyBorder="1" applyFont="1">
      <alignment horizontal="left" vertical="center"/>
    </xf>
    <xf borderId="17" fillId="14" fontId="17" numFmtId="0" xfId="0" applyAlignment="1" applyBorder="1" applyFont="1">
      <alignment horizontal="right" vertical="center"/>
    </xf>
    <xf borderId="19" fillId="14" fontId="11" numFmtId="38" xfId="0" applyAlignment="1" applyBorder="1" applyFont="1" applyNumberFormat="1">
      <alignment shrinkToFit="1" vertical="center" wrapText="0"/>
    </xf>
    <xf borderId="18" fillId="14" fontId="11" numFmtId="38" xfId="0" applyAlignment="1" applyBorder="1" applyFont="1" applyNumberFormat="1">
      <alignment shrinkToFit="1" vertical="center" wrapText="0"/>
    </xf>
    <xf borderId="20" fillId="14" fontId="11" numFmtId="38" xfId="0" applyAlignment="1" applyBorder="1" applyFont="1" applyNumberFormat="1">
      <alignment shrinkToFit="1" vertical="center" wrapText="0"/>
    </xf>
    <xf borderId="17" fillId="9" fontId="20" numFmtId="169" xfId="0" applyAlignment="1" applyBorder="1" applyFont="1" applyNumberFormat="1">
      <alignment horizontal="right" shrinkToFit="1" vertical="center" wrapText="0"/>
    </xf>
    <xf borderId="28" fillId="9" fontId="17" numFmtId="169" xfId="0" applyAlignment="1" applyBorder="1" applyFont="1" applyNumberFormat="1">
      <alignment horizontal="right" shrinkToFit="1" vertical="center" wrapText="0"/>
    </xf>
    <xf borderId="28" fillId="9" fontId="15" numFmtId="164" xfId="0" applyAlignment="1" applyBorder="1" applyFont="1" applyNumberFormat="1">
      <alignment horizontal="right" shrinkToFit="1" vertical="center" wrapText="0"/>
    </xf>
    <xf borderId="30" fillId="9" fontId="13" numFmtId="164" xfId="0" applyAlignment="1" applyBorder="1" applyFont="1" applyNumberFormat="1">
      <alignment shrinkToFit="1" vertical="center" wrapText="0"/>
    </xf>
    <xf borderId="29" fillId="9" fontId="13" numFmtId="164" xfId="0" applyAlignment="1" applyBorder="1" applyFont="1" applyNumberFormat="1">
      <alignment shrinkToFit="1" vertical="center" wrapText="0"/>
    </xf>
    <xf borderId="31" fillId="9" fontId="13" numFmtId="164" xfId="0" applyAlignment="1" applyBorder="1" applyFont="1" applyNumberFormat="1">
      <alignment shrinkToFit="1" vertical="center" wrapText="0"/>
    </xf>
    <xf borderId="28" fillId="11" fontId="20" numFmtId="169" xfId="0" applyAlignment="1" applyBorder="1" applyFont="1" applyNumberFormat="1">
      <alignment horizontal="right" shrinkToFit="1" vertical="center" wrapText="0"/>
    </xf>
    <xf borderId="27" fillId="11" fontId="14" numFmtId="10" xfId="0" applyAlignment="1" applyBorder="1" applyFont="1" applyNumberFormat="1">
      <alignment shrinkToFit="1" vertical="center" wrapText="0"/>
    </xf>
    <xf borderId="28" fillId="11" fontId="17" numFmtId="169" xfId="0" applyAlignment="1" applyBorder="1" applyFont="1" applyNumberFormat="1">
      <alignment horizontal="right" shrinkToFit="1" vertical="center" wrapText="0"/>
    </xf>
    <xf borderId="28" fillId="11" fontId="15" numFmtId="10" xfId="0" applyAlignment="1" applyBorder="1" applyFont="1" applyNumberFormat="1">
      <alignment horizontal="right" shrinkToFit="1" vertical="center" wrapText="0"/>
    </xf>
    <xf borderId="11" fillId="5" fontId="11" numFmtId="169" xfId="0" applyAlignment="1" applyBorder="1" applyFont="1" applyNumberFormat="1">
      <alignment horizontal="left" vertical="center"/>
    </xf>
    <xf borderId="14" fillId="5" fontId="11" numFmtId="169" xfId="0" applyAlignment="1" applyBorder="1" applyFont="1" applyNumberFormat="1">
      <alignment shrinkToFit="1" vertical="center" wrapText="0"/>
    </xf>
    <xf borderId="13" fillId="5" fontId="11" numFmtId="169" xfId="0" applyAlignment="1" applyBorder="1" applyFont="1" applyNumberFormat="1">
      <alignment shrinkToFit="1" vertical="center" wrapText="0"/>
    </xf>
    <xf borderId="15" fillId="5" fontId="11" numFmtId="169" xfId="0" applyAlignment="1" applyBorder="1" applyFont="1" applyNumberFormat="1">
      <alignment shrinkToFit="1" vertical="center" wrapText="0"/>
    </xf>
    <xf borderId="37" fillId="5" fontId="13" numFmtId="164" xfId="0" applyAlignment="1" applyBorder="1" applyFont="1" applyNumberFormat="1">
      <alignment horizontal="left" vertical="center"/>
    </xf>
    <xf borderId="38" fillId="5" fontId="13" numFmtId="164" xfId="0" applyAlignment="1" applyBorder="1" applyFont="1" applyNumberFormat="1">
      <alignment horizontal="left" shrinkToFit="1" vertical="center" wrapText="0"/>
    </xf>
    <xf borderId="39" fillId="5" fontId="13" numFmtId="164" xfId="0" applyAlignment="1" applyBorder="1" applyFont="1" applyNumberFormat="1">
      <alignment shrinkToFit="1" vertical="center" wrapText="0"/>
    </xf>
    <xf borderId="40" fillId="5" fontId="13" numFmtId="164" xfId="0" applyAlignment="1" applyBorder="1" applyFont="1" applyNumberFormat="1">
      <alignment shrinkToFit="1" vertical="center" wrapText="0"/>
    </xf>
    <xf borderId="41" fillId="5" fontId="13" numFmtId="164" xfId="0" applyAlignment="1" applyBorder="1" applyFont="1" applyNumberFormat="1">
      <alignment shrinkToFit="1" vertical="center" wrapText="0"/>
    </xf>
    <xf borderId="42" fillId="15" fontId="11" numFmtId="169" xfId="0" applyAlignment="1" applyBorder="1" applyFill="1" applyFont="1" applyNumberFormat="1">
      <alignment horizontal="left" vertical="center"/>
    </xf>
    <xf borderId="43" fillId="15" fontId="11" numFmtId="169" xfId="0" applyAlignment="1" applyBorder="1" applyFont="1" applyNumberFormat="1">
      <alignment horizontal="left" shrinkToFit="1" vertical="center" wrapText="0"/>
    </xf>
    <xf borderId="44" fillId="15" fontId="11" numFmtId="169" xfId="0" applyAlignment="1" applyBorder="1" applyFont="1" applyNumberFormat="1">
      <alignment horizontal="right" shrinkToFit="1" vertical="center" wrapText="0"/>
    </xf>
    <xf borderId="45" fillId="15" fontId="11" numFmtId="169" xfId="0" applyAlignment="1" applyBorder="1" applyFont="1" applyNumberFormat="1">
      <alignment horizontal="right" shrinkToFit="1" vertical="center" wrapText="0"/>
    </xf>
    <xf borderId="46" fillId="15" fontId="11" numFmtId="169" xfId="0" applyAlignment="1" applyBorder="1" applyFont="1" applyNumberFormat="1">
      <alignment horizontal="right" shrinkToFit="1" vertical="center" wrapText="0"/>
    </xf>
    <xf borderId="47" fillId="15" fontId="11" numFmtId="169" xfId="0" applyAlignment="1" applyBorder="1" applyFont="1" applyNumberFormat="1">
      <alignment horizontal="right" shrinkToFit="1" vertical="center" wrapText="0"/>
    </xf>
    <xf borderId="42" fillId="16" fontId="11" numFmtId="169" xfId="0" applyAlignment="1" applyBorder="1" applyFill="1" applyFont="1" applyNumberFormat="1">
      <alignment horizontal="left" vertical="center"/>
    </xf>
    <xf borderId="44" fillId="16" fontId="11" numFmtId="169" xfId="0" applyAlignment="1" applyBorder="1" applyFont="1" applyNumberFormat="1">
      <alignment horizontal="right" vertical="center"/>
    </xf>
    <xf borderId="45" fillId="16" fontId="11" numFmtId="169" xfId="0" applyAlignment="1" applyBorder="1" applyFont="1" applyNumberFormat="1">
      <alignment horizontal="right" vertical="center"/>
    </xf>
    <xf borderId="46" fillId="16" fontId="11" numFmtId="169" xfId="0" applyAlignment="1" applyBorder="1" applyFont="1" applyNumberFormat="1">
      <alignment horizontal="right" vertical="center"/>
    </xf>
    <xf borderId="48" fillId="16" fontId="11" numFmtId="169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 outlineLevelCol="1" outlineLevelRow="1"/>
  <cols>
    <col customWidth="1" min="1" max="1" width="2.0"/>
    <col customWidth="1" min="2" max="2" width="26.57"/>
    <col customWidth="1" min="3" max="10" width="16.57" outlineLevel="1"/>
    <col customWidth="1" min="11" max="12" width="16.57"/>
    <col customWidth="1" min="13" max="15" width="16.57" outlineLevel="1"/>
    <col customWidth="1" min="16" max="18" width="16.57"/>
  </cols>
  <sheetData>
    <row r="1" ht="18.0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ht="18.0" hidden="1" customHeight="1" outlineLevel="1">
      <c r="A2" s="4"/>
      <c r="B2" s="5" t="s">
        <v>17</v>
      </c>
      <c r="C2" s="6"/>
      <c r="D2" s="6"/>
      <c r="E2" s="6"/>
      <c r="F2" s="6"/>
      <c r="G2" s="7"/>
      <c r="H2" s="6"/>
      <c r="I2" s="6"/>
      <c r="J2" s="6"/>
      <c r="K2" s="6"/>
      <c r="L2" s="6"/>
      <c r="M2" s="7">
        <v>1033.0</v>
      </c>
      <c r="N2" s="7">
        <v>842.0</v>
      </c>
      <c r="O2" s="7">
        <v>225.0</v>
      </c>
      <c r="P2" s="7">
        <v>2100.0</v>
      </c>
      <c r="Q2" s="7"/>
      <c r="R2" s="7"/>
    </row>
    <row r="3" ht="18.0" hidden="1" customHeight="1" outlineLevel="1">
      <c r="A3" s="4"/>
      <c r="B3" s="5" t="s">
        <v>18</v>
      </c>
      <c r="C3" s="6"/>
      <c r="D3" s="6"/>
      <c r="E3" s="6"/>
      <c r="F3" s="6"/>
      <c r="G3" s="7"/>
      <c r="H3" s="6"/>
      <c r="I3" s="6"/>
      <c r="J3" s="6"/>
      <c r="K3" s="6"/>
      <c r="L3" s="6"/>
      <c r="M3" s="7">
        <v>3763.0</v>
      </c>
      <c r="N3" s="7">
        <v>3246.0</v>
      </c>
      <c r="O3" s="7">
        <v>4298.0</v>
      </c>
      <c r="P3" s="7">
        <v>11307.0</v>
      </c>
      <c r="Q3" s="7"/>
      <c r="R3" s="7"/>
    </row>
    <row r="4" ht="18.0" hidden="1" customHeight="1" outlineLevel="1">
      <c r="A4" s="4"/>
      <c r="B4" s="5" t="s">
        <v>19</v>
      </c>
      <c r="C4" s="6"/>
      <c r="D4" s="6"/>
      <c r="E4" s="6"/>
      <c r="F4" s="6"/>
      <c r="G4" s="7"/>
      <c r="H4" s="6"/>
      <c r="I4" s="6"/>
      <c r="J4" s="6"/>
      <c r="K4" s="6"/>
      <c r="L4" s="6"/>
      <c r="M4" s="7">
        <v>4796.0</v>
      </c>
      <c r="N4" s="7">
        <v>4088.0</v>
      </c>
      <c r="O4" s="7">
        <v>4523.0</v>
      </c>
      <c r="P4" s="7">
        <v>13407.0</v>
      </c>
      <c r="Q4" s="7"/>
      <c r="R4" s="7"/>
    </row>
    <row r="5" ht="18.0" hidden="1" customHeight="1" outlineLevel="1">
      <c r="A5" s="4"/>
      <c r="B5" s="5" t="s">
        <v>20</v>
      </c>
      <c r="C5" s="6"/>
      <c r="D5" s="6"/>
      <c r="E5" s="6"/>
      <c r="F5" s="6"/>
      <c r="G5" s="7"/>
      <c r="H5" s="6"/>
      <c r="I5" s="6"/>
      <c r="J5" s="6"/>
      <c r="K5" s="6"/>
      <c r="L5" s="6"/>
      <c r="M5" s="7">
        <v>1390.0</v>
      </c>
      <c r="N5" s="7">
        <v>1175.0</v>
      </c>
      <c r="O5" s="7">
        <v>1329.0</v>
      </c>
      <c r="P5" s="7">
        <v>3894.0</v>
      </c>
      <c r="Q5" s="7"/>
      <c r="R5" s="7"/>
    </row>
    <row r="6" ht="18.0" hidden="1" customHeight="1" outlineLevel="1">
      <c r="A6" s="4"/>
      <c r="B6" s="8" t="s">
        <v>21</v>
      </c>
      <c r="C6" s="6"/>
      <c r="D6" s="6"/>
      <c r="E6" s="6"/>
      <c r="F6" s="6"/>
      <c r="G6" s="9"/>
      <c r="H6" s="6"/>
      <c r="I6" s="6"/>
      <c r="J6" s="6"/>
      <c r="K6" s="6"/>
      <c r="L6" s="6"/>
      <c r="M6" s="9">
        <v>0.7979334098737084</v>
      </c>
      <c r="N6" s="9">
        <v>0.6317204301075269</v>
      </c>
      <c r="O6" s="9">
        <v>0.830625</v>
      </c>
      <c r="P6" s="9">
        <v>0.7657817109144542</v>
      </c>
      <c r="Q6" s="9"/>
      <c r="R6" s="9"/>
    </row>
    <row r="7" ht="18.0" hidden="1" customHeight="1" outlineLevel="1">
      <c r="A7" s="4"/>
      <c r="B7" s="5" t="s">
        <v>22</v>
      </c>
      <c r="C7" s="6"/>
      <c r="D7" s="6"/>
      <c r="E7" s="6"/>
      <c r="F7" s="6"/>
      <c r="G7" s="7"/>
      <c r="H7" s="6"/>
      <c r="I7" s="6"/>
      <c r="J7" s="6"/>
      <c r="K7" s="6"/>
      <c r="L7" s="6"/>
      <c r="M7" s="7">
        <v>11946.0</v>
      </c>
      <c r="N7" s="7">
        <v>10006.0</v>
      </c>
      <c r="O7" s="7">
        <v>13056.0</v>
      </c>
      <c r="P7" s="7">
        <v>12366.0</v>
      </c>
      <c r="Q7" s="7"/>
      <c r="R7" s="7"/>
    </row>
    <row r="8" ht="18.0" hidden="1" customHeight="1" outlineLevel="1">
      <c r="A8" s="10"/>
      <c r="B8" s="11" t="s">
        <v>23</v>
      </c>
      <c r="C8" s="12"/>
      <c r="D8" s="12"/>
      <c r="E8" s="12"/>
      <c r="F8" s="12"/>
      <c r="G8" s="13"/>
      <c r="H8" s="12"/>
      <c r="I8" s="12"/>
      <c r="J8" s="12"/>
      <c r="K8" s="12"/>
      <c r="L8" s="12"/>
      <c r="M8" s="13">
        <v>3.450359712230216</v>
      </c>
      <c r="N8" s="13">
        <v>3.479148936170213</v>
      </c>
      <c r="O8" s="13">
        <v>3.4033107599699024</v>
      </c>
      <c r="P8" s="13">
        <v>3.442989214175655</v>
      </c>
      <c r="Q8" s="13"/>
      <c r="R8" s="13"/>
      <c r="S8" s="14"/>
      <c r="T8" s="14"/>
      <c r="U8" s="14"/>
      <c r="V8" s="14"/>
      <c r="W8" s="14"/>
      <c r="X8" s="14"/>
      <c r="Y8" s="14"/>
      <c r="Z8" s="14"/>
    </row>
    <row r="9" ht="18.0" customHeight="1" collapsed="1">
      <c r="A9" s="4"/>
      <c r="B9" s="15" t="s">
        <v>24</v>
      </c>
      <c r="C9" s="16">
        <v>1.4681018E7</v>
      </c>
      <c r="D9" s="16">
        <v>1.70203E7</v>
      </c>
      <c r="E9" s="16">
        <v>5.5109043E7</v>
      </c>
      <c r="F9" s="16">
        <v>6392580.0</v>
      </c>
      <c r="G9" s="16">
        <v>9343853.0</v>
      </c>
      <c r="H9" s="16">
        <v>5520105.0</v>
      </c>
      <c r="I9" s="16">
        <v>0.0</v>
      </c>
      <c r="J9" s="16">
        <v>1.0559687E7</v>
      </c>
      <c r="K9" s="16">
        <v>1.18626586E8</v>
      </c>
      <c r="L9" s="16">
        <v>0.0</v>
      </c>
      <c r="M9" s="16">
        <v>5.7289164E7</v>
      </c>
      <c r="N9" s="16">
        <v>4.944134E7</v>
      </c>
      <c r="O9" s="16">
        <v>5.9052174E7</v>
      </c>
      <c r="P9" s="16">
        <v>1.65782678E8</v>
      </c>
      <c r="Q9" s="16">
        <v>0.0</v>
      </c>
      <c r="R9" s="16">
        <v>2.84409264E8</v>
      </c>
    </row>
    <row r="10" ht="18.0" customHeight="1">
      <c r="A10" s="4"/>
      <c r="B10" s="15" t="s">
        <v>25</v>
      </c>
      <c r="C10" s="16">
        <v>2265743.0</v>
      </c>
      <c r="D10" s="16">
        <v>2120266.0</v>
      </c>
      <c r="E10" s="16">
        <v>1.0319009E7</v>
      </c>
      <c r="F10" s="16">
        <v>881211.0</v>
      </c>
      <c r="G10" s="16">
        <v>1022232.0</v>
      </c>
      <c r="H10" s="16">
        <v>0.0</v>
      </c>
      <c r="I10" s="16">
        <v>0.0</v>
      </c>
      <c r="J10" s="16">
        <v>529597.0</v>
      </c>
      <c r="K10" s="16">
        <v>1.7138058E7</v>
      </c>
      <c r="L10" s="16">
        <v>0.0</v>
      </c>
      <c r="M10" s="16">
        <v>3732501.0</v>
      </c>
      <c r="N10" s="16">
        <v>4472956.0</v>
      </c>
      <c r="O10" s="16">
        <v>8201853.0</v>
      </c>
      <c r="P10" s="16">
        <v>1.640731E7</v>
      </c>
      <c r="Q10" s="16">
        <v>0.0</v>
      </c>
      <c r="R10" s="16">
        <v>3.3545368E7</v>
      </c>
    </row>
    <row r="11" ht="18.0" hidden="1" customHeight="1" outlineLevel="1">
      <c r="A11" s="17"/>
      <c r="B11" s="18" t="s">
        <v>26</v>
      </c>
      <c r="C11" s="19">
        <v>0.155</v>
      </c>
      <c r="D11" s="19">
        <v>0.125</v>
      </c>
      <c r="E11" s="19">
        <v>0.188</v>
      </c>
      <c r="F11" s="19">
        <v>0.138</v>
      </c>
      <c r="G11" s="19">
        <v>0.11</v>
      </c>
      <c r="H11" s="19">
        <v>0.0</v>
      </c>
      <c r="I11" s="19" t="e">
        <v>#DIV/0!</v>
      </c>
      <c r="J11" s="19">
        <v>0.051000000000000004</v>
      </c>
      <c r="K11" s="19">
        <v>0.145</v>
      </c>
      <c r="L11" s="19" t="e">
        <v>#DIV/0!</v>
      </c>
      <c r="M11" s="19">
        <v>0.066</v>
      </c>
      <c r="N11" s="19">
        <v>0.091</v>
      </c>
      <c r="O11" s="19">
        <v>0.139</v>
      </c>
      <c r="P11" s="19">
        <v>0.099</v>
      </c>
      <c r="Q11" s="19" t="e">
        <v>#DIV/0!</v>
      </c>
      <c r="R11" s="19">
        <v>0.11800000000000001</v>
      </c>
      <c r="S11" s="20"/>
      <c r="T11" s="20"/>
      <c r="U11" s="20"/>
      <c r="V11" s="20"/>
      <c r="W11" s="20"/>
      <c r="X11" s="20"/>
      <c r="Y11" s="20"/>
      <c r="Z11" s="20"/>
    </row>
    <row r="12" ht="18.0" customHeight="1" collapsed="1">
      <c r="A12" s="21"/>
      <c r="B12" s="22" t="s">
        <v>27</v>
      </c>
      <c r="C12" s="23">
        <v>1.2415275E7</v>
      </c>
      <c r="D12" s="23">
        <v>1.4900034E7</v>
      </c>
      <c r="E12" s="23">
        <v>4.4790034E7</v>
      </c>
      <c r="F12" s="23">
        <v>5511369.0</v>
      </c>
      <c r="G12" s="23">
        <v>8321621.0</v>
      </c>
      <c r="H12" s="23">
        <v>5520105.0</v>
      </c>
      <c r="I12" s="23">
        <v>0.0</v>
      </c>
      <c r="J12" s="23">
        <v>1.003009E7</v>
      </c>
      <c r="K12" s="23">
        <v>1.01488528E8</v>
      </c>
      <c r="L12" s="23">
        <v>0.0</v>
      </c>
      <c r="M12" s="23">
        <v>5.3556663E7</v>
      </c>
      <c r="N12" s="23">
        <v>4.4968384E7</v>
      </c>
      <c r="O12" s="23">
        <v>5.0850321E7</v>
      </c>
      <c r="P12" s="23">
        <v>1.49375368E8</v>
      </c>
      <c r="Q12" s="23">
        <v>0.0</v>
      </c>
      <c r="R12" s="23">
        <v>2.50863896E8</v>
      </c>
    </row>
    <row r="13" ht="18.0" customHeight="1">
      <c r="A13" s="21"/>
      <c r="B13" s="21" t="s">
        <v>28</v>
      </c>
      <c r="C13" s="24">
        <v>4991374.0</v>
      </c>
      <c r="D13" s="24">
        <v>4556042.0</v>
      </c>
      <c r="E13" s="24">
        <v>1.0292246E7</v>
      </c>
      <c r="F13" s="24">
        <v>2716656.0</v>
      </c>
      <c r="G13" s="24">
        <v>2740591.0</v>
      </c>
      <c r="H13" s="24">
        <v>1677500.0</v>
      </c>
      <c r="I13" s="24">
        <v>0.0</v>
      </c>
      <c r="J13" s="24">
        <v>3922955.0</v>
      </c>
      <c r="K13" s="24">
        <v>3.0897364E7</v>
      </c>
      <c r="L13" s="24">
        <v>7875095.0</v>
      </c>
      <c r="M13" s="24">
        <v>1.6291987E7</v>
      </c>
      <c r="N13" s="24">
        <v>1.6813696E7</v>
      </c>
      <c r="O13" s="24">
        <v>1.739892E7</v>
      </c>
      <c r="P13" s="24">
        <v>5.0504603E7</v>
      </c>
      <c r="Q13" s="24">
        <v>9449342.0</v>
      </c>
      <c r="R13" s="24">
        <v>8.1401967E7</v>
      </c>
    </row>
    <row r="14" ht="18.0" customHeight="1">
      <c r="A14" s="21"/>
      <c r="B14" s="21" t="s">
        <v>29</v>
      </c>
      <c r="C14" s="24">
        <v>4838954.0</v>
      </c>
      <c r="D14" s="24">
        <v>4799366.0</v>
      </c>
      <c r="E14" s="24">
        <v>1.1466992E7</v>
      </c>
      <c r="F14" s="24">
        <v>1938606.0</v>
      </c>
      <c r="G14" s="24">
        <v>2677905.0</v>
      </c>
      <c r="H14" s="24">
        <v>1465504.0</v>
      </c>
      <c r="I14" s="24">
        <v>0.0</v>
      </c>
      <c r="J14" s="24">
        <v>2705511.0</v>
      </c>
      <c r="K14" s="24">
        <v>2.9892838E7</v>
      </c>
      <c r="L14" s="24">
        <v>1114405.0</v>
      </c>
      <c r="M14" s="24">
        <v>1.2562412E7</v>
      </c>
      <c r="N14" s="24">
        <v>2.2310447E7</v>
      </c>
      <c r="O14" s="24">
        <v>1.5287451E7</v>
      </c>
      <c r="P14" s="24">
        <v>5.016031E7</v>
      </c>
      <c r="Q14" s="24">
        <v>105247.0</v>
      </c>
      <c r="R14" s="24">
        <v>8.0053148E7</v>
      </c>
    </row>
    <row r="15" ht="18.0" customHeight="1">
      <c r="A15" s="21"/>
      <c r="B15" s="21" t="s">
        <v>30</v>
      </c>
      <c r="C15" s="24">
        <v>1038832.0</v>
      </c>
      <c r="D15" s="24">
        <v>2072942.0</v>
      </c>
      <c r="E15" s="24">
        <v>7299468.0</v>
      </c>
      <c r="F15" s="24">
        <v>504168.0</v>
      </c>
      <c r="G15" s="24">
        <v>1003335.0</v>
      </c>
      <c r="H15" s="24">
        <v>859802.0</v>
      </c>
      <c r="I15" s="24">
        <v>0.0</v>
      </c>
      <c r="J15" s="24">
        <v>235843.0</v>
      </c>
      <c r="K15" s="24">
        <v>1.301439E7</v>
      </c>
      <c r="L15" s="24">
        <v>1957885.0</v>
      </c>
      <c r="M15" s="24">
        <v>4635781.0</v>
      </c>
      <c r="N15" s="24">
        <v>3913775.0</v>
      </c>
      <c r="O15" s="24">
        <v>7174847.0</v>
      </c>
      <c r="P15" s="24">
        <v>1.5724403E7</v>
      </c>
      <c r="Q15" s="24">
        <v>211860.0</v>
      </c>
      <c r="R15" s="24">
        <v>2.8738793E7</v>
      </c>
    </row>
    <row r="16" ht="18.0" customHeight="1">
      <c r="A16" s="21"/>
      <c r="B16" s="21" t="s">
        <v>31</v>
      </c>
      <c r="C16" s="24">
        <v>1372326.0</v>
      </c>
      <c r="D16" s="24">
        <v>1393640.0</v>
      </c>
      <c r="E16" s="24">
        <v>5037999.0</v>
      </c>
      <c r="F16" s="24">
        <v>730784.0</v>
      </c>
      <c r="G16" s="24">
        <v>762741.0</v>
      </c>
      <c r="H16" s="24">
        <v>556195.0</v>
      </c>
      <c r="I16" s="24">
        <v>0.0</v>
      </c>
      <c r="J16" s="24">
        <v>1093700.0</v>
      </c>
      <c r="K16" s="24">
        <v>1.0947385E7</v>
      </c>
      <c r="L16" s="24">
        <v>0.0</v>
      </c>
      <c r="M16" s="24">
        <v>3255483.0</v>
      </c>
      <c r="N16" s="24">
        <v>3255483.0</v>
      </c>
      <c r="O16" s="24">
        <v>3255483.0</v>
      </c>
      <c r="P16" s="24">
        <v>9766449.0</v>
      </c>
      <c r="Q16" s="24">
        <v>0.0</v>
      </c>
      <c r="R16" s="24">
        <v>2.0713834E7</v>
      </c>
    </row>
    <row r="17" ht="18.0" customHeight="1">
      <c r="A17" s="21"/>
      <c r="B17" s="22" t="s">
        <v>32</v>
      </c>
      <c r="C17" s="23">
        <v>1.2241486E7</v>
      </c>
      <c r="D17" s="23">
        <v>1.282199E7</v>
      </c>
      <c r="E17" s="23">
        <v>3.4096705E7</v>
      </c>
      <c r="F17" s="23">
        <v>5890214.0</v>
      </c>
      <c r="G17" s="23">
        <v>7184572.0</v>
      </c>
      <c r="H17" s="23">
        <v>4559001.0</v>
      </c>
      <c r="I17" s="23">
        <v>0.0</v>
      </c>
      <c r="J17" s="23">
        <v>7958009.0</v>
      </c>
      <c r="K17" s="23">
        <v>8.4751977E7</v>
      </c>
      <c r="L17" s="23">
        <v>1.0947385E7</v>
      </c>
      <c r="M17" s="23">
        <v>3.6745663E7</v>
      </c>
      <c r="N17" s="23">
        <v>4.6293401E7</v>
      </c>
      <c r="O17" s="23">
        <v>4.3116701E7</v>
      </c>
      <c r="P17" s="23">
        <v>1.26155765E8</v>
      </c>
      <c r="Q17" s="23">
        <v>9766449.0</v>
      </c>
      <c r="R17" s="23">
        <v>2.10907742E8</v>
      </c>
    </row>
    <row r="18" ht="18.0" customHeight="1">
      <c r="A18" s="21"/>
      <c r="B18" s="25" t="s">
        <v>33</v>
      </c>
      <c r="C18" s="26">
        <v>173789.0</v>
      </c>
      <c r="D18" s="26">
        <v>2078044.0</v>
      </c>
      <c r="E18" s="26">
        <v>1.0693329E7</v>
      </c>
      <c r="F18" s="26">
        <v>-378845.0</v>
      </c>
      <c r="G18" s="26">
        <v>1137049.0</v>
      </c>
      <c r="H18" s="26">
        <v>961104.0</v>
      </c>
      <c r="I18" s="26">
        <v>0.0</v>
      </c>
      <c r="J18" s="26">
        <v>2072081.0</v>
      </c>
      <c r="K18" s="26">
        <v>1.6736551E7</v>
      </c>
      <c r="L18" s="26">
        <v>-1.0947385E7</v>
      </c>
      <c r="M18" s="26">
        <v>1.6811E7</v>
      </c>
      <c r="N18" s="26">
        <v>-1325017.0</v>
      </c>
      <c r="O18" s="26">
        <v>7733620.0</v>
      </c>
      <c r="P18" s="26">
        <v>2.3219603E7</v>
      </c>
      <c r="Q18" s="26">
        <v>-9766449.0</v>
      </c>
      <c r="R18" s="26">
        <v>3.9956154E7</v>
      </c>
    </row>
    <row r="19" ht="18.0" customHeight="1">
      <c r="A19" s="27"/>
      <c r="B19" s="28" t="s">
        <v>34</v>
      </c>
      <c r="C19" s="29">
        <v>0.01183766684299413</v>
      </c>
      <c r="D19" s="29">
        <v>0.12209209003366568</v>
      </c>
      <c r="E19" s="29">
        <v>0.1940394610009831</v>
      </c>
      <c r="F19" s="29">
        <v>-0.059263239568374586</v>
      </c>
      <c r="G19" s="29">
        <v>0.12168952144259974</v>
      </c>
      <c r="H19" s="29">
        <v>0.17410973160836615</v>
      </c>
      <c r="I19" s="29" t="e">
        <v>#DIV/0!</v>
      </c>
      <c r="J19" s="29">
        <v>0.1962256078234137</v>
      </c>
      <c r="K19" s="29">
        <v>0.1410860041104108</v>
      </c>
      <c r="L19" s="29" t="e">
        <v>#DIV/0!</v>
      </c>
      <c r="M19" s="29">
        <v>0.2934411820008405</v>
      </c>
      <c r="N19" s="29">
        <v>-0.026799779294007807</v>
      </c>
      <c r="O19" s="29">
        <v>0.13096249428513843</v>
      </c>
      <c r="P19" s="29">
        <v>0.1400604893111933</v>
      </c>
      <c r="Q19" s="29" t="e">
        <v>#DIV/0!</v>
      </c>
      <c r="R19" s="29">
        <v>0.14048822966610539</v>
      </c>
    </row>
    <row r="20" ht="18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8.0" hidden="1" customHeight="1" outlineLevel="1">
      <c r="A21" s="4"/>
      <c r="B21" s="4" t="s">
        <v>35</v>
      </c>
      <c r="C21" s="21">
        <v>466129.0</v>
      </c>
      <c r="D21" s="21">
        <v>1087635.0</v>
      </c>
      <c r="E21" s="21">
        <v>5540316.0</v>
      </c>
      <c r="F21" s="21">
        <v>267608.0</v>
      </c>
      <c r="G21" s="21">
        <v>804607.0</v>
      </c>
      <c r="H21" s="21">
        <v>679279.0</v>
      </c>
      <c r="I21" s="21">
        <v>0.0</v>
      </c>
      <c r="J21" s="21">
        <v>0.0</v>
      </c>
      <c r="K21" s="21">
        <v>8845574.0</v>
      </c>
      <c r="L21" s="21">
        <v>1597393.0</v>
      </c>
      <c r="M21" s="21">
        <v>2084941.0</v>
      </c>
      <c r="N21" s="21">
        <v>2799672.0</v>
      </c>
      <c r="O21" s="21">
        <v>4940560.0</v>
      </c>
      <c r="P21" s="21">
        <v>9825173.0</v>
      </c>
      <c r="Q21" s="21">
        <v>0.0</v>
      </c>
      <c r="R21" s="21">
        <v>1.8670747E7</v>
      </c>
    </row>
    <row r="22" ht="18.0" hidden="1" customHeight="1" outlineLevel="1">
      <c r="A22" s="4"/>
      <c r="B22" s="4" t="s">
        <v>36</v>
      </c>
      <c r="C22" s="30">
        <v>639918.0</v>
      </c>
      <c r="D22" s="30">
        <v>3165679.0</v>
      </c>
      <c r="E22" s="30">
        <v>1.6233645E7</v>
      </c>
      <c r="F22" s="30">
        <v>-111237.0</v>
      </c>
      <c r="G22" s="30">
        <v>1941656.0</v>
      </c>
      <c r="H22" s="30">
        <v>1640383.0</v>
      </c>
      <c r="I22" s="30">
        <v>0.0</v>
      </c>
      <c r="J22" s="30">
        <v>2072081.0</v>
      </c>
      <c r="K22" s="30">
        <v>2.5582125E7</v>
      </c>
      <c r="L22" s="30">
        <v>-9349992.0</v>
      </c>
      <c r="M22" s="30">
        <v>1.8895941E7</v>
      </c>
      <c r="N22" s="30">
        <v>1474655.0</v>
      </c>
      <c r="O22" s="30">
        <v>1.267418E7</v>
      </c>
      <c r="P22" s="30">
        <v>3.3044776E7</v>
      </c>
      <c r="Q22" s="30">
        <v>-9766449.0</v>
      </c>
      <c r="R22" s="30">
        <v>5.8626901E7</v>
      </c>
    </row>
    <row r="23" ht="18.0" customHeight="1" collapsed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8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8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8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8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8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8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8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8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Row="1"/>
  <cols>
    <col customWidth="1" min="1" max="1" width="0.14"/>
    <col customWidth="1" min="2" max="2" width="26.57"/>
    <col customWidth="1" min="3" max="3" width="16.57"/>
    <col customWidth="1" min="4" max="13" width="16.86"/>
    <col customWidth="1" min="14" max="14" width="3.43"/>
    <col customWidth="1" min="15" max="17" width="13.43"/>
    <col customWidth="1" min="18" max="18" width="10.43"/>
    <col customWidth="1" min="19" max="19" width="11.57"/>
    <col customWidth="1" min="20" max="28" width="8.57"/>
  </cols>
  <sheetData>
    <row r="1" ht="18.0" customHeight="1">
      <c r="A1" s="1"/>
      <c r="B1" s="2" t="s">
        <v>0</v>
      </c>
      <c r="C1" s="31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8.0" hidden="1" customHeight="1" outlineLevel="1">
      <c r="A2" s="4"/>
      <c r="B2" s="5" t="s">
        <v>17</v>
      </c>
      <c r="C2" s="32"/>
      <c r="D2" s="7"/>
      <c r="E2" s="7"/>
      <c r="F2" s="7"/>
      <c r="G2" s="7"/>
      <c r="H2" s="7"/>
      <c r="I2" s="7"/>
      <c r="J2" s="7"/>
      <c r="K2" s="7"/>
      <c r="L2" s="7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8.0" hidden="1" customHeight="1" outlineLevel="1">
      <c r="A3" s="4"/>
      <c r="B3" s="5" t="s">
        <v>18</v>
      </c>
      <c r="C3" s="32"/>
      <c r="D3" s="7"/>
      <c r="E3" s="7"/>
      <c r="F3" s="7"/>
      <c r="G3" s="7"/>
      <c r="H3" s="7"/>
      <c r="I3" s="7"/>
      <c r="J3" s="7"/>
      <c r="K3" s="7"/>
      <c r="L3" s="7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8.0" hidden="1" customHeight="1" outlineLevel="1">
      <c r="A4" s="4"/>
      <c r="B4" s="5" t="s">
        <v>19</v>
      </c>
      <c r="C4" s="32"/>
      <c r="D4" s="7"/>
      <c r="E4" s="7"/>
      <c r="F4" s="7"/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8.0" hidden="1" customHeight="1" outlineLevel="1">
      <c r="A5" s="4"/>
      <c r="B5" s="5" t="s">
        <v>20</v>
      </c>
      <c r="C5" s="32"/>
      <c r="D5" s="7"/>
      <c r="E5" s="7"/>
      <c r="F5" s="7"/>
      <c r="G5" s="7"/>
      <c r="H5" s="7"/>
      <c r="I5" s="7"/>
      <c r="J5" s="7"/>
      <c r="K5" s="7"/>
      <c r="L5" s="7"/>
      <c r="M5" s="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8.0" hidden="1" customHeight="1" outlineLevel="1">
      <c r="A6" s="4"/>
      <c r="B6" s="8" t="s">
        <v>21</v>
      </c>
      <c r="C6" s="32"/>
      <c r="D6" s="9"/>
      <c r="E6" s="9"/>
      <c r="F6" s="9"/>
      <c r="G6" s="9"/>
      <c r="H6" s="9"/>
      <c r="I6" s="9"/>
      <c r="J6" s="9"/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8.0" hidden="1" customHeight="1" outlineLevel="1">
      <c r="A7" s="4"/>
      <c r="B7" s="5" t="s">
        <v>22</v>
      </c>
      <c r="C7" s="32"/>
      <c r="D7" s="7"/>
      <c r="E7" s="7"/>
      <c r="F7" s="7"/>
      <c r="G7" s="7"/>
      <c r="H7" s="7"/>
      <c r="I7" s="7"/>
      <c r="J7" s="7"/>
      <c r="K7" s="7"/>
      <c r="L7" s="7"/>
      <c r="M7" s="7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8.0" hidden="1" customHeight="1" outlineLevel="1">
      <c r="A8" s="4"/>
      <c r="B8" s="5" t="s">
        <v>23</v>
      </c>
      <c r="C8" s="32"/>
      <c r="D8" s="7"/>
      <c r="E8" s="7"/>
      <c r="F8" s="7"/>
      <c r="G8" s="7"/>
      <c r="H8" s="7"/>
      <c r="I8" s="7"/>
      <c r="J8" s="7"/>
      <c r="K8" s="7"/>
      <c r="L8" s="7"/>
      <c r="M8" s="7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8.0" hidden="1" customHeight="1" outlineLevel="1">
      <c r="A9" s="4"/>
      <c r="B9" s="33" t="s">
        <v>37</v>
      </c>
      <c r="C9" s="4"/>
      <c r="D9" s="34">
        <v>6182694.0</v>
      </c>
      <c r="E9" s="34">
        <v>4952553.0</v>
      </c>
      <c r="F9" s="34">
        <v>2.1843489E7</v>
      </c>
      <c r="G9" s="34">
        <v>2018289.0</v>
      </c>
      <c r="H9" s="34">
        <v>2311422.0</v>
      </c>
      <c r="I9" s="34">
        <v>18.0</v>
      </c>
      <c r="J9" s="34">
        <v>0.0</v>
      </c>
      <c r="K9" s="34">
        <v>1755466.0</v>
      </c>
      <c r="L9" s="34">
        <v>3.9063931E7</v>
      </c>
      <c r="M9" s="34">
        <v>0.0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8.0" hidden="1" customHeight="1" outlineLevel="1">
      <c r="A10" s="4"/>
      <c r="B10" s="33" t="s">
        <v>38</v>
      </c>
      <c r="C10" s="4"/>
      <c r="D10" s="34">
        <v>8498324.0</v>
      </c>
      <c r="E10" s="34">
        <v>1.1776941E7</v>
      </c>
      <c r="F10" s="34">
        <v>3.3045262E7</v>
      </c>
      <c r="G10" s="34">
        <v>4374200.0</v>
      </c>
      <c r="H10" s="34">
        <v>7032431.0</v>
      </c>
      <c r="I10" s="34">
        <v>5507358.0</v>
      </c>
      <c r="J10" s="34">
        <v>0.0</v>
      </c>
      <c r="K10" s="34">
        <v>8804221.0</v>
      </c>
      <c r="L10" s="34">
        <v>7.9038737E7</v>
      </c>
      <c r="M10" s="34">
        <v>0.0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8.0" hidden="1" customHeight="1" outlineLevel="1">
      <c r="A11" s="4"/>
      <c r="B11" s="33" t="s">
        <v>39</v>
      </c>
      <c r="C11" s="4"/>
      <c r="D11" s="34">
        <v>0.0</v>
      </c>
      <c r="E11" s="34">
        <v>290806.0</v>
      </c>
      <c r="F11" s="34">
        <v>220292.0</v>
      </c>
      <c r="G11" s="34">
        <v>91.0</v>
      </c>
      <c r="H11" s="34">
        <v>0.0</v>
      </c>
      <c r="I11" s="34">
        <v>12729.0</v>
      </c>
      <c r="J11" s="34">
        <v>0.0</v>
      </c>
      <c r="K11" s="34">
        <v>0.0</v>
      </c>
      <c r="L11" s="34">
        <v>523918.0</v>
      </c>
      <c r="M11" s="34">
        <v>0.0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8.0" customHeight="1" collapsed="1">
      <c r="A12" s="4"/>
      <c r="B12" s="15" t="s">
        <v>24</v>
      </c>
      <c r="C12" s="35" t="s">
        <v>40</v>
      </c>
      <c r="D12" s="36">
        <v>1.675674E7</v>
      </c>
      <c r="E12" s="36">
        <v>1.652672E7</v>
      </c>
      <c r="F12" s="36">
        <v>5.4358128E7</v>
      </c>
      <c r="G12" s="36">
        <v>6851000.0</v>
      </c>
      <c r="H12" s="36">
        <v>9968861.0</v>
      </c>
      <c r="I12" s="36">
        <v>4687200.0</v>
      </c>
      <c r="J12" s="16"/>
      <c r="K12" s="36">
        <v>1.211232E7</v>
      </c>
      <c r="L12" s="36">
        <v>1.21260969E8</v>
      </c>
      <c r="M12" s="36">
        <v>0.0</v>
      </c>
      <c r="N12" s="4"/>
      <c r="O12" s="21"/>
      <c r="P12" s="21"/>
      <c r="Q12" s="2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8.0" customHeight="1">
      <c r="A13" s="4"/>
      <c r="B13" s="15"/>
      <c r="C13" s="15" t="s">
        <v>41</v>
      </c>
      <c r="D13" s="16">
        <v>1.4681018E7</v>
      </c>
      <c r="E13" s="16">
        <v>1.70203E7</v>
      </c>
      <c r="F13" s="16">
        <v>5.5109043E7</v>
      </c>
      <c r="G13" s="16">
        <v>6392580.0</v>
      </c>
      <c r="H13" s="16">
        <v>9343853.0</v>
      </c>
      <c r="I13" s="16">
        <v>5520105.0</v>
      </c>
      <c r="J13" s="16">
        <v>0.0</v>
      </c>
      <c r="K13" s="16">
        <v>1.0559687E7</v>
      </c>
      <c r="L13" s="16">
        <v>1.18626586E8</v>
      </c>
      <c r="M13" s="16">
        <v>0.0</v>
      </c>
      <c r="N13" s="4"/>
      <c r="O13" s="21"/>
      <c r="P13" s="21"/>
      <c r="Q13" s="2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8.0" customHeight="1">
      <c r="A14" s="4"/>
      <c r="B14" s="15" t="s">
        <v>25</v>
      </c>
      <c r="C14" s="35" t="s">
        <v>40</v>
      </c>
      <c r="D14" s="36">
        <v>2023238.0</v>
      </c>
      <c r="E14" s="36">
        <v>2124111.0</v>
      </c>
      <c r="F14" s="36">
        <v>9923419.0</v>
      </c>
      <c r="G14" s="36">
        <v>906750.0</v>
      </c>
      <c r="H14" s="36">
        <v>1071027.0</v>
      </c>
      <c r="I14" s="36">
        <v>0.0</v>
      </c>
      <c r="J14" s="36"/>
      <c r="K14" s="36">
        <v>332473.0</v>
      </c>
      <c r="L14" s="36">
        <v>1.6381018E7</v>
      </c>
      <c r="M14" s="36">
        <v>0.0</v>
      </c>
      <c r="N14" s="4"/>
      <c r="O14" s="21"/>
      <c r="P14" s="21"/>
      <c r="Q14" s="2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8.0" customHeight="1">
      <c r="A15" s="4"/>
      <c r="B15" s="15"/>
      <c r="C15" s="15" t="s">
        <v>41</v>
      </c>
      <c r="D15" s="16">
        <v>2265743.0</v>
      </c>
      <c r="E15" s="16">
        <v>2120266.0</v>
      </c>
      <c r="F15" s="16">
        <v>1.0319009E7</v>
      </c>
      <c r="G15" s="16">
        <v>881211.0</v>
      </c>
      <c r="H15" s="16">
        <v>1022232.0</v>
      </c>
      <c r="I15" s="16">
        <v>0.0</v>
      </c>
      <c r="J15" s="16">
        <v>0.0</v>
      </c>
      <c r="K15" s="16">
        <v>529597.0</v>
      </c>
      <c r="L15" s="16">
        <v>1.7138058E7</v>
      </c>
      <c r="M15" s="16">
        <v>0.0</v>
      </c>
      <c r="N15" s="4"/>
      <c r="O15" s="21"/>
      <c r="P15" s="21"/>
      <c r="Q15" s="2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8.0" customHeight="1">
      <c r="A16" s="21"/>
      <c r="B16" s="22" t="s">
        <v>27</v>
      </c>
      <c r="C16" s="35" t="s">
        <v>40</v>
      </c>
      <c r="D16" s="37">
        <v>1.4733502E7</v>
      </c>
      <c r="E16" s="37">
        <v>1.4402609E7</v>
      </c>
      <c r="F16" s="37">
        <v>4.4434709E7</v>
      </c>
      <c r="G16" s="37">
        <v>5944250.0</v>
      </c>
      <c r="H16" s="37">
        <v>8897834.0</v>
      </c>
      <c r="I16" s="37">
        <v>4687200.0</v>
      </c>
      <c r="J16" s="37"/>
      <c r="K16" s="37">
        <v>1.1779847E7</v>
      </c>
      <c r="L16" s="37">
        <v>1.04879951E8</v>
      </c>
      <c r="M16" s="37">
        <v>0.0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ht="18.0" customHeight="1">
      <c r="A17" s="21"/>
      <c r="B17" s="22"/>
      <c r="C17" s="15" t="s">
        <v>41</v>
      </c>
      <c r="D17" s="23">
        <v>1.2415275E7</v>
      </c>
      <c r="E17" s="23">
        <v>1.4900034E7</v>
      </c>
      <c r="F17" s="23">
        <v>4.4790034E7</v>
      </c>
      <c r="G17" s="23">
        <v>5511369.0</v>
      </c>
      <c r="H17" s="23">
        <v>8321621.0</v>
      </c>
      <c r="I17" s="23">
        <v>5520105.0</v>
      </c>
      <c r="J17" s="23">
        <v>0.0</v>
      </c>
      <c r="K17" s="23">
        <v>1.003009E7</v>
      </c>
      <c r="L17" s="23">
        <v>1.01488528E8</v>
      </c>
      <c r="M17" s="23">
        <v>0.0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ht="18.0" customHeight="1">
      <c r="A18" s="21"/>
      <c r="B18" s="21" t="s">
        <v>28</v>
      </c>
      <c r="C18" s="4" t="s">
        <v>40</v>
      </c>
      <c r="D18" s="24">
        <v>5627052.0</v>
      </c>
      <c r="E18" s="24">
        <v>3652890.0</v>
      </c>
      <c r="F18" s="24">
        <v>1.1520689E7</v>
      </c>
      <c r="G18" s="24">
        <v>2701842.0</v>
      </c>
      <c r="H18" s="24">
        <v>2435000.0</v>
      </c>
      <c r="I18" s="24">
        <v>1671350.0</v>
      </c>
      <c r="J18" s="24">
        <v>0.0</v>
      </c>
      <c r="K18" s="24">
        <v>3105800.0</v>
      </c>
      <c r="L18" s="24">
        <v>3.0714623E7</v>
      </c>
      <c r="M18" s="24">
        <v>0.0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ht="18.0" customHeight="1">
      <c r="A19" s="21"/>
      <c r="B19" s="21"/>
      <c r="C19" s="38" t="s">
        <v>41</v>
      </c>
      <c r="D19" s="39">
        <v>4991374.0</v>
      </c>
      <c r="E19" s="39">
        <v>4556042.0</v>
      </c>
      <c r="F19" s="39">
        <v>1.0292246E7</v>
      </c>
      <c r="G19" s="39">
        <v>2716656.0</v>
      </c>
      <c r="H19" s="39">
        <v>2740591.0</v>
      </c>
      <c r="I19" s="39">
        <v>1677500.0</v>
      </c>
      <c r="J19" s="39">
        <v>0.0</v>
      </c>
      <c r="K19" s="39">
        <v>3922955.0</v>
      </c>
      <c r="L19" s="39">
        <v>3.0897364E7</v>
      </c>
      <c r="M19" s="39">
        <v>7875095.0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ht="18.0" customHeight="1" outlineLevel="1">
      <c r="A20" s="21"/>
      <c r="B20" s="40" t="s">
        <v>42</v>
      </c>
      <c r="C20" s="41" t="s">
        <v>40</v>
      </c>
      <c r="D20" s="42">
        <v>0.0</v>
      </c>
      <c r="E20" s="42">
        <v>0.0</v>
      </c>
      <c r="F20" s="42">
        <v>0.0</v>
      </c>
      <c r="G20" s="42">
        <v>0.0</v>
      </c>
      <c r="H20" s="42">
        <v>0.0</v>
      </c>
      <c r="I20" s="42">
        <v>0.0</v>
      </c>
      <c r="J20" s="42"/>
      <c r="K20" s="42">
        <v>0.0</v>
      </c>
      <c r="L20" s="42">
        <v>0.0</v>
      </c>
      <c r="M20" s="42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18.0" customHeight="1" outlineLevel="1">
      <c r="A21" s="21"/>
      <c r="B21" s="40"/>
      <c r="C21" s="43" t="s">
        <v>41</v>
      </c>
      <c r="D21" s="44">
        <v>0.0</v>
      </c>
      <c r="E21" s="44">
        <v>0.0</v>
      </c>
      <c r="F21" s="44">
        <v>0.0</v>
      </c>
      <c r="G21" s="44">
        <v>0.0</v>
      </c>
      <c r="H21" s="44">
        <v>0.0</v>
      </c>
      <c r="I21" s="44">
        <v>0.0</v>
      </c>
      <c r="J21" s="44">
        <v>0.0</v>
      </c>
      <c r="K21" s="44">
        <v>0.0</v>
      </c>
      <c r="L21" s="44">
        <v>0.0</v>
      </c>
      <c r="M21" s="44">
        <v>0.0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18.0" customHeight="1" outlineLevel="1">
      <c r="A22" s="21"/>
      <c r="B22" s="40" t="s">
        <v>43</v>
      </c>
      <c r="C22" s="41" t="s">
        <v>40</v>
      </c>
      <c r="D22" s="42">
        <v>2259500.0</v>
      </c>
      <c r="E22" s="42">
        <v>1576500.0</v>
      </c>
      <c r="F22" s="42">
        <v>4867000.0</v>
      </c>
      <c r="G22" s="42">
        <v>1774000.0</v>
      </c>
      <c r="H22" s="42">
        <v>1762000.0</v>
      </c>
      <c r="I22" s="42">
        <v>1085000.0</v>
      </c>
      <c r="J22" s="42"/>
      <c r="K22" s="42">
        <v>1755000.0</v>
      </c>
      <c r="L22" s="42">
        <v>1.5079E7</v>
      </c>
      <c r="M22" s="42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18.0" customHeight="1" outlineLevel="1">
      <c r="A23" s="21"/>
      <c r="B23" s="40"/>
      <c r="C23" s="43" t="s">
        <v>41</v>
      </c>
      <c r="D23" s="44">
        <v>1805317.0</v>
      </c>
      <c r="E23" s="44">
        <v>2393203.0</v>
      </c>
      <c r="F23" s="44">
        <v>4315791.0</v>
      </c>
      <c r="G23" s="44">
        <v>1841368.0</v>
      </c>
      <c r="H23" s="44">
        <v>1884393.0</v>
      </c>
      <c r="I23" s="44">
        <v>1033230.0</v>
      </c>
      <c r="J23" s="44">
        <v>0.0</v>
      </c>
      <c r="K23" s="44">
        <v>1797630.0</v>
      </c>
      <c r="L23" s="44">
        <v>1.5070932E7</v>
      </c>
      <c r="M23" s="44">
        <v>2921624.0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18.0" customHeight="1" outlineLevel="1">
      <c r="A24" s="21"/>
      <c r="B24" s="40" t="s">
        <v>44</v>
      </c>
      <c r="C24" s="41" t="s">
        <v>40</v>
      </c>
      <c r="D24" s="42">
        <v>898000.0</v>
      </c>
      <c r="E24" s="42">
        <v>1289000.0</v>
      </c>
      <c r="F24" s="42">
        <v>4031000.0</v>
      </c>
      <c r="G24" s="42">
        <v>377000.0</v>
      </c>
      <c r="H24" s="42">
        <v>140000.0</v>
      </c>
      <c r="I24" s="42">
        <v>274000.0</v>
      </c>
      <c r="J24" s="42"/>
      <c r="K24" s="42">
        <v>751000.0</v>
      </c>
      <c r="L24" s="42">
        <v>7760000.0</v>
      </c>
      <c r="M24" s="42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18.0" customHeight="1" outlineLevel="1">
      <c r="A25" s="21"/>
      <c r="B25" s="40"/>
      <c r="C25" s="43" t="s">
        <v>41</v>
      </c>
      <c r="D25" s="44">
        <v>1005347.0</v>
      </c>
      <c r="E25" s="44">
        <v>1359643.0</v>
      </c>
      <c r="F25" s="44">
        <v>4084825.0</v>
      </c>
      <c r="G25" s="44">
        <v>214161.0</v>
      </c>
      <c r="H25" s="44">
        <v>267129.0</v>
      </c>
      <c r="I25" s="44">
        <v>371023.0</v>
      </c>
      <c r="J25" s="44">
        <v>0.0</v>
      </c>
      <c r="K25" s="44">
        <v>1364135.0</v>
      </c>
      <c r="L25" s="44">
        <v>8666263.0</v>
      </c>
      <c r="M25" s="44">
        <v>392316.0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18.0" customHeight="1" outlineLevel="1">
      <c r="A26" s="21"/>
      <c r="B26" s="40" t="s">
        <v>45</v>
      </c>
      <c r="C26" s="41" t="s">
        <v>46</v>
      </c>
      <c r="D26" s="42">
        <v>0.0</v>
      </c>
      <c r="E26" s="42">
        <v>0.0</v>
      </c>
      <c r="F26" s="42">
        <v>0.0</v>
      </c>
      <c r="G26" s="42">
        <v>0.0</v>
      </c>
      <c r="H26" s="42">
        <v>0.0</v>
      </c>
      <c r="I26" s="42">
        <v>0.0</v>
      </c>
      <c r="J26" s="42"/>
      <c r="K26" s="42">
        <v>0.0</v>
      </c>
      <c r="L26" s="42">
        <v>0.0</v>
      </c>
      <c r="M26" s="42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18.0" customHeight="1" outlineLevel="1">
      <c r="A27" s="21"/>
      <c r="B27" s="40"/>
      <c r="C27" s="43" t="s">
        <v>41</v>
      </c>
      <c r="D27" s="44">
        <v>0.0</v>
      </c>
      <c r="E27" s="44">
        <v>0.0</v>
      </c>
      <c r="F27" s="44">
        <v>0.0</v>
      </c>
      <c r="G27" s="44">
        <v>0.0</v>
      </c>
      <c r="H27" s="44">
        <v>0.0</v>
      </c>
      <c r="I27" s="44">
        <v>0.0</v>
      </c>
      <c r="J27" s="44">
        <v>0.0</v>
      </c>
      <c r="K27" s="44">
        <v>0.0</v>
      </c>
      <c r="L27" s="44">
        <v>0.0</v>
      </c>
      <c r="M27" s="44">
        <v>0.0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8.0" customHeight="1" outlineLevel="1">
      <c r="A28" s="21"/>
      <c r="B28" s="40" t="s">
        <v>47</v>
      </c>
      <c r="C28" s="41" t="s">
        <v>40</v>
      </c>
      <c r="D28" s="42">
        <v>225950.0</v>
      </c>
      <c r="E28" s="42">
        <v>157650.0</v>
      </c>
      <c r="F28" s="42">
        <v>486700.0</v>
      </c>
      <c r="G28" s="42">
        <v>177400.0</v>
      </c>
      <c r="H28" s="42">
        <v>157700.0</v>
      </c>
      <c r="I28" s="42">
        <v>108500.0</v>
      </c>
      <c r="J28" s="42"/>
      <c r="K28" s="42">
        <v>159000.0</v>
      </c>
      <c r="L28" s="42">
        <v>1472900.0</v>
      </c>
      <c r="M28" s="42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8.0" customHeight="1" outlineLevel="1">
      <c r="A29" s="21"/>
      <c r="B29" s="40"/>
      <c r="C29" s="43" t="s">
        <v>41</v>
      </c>
      <c r="D29" s="44">
        <v>156250.0</v>
      </c>
      <c r="E29" s="44">
        <v>246750.0</v>
      </c>
      <c r="F29" s="44">
        <v>456200.0</v>
      </c>
      <c r="G29" s="44">
        <v>149100.0</v>
      </c>
      <c r="H29" s="44">
        <v>157700.0</v>
      </c>
      <c r="I29" s="44">
        <v>88500.0</v>
      </c>
      <c r="J29" s="44">
        <v>0.0</v>
      </c>
      <c r="K29" s="44">
        <v>159000.0</v>
      </c>
      <c r="L29" s="44">
        <v>1413500.0</v>
      </c>
      <c r="M29" s="44">
        <v>512300.0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8.0" customHeight="1" outlineLevel="1">
      <c r="A30" s="21"/>
      <c r="B30" s="40" t="s">
        <v>48</v>
      </c>
      <c r="C30" s="41" t="s">
        <v>40</v>
      </c>
      <c r="D30" s="42">
        <v>473625.0</v>
      </c>
      <c r="E30" s="42">
        <v>429825.0</v>
      </c>
      <c r="F30" s="42">
        <v>1334700.0</v>
      </c>
      <c r="G30" s="42">
        <v>322650.0</v>
      </c>
      <c r="H30" s="42">
        <v>285300.0</v>
      </c>
      <c r="I30" s="42">
        <v>203850.0</v>
      </c>
      <c r="J30" s="42"/>
      <c r="K30" s="42">
        <v>280800.0</v>
      </c>
      <c r="L30" s="42">
        <v>3330750.0</v>
      </c>
      <c r="M30" s="42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8.0" customHeight="1" outlineLevel="1">
      <c r="A31" s="21"/>
      <c r="B31" s="40"/>
      <c r="C31" s="43" t="s">
        <v>41</v>
      </c>
      <c r="D31" s="44">
        <v>386834.0</v>
      </c>
      <c r="E31" s="44">
        <v>558303.0</v>
      </c>
      <c r="F31" s="44">
        <v>1074343.0</v>
      </c>
      <c r="G31" s="44">
        <v>381169.0</v>
      </c>
      <c r="H31" s="44">
        <v>304405.0</v>
      </c>
      <c r="I31" s="44">
        <v>159236.0</v>
      </c>
      <c r="J31" s="44">
        <v>0.0</v>
      </c>
      <c r="K31" s="44">
        <v>525860.0</v>
      </c>
      <c r="L31" s="44">
        <v>3390150.0</v>
      </c>
      <c r="M31" s="44">
        <v>767428.0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8.0" customHeight="1" outlineLevel="1">
      <c r="A32" s="21"/>
      <c r="B32" s="40" t="s">
        <v>49</v>
      </c>
      <c r="C32" s="41" t="s">
        <v>40</v>
      </c>
      <c r="D32" s="42">
        <v>167665.0</v>
      </c>
      <c r="E32" s="42">
        <v>167665.0</v>
      </c>
      <c r="F32" s="42">
        <v>344743.0</v>
      </c>
      <c r="G32" s="42">
        <v>50792.0</v>
      </c>
      <c r="H32" s="42">
        <v>90000.0</v>
      </c>
      <c r="I32" s="42">
        <v>0.0</v>
      </c>
      <c r="J32" s="42"/>
      <c r="K32" s="42">
        <v>160000.0</v>
      </c>
      <c r="L32" s="42">
        <v>980865.0</v>
      </c>
      <c r="M32" s="42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8.0" customHeight="1" outlineLevel="1">
      <c r="A33" s="21"/>
      <c r="B33" s="40"/>
      <c r="C33" s="43" t="s">
        <v>41</v>
      </c>
      <c r="D33" s="44">
        <v>5590.0</v>
      </c>
      <c r="E33" s="44">
        <v>-72728.0</v>
      </c>
      <c r="F33" s="44">
        <v>75697.0</v>
      </c>
      <c r="G33" s="44">
        <v>130858.0</v>
      </c>
      <c r="H33" s="44">
        <v>126964.0</v>
      </c>
      <c r="I33" s="44">
        <v>25511.0</v>
      </c>
      <c r="J33" s="44">
        <v>0.0</v>
      </c>
      <c r="K33" s="44">
        <v>73770.0</v>
      </c>
      <c r="L33" s="44">
        <v>365662.0</v>
      </c>
      <c r="M33" s="44">
        <v>674960.0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8.0" customHeight="1" outlineLevel="1">
      <c r="A34" s="21"/>
      <c r="B34" s="40" t="s">
        <v>50</v>
      </c>
      <c r="C34" s="41" t="s">
        <v>40</v>
      </c>
      <c r="D34" s="42">
        <v>0.0</v>
      </c>
      <c r="E34" s="42">
        <v>0.0</v>
      </c>
      <c r="F34" s="42">
        <v>130546.0</v>
      </c>
      <c r="G34" s="42">
        <v>0.0</v>
      </c>
      <c r="H34" s="42">
        <v>0.0</v>
      </c>
      <c r="I34" s="42">
        <v>0.0</v>
      </c>
      <c r="J34" s="42"/>
      <c r="K34" s="42">
        <v>0.0</v>
      </c>
      <c r="L34" s="42">
        <v>130546.0</v>
      </c>
      <c r="M34" s="42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8.0" customHeight="1" outlineLevel="1">
      <c r="A35" s="21"/>
      <c r="B35" s="40"/>
      <c r="C35" s="43" t="s">
        <v>41</v>
      </c>
      <c r="D35" s="44">
        <v>106308.0</v>
      </c>
      <c r="E35" s="44">
        <v>70871.0</v>
      </c>
      <c r="F35" s="44">
        <v>276910.0</v>
      </c>
      <c r="G35" s="44">
        <v>0.0</v>
      </c>
      <c r="H35" s="44">
        <v>0.0</v>
      </c>
      <c r="I35" s="44">
        <v>0.0</v>
      </c>
      <c r="J35" s="44">
        <v>0.0</v>
      </c>
      <c r="K35" s="44">
        <v>0.0</v>
      </c>
      <c r="L35" s="44">
        <v>454089.0</v>
      </c>
      <c r="M35" s="44">
        <v>1376500.0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8.0" customHeight="1" outlineLevel="1">
      <c r="A36" s="21"/>
      <c r="B36" s="40" t="s">
        <v>51</v>
      </c>
      <c r="C36" s="41" t="s">
        <v>40</v>
      </c>
      <c r="D36" s="42">
        <v>102312.0</v>
      </c>
      <c r="E36" s="42">
        <v>0.0</v>
      </c>
      <c r="F36" s="42">
        <v>0.0</v>
      </c>
      <c r="G36" s="42">
        <v>0.0</v>
      </c>
      <c r="H36" s="42">
        <v>0.0</v>
      </c>
      <c r="I36" s="42">
        <v>0.0</v>
      </c>
      <c r="J36" s="42"/>
      <c r="K36" s="42">
        <v>0.0</v>
      </c>
      <c r="L36" s="42">
        <v>102312.0</v>
      </c>
      <c r="M36" s="42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8.0" customHeight="1" outlineLevel="1">
      <c r="A37" s="21"/>
      <c r="B37" s="40"/>
      <c r="C37" s="43" t="s">
        <v>41</v>
      </c>
      <c r="D37" s="44">
        <v>0.0</v>
      </c>
      <c r="E37" s="44">
        <v>0.0</v>
      </c>
      <c r="F37" s="44">
        <v>8480.0</v>
      </c>
      <c r="G37" s="44">
        <v>0.0</v>
      </c>
      <c r="H37" s="44">
        <v>0.0</v>
      </c>
      <c r="I37" s="44">
        <v>0.0</v>
      </c>
      <c r="J37" s="44">
        <v>0.0</v>
      </c>
      <c r="K37" s="44">
        <v>2560.0</v>
      </c>
      <c r="L37" s="44">
        <v>11040.0</v>
      </c>
      <c r="M37" s="44">
        <v>1229967.0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8.0" customHeight="1" outlineLevel="1">
      <c r="A38" s="21"/>
      <c r="B38" s="40" t="s">
        <v>52</v>
      </c>
      <c r="C38" s="41" t="s">
        <v>40</v>
      </c>
      <c r="D38" s="42">
        <v>0.0</v>
      </c>
      <c r="E38" s="42">
        <v>0.0</v>
      </c>
      <c r="F38" s="42">
        <v>0.0</v>
      </c>
      <c r="G38" s="42">
        <v>0.0</v>
      </c>
      <c r="H38" s="42">
        <v>0.0</v>
      </c>
      <c r="I38" s="42">
        <v>0.0</v>
      </c>
      <c r="J38" s="42"/>
      <c r="K38" s="42">
        <v>0.0</v>
      </c>
      <c r="L38" s="42">
        <v>0.0</v>
      </c>
      <c r="M38" s="42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8.0" customHeight="1" outlineLevel="1">
      <c r="A39" s="21"/>
      <c r="B39" s="40"/>
      <c r="C39" s="43" t="s">
        <v>41</v>
      </c>
      <c r="D39" s="44">
        <v>0.0</v>
      </c>
      <c r="E39" s="44">
        <v>0.0</v>
      </c>
      <c r="F39" s="44">
        <v>0.0</v>
      </c>
      <c r="G39" s="44">
        <v>0.0</v>
      </c>
      <c r="H39" s="44">
        <v>0.0</v>
      </c>
      <c r="I39" s="44">
        <v>0.0</v>
      </c>
      <c r="J39" s="44">
        <v>0.0</v>
      </c>
      <c r="K39" s="44">
        <v>0.0</v>
      </c>
      <c r="L39" s="44">
        <v>0.0</v>
      </c>
      <c r="M39" s="44">
        <v>0.0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8.0" customHeight="1" outlineLevel="1">
      <c r="A40" s="21"/>
      <c r="B40" s="40" t="s">
        <v>53</v>
      </c>
      <c r="C40" s="41" t="s">
        <v>40</v>
      </c>
      <c r="D40" s="42">
        <v>1500000.0</v>
      </c>
      <c r="E40" s="42">
        <v>32250.0</v>
      </c>
      <c r="F40" s="42">
        <v>326000.0</v>
      </c>
      <c r="G40" s="42">
        <v>0.0</v>
      </c>
      <c r="H40" s="42">
        <v>0.0</v>
      </c>
      <c r="I40" s="42">
        <v>0.0</v>
      </c>
      <c r="J40" s="42"/>
      <c r="K40" s="42">
        <v>0.0</v>
      </c>
      <c r="L40" s="42">
        <v>1858250.0</v>
      </c>
      <c r="M40" s="42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8.0" customHeight="1" outlineLevel="1">
      <c r="A41" s="21"/>
      <c r="B41" s="40"/>
      <c r="C41" s="43" t="s">
        <v>41</v>
      </c>
      <c r="D41" s="44">
        <v>1525728.0</v>
      </c>
      <c r="E41" s="44">
        <v>0.0</v>
      </c>
      <c r="F41" s="44">
        <v>0.0</v>
      </c>
      <c r="G41" s="44">
        <v>0.0</v>
      </c>
      <c r="H41" s="44">
        <v>0.0</v>
      </c>
      <c r="I41" s="44">
        <v>0.0</v>
      </c>
      <c r="J41" s="44">
        <v>0.0</v>
      </c>
      <c r="K41" s="44">
        <v>0.0</v>
      </c>
      <c r="L41" s="44">
        <v>1525728.0</v>
      </c>
      <c r="M41" s="44">
        <v>0.0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8.0" customHeight="1" outlineLevel="1">
      <c r="A42" s="21"/>
      <c r="B42" s="40" t="s">
        <v>54</v>
      </c>
      <c r="C42" s="41" t="s">
        <v>40</v>
      </c>
      <c r="D42" s="42">
        <v>0.0</v>
      </c>
      <c r="E42" s="42">
        <v>0.0</v>
      </c>
      <c r="F42" s="42">
        <v>0.0</v>
      </c>
      <c r="G42" s="42">
        <v>0.0</v>
      </c>
      <c r="H42" s="42">
        <v>0.0</v>
      </c>
      <c r="I42" s="42">
        <v>0.0</v>
      </c>
      <c r="J42" s="42"/>
      <c r="K42" s="42">
        <v>0.0</v>
      </c>
      <c r="L42" s="42">
        <v>0.0</v>
      </c>
      <c r="M42" s="42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8.0" customHeight="1" outlineLevel="1">
      <c r="A43" s="21"/>
      <c r="B43" s="40"/>
      <c r="C43" s="43" t="s">
        <v>41</v>
      </c>
      <c r="D43" s="44">
        <v>0.0</v>
      </c>
      <c r="E43" s="44">
        <v>0.0</v>
      </c>
      <c r="F43" s="44">
        <v>0.0</v>
      </c>
      <c r="G43" s="44">
        <v>0.0</v>
      </c>
      <c r="H43" s="44">
        <v>0.0</v>
      </c>
      <c r="I43" s="44">
        <v>0.0</v>
      </c>
      <c r="J43" s="44">
        <v>0.0</v>
      </c>
      <c r="K43" s="44">
        <v>0.0</v>
      </c>
      <c r="L43" s="44">
        <v>0.0</v>
      </c>
      <c r="M43" s="44">
        <v>0.0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8.0" customHeight="1">
      <c r="A44" s="21"/>
      <c r="B44" s="21" t="s">
        <v>29</v>
      </c>
      <c r="C44" s="4" t="s">
        <v>40</v>
      </c>
      <c r="D44" s="24">
        <v>5069302.0</v>
      </c>
      <c r="E44" s="24">
        <v>5174667.0</v>
      </c>
      <c r="F44" s="24">
        <v>1.2788634E7</v>
      </c>
      <c r="G44" s="24">
        <v>2418479.0</v>
      </c>
      <c r="H44" s="24">
        <v>2766430.0</v>
      </c>
      <c r="I44" s="24">
        <v>1449453.0</v>
      </c>
      <c r="J44" s="24">
        <v>0.0</v>
      </c>
      <c r="K44" s="24">
        <v>3417639.0</v>
      </c>
      <c r="L44" s="24">
        <v>3.3084604E7</v>
      </c>
      <c r="M44" s="24">
        <v>0.0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8.0" customHeight="1">
      <c r="A45" s="21"/>
      <c r="B45" s="21"/>
      <c r="C45" s="38" t="s">
        <v>41</v>
      </c>
      <c r="D45" s="39">
        <v>4838954.0</v>
      </c>
      <c r="E45" s="39">
        <v>4799366.0</v>
      </c>
      <c r="F45" s="39">
        <v>1.1466992E7</v>
      </c>
      <c r="G45" s="39">
        <v>1938606.0</v>
      </c>
      <c r="H45" s="39">
        <v>2677905.0</v>
      </c>
      <c r="I45" s="39">
        <v>1465504.0</v>
      </c>
      <c r="J45" s="39">
        <v>0.0</v>
      </c>
      <c r="K45" s="39">
        <v>2705511.0</v>
      </c>
      <c r="L45" s="39">
        <v>2.9892838E7</v>
      </c>
      <c r="M45" s="39">
        <v>1114405.0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8.0" hidden="1" customHeight="1" outlineLevel="1">
      <c r="A46" s="45"/>
      <c r="B46" s="46" t="s">
        <v>55</v>
      </c>
      <c r="C46" s="47" t="s">
        <v>40</v>
      </c>
      <c r="D46" s="48">
        <v>21951.0</v>
      </c>
      <c r="E46" s="48">
        <v>1510.0</v>
      </c>
      <c r="F46" s="48">
        <v>50000.0</v>
      </c>
      <c r="G46" s="48">
        <v>12477.0</v>
      </c>
      <c r="H46" s="48">
        <v>3000.0</v>
      </c>
      <c r="I46" s="48">
        <v>23000.0</v>
      </c>
      <c r="J46" s="48"/>
      <c r="K46" s="48">
        <v>20000.0</v>
      </c>
      <c r="L46" s="48">
        <v>131938.0</v>
      </c>
      <c r="M46" s="48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8.0" hidden="1" customHeight="1" outlineLevel="1">
      <c r="A47" s="45"/>
      <c r="B47" s="46"/>
      <c r="C47" s="49" t="s">
        <v>41</v>
      </c>
      <c r="D47" s="50">
        <v>266637.0</v>
      </c>
      <c r="E47" s="50">
        <v>0.0</v>
      </c>
      <c r="F47" s="50">
        <v>20000.0</v>
      </c>
      <c r="G47" s="50">
        <v>0.0</v>
      </c>
      <c r="H47" s="50">
        <v>0.0</v>
      </c>
      <c r="I47" s="50">
        <v>20000.0</v>
      </c>
      <c r="J47" s="50">
        <v>0.0</v>
      </c>
      <c r="K47" s="50">
        <v>0.0</v>
      </c>
      <c r="L47" s="50">
        <v>306637.0</v>
      </c>
      <c r="M47" s="50">
        <v>0.0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8.0" hidden="1" customHeight="1" outlineLevel="1">
      <c r="A48" s="45"/>
      <c r="B48" s="46" t="s">
        <v>56</v>
      </c>
      <c r="C48" s="47" t="s">
        <v>40</v>
      </c>
      <c r="D48" s="48">
        <v>135730.0</v>
      </c>
      <c r="E48" s="48">
        <v>138824.0</v>
      </c>
      <c r="F48" s="48">
        <v>350610.0</v>
      </c>
      <c r="G48" s="48">
        <v>99682.0</v>
      </c>
      <c r="H48" s="48">
        <v>127103.0</v>
      </c>
      <c r="I48" s="48">
        <v>48513.0</v>
      </c>
      <c r="J48" s="48"/>
      <c r="K48" s="48">
        <v>45421.0</v>
      </c>
      <c r="L48" s="48">
        <v>945883.0</v>
      </c>
      <c r="M48" s="48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8.0" hidden="1" customHeight="1" outlineLevel="1">
      <c r="A49" s="45"/>
      <c r="B49" s="46"/>
      <c r="C49" s="49" t="s">
        <v>41</v>
      </c>
      <c r="D49" s="50">
        <v>445669.0</v>
      </c>
      <c r="E49" s="50">
        <v>259254.0</v>
      </c>
      <c r="F49" s="50">
        <v>749374.0</v>
      </c>
      <c r="G49" s="50">
        <v>260376.0</v>
      </c>
      <c r="H49" s="50">
        <v>378526.0</v>
      </c>
      <c r="I49" s="50">
        <v>195921.0</v>
      </c>
      <c r="J49" s="50">
        <v>0.0</v>
      </c>
      <c r="K49" s="50">
        <v>133790.0</v>
      </c>
      <c r="L49" s="50">
        <v>2422910.0</v>
      </c>
      <c r="M49" s="50">
        <v>0.0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8.0" hidden="1" customHeight="1" outlineLevel="1">
      <c r="A50" s="21"/>
      <c r="B50" s="46" t="s">
        <v>57</v>
      </c>
      <c r="C50" s="47" t="s">
        <v>40</v>
      </c>
      <c r="D50" s="48">
        <v>1085837.0</v>
      </c>
      <c r="E50" s="48">
        <v>1110596.0</v>
      </c>
      <c r="F50" s="48">
        <v>2804879.0</v>
      </c>
      <c r="G50" s="48">
        <v>797456.0</v>
      </c>
      <c r="H50" s="48">
        <v>1016824.0</v>
      </c>
      <c r="I50" s="48">
        <v>388100.0</v>
      </c>
      <c r="J50" s="48"/>
      <c r="K50" s="48">
        <v>363370.0</v>
      </c>
      <c r="L50" s="48">
        <v>7567062.0</v>
      </c>
      <c r="M50" s="48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8.0" hidden="1" customHeight="1" outlineLevel="1">
      <c r="A51" s="21"/>
      <c r="B51" s="46"/>
      <c r="C51" s="49" t="s">
        <v>41</v>
      </c>
      <c r="D51" s="50">
        <v>743529.0</v>
      </c>
      <c r="E51" s="50">
        <v>915452.0</v>
      </c>
      <c r="F51" s="50">
        <v>2255808.0</v>
      </c>
      <c r="G51" s="50">
        <v>683549.0</v>
      </c>
      <c r="H51" s="50">
        <v>565132.0</v>
      </c>
      <c r="I51" s="50">
        <v>386467.0</v>
      </c>
      <c r="J51" s="50">
        <v>0.0</v>
      </c>
      <c r="K51" s="50">
        <v>334491.0</v>
      </c>
      <c r="L51" s="50">
        <v>5884428.0</v>
      </c>
      <c r="M51" s="50">
        <v>0.0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8.0" hidden="1" customHeight="1" outlineLevel="1">
      <c r="A52" s="21"/>
      <c r="B52" s="46" t="s">
        <v>58</v>
      </c>
      <c r="C52" s="47" t="s">
        <v>40</v>
      </c>
      <c r="D52" s="48">
        <v>38400.0</v>
      </c>
      <c r="E52" s="48">
        <v>17600.0</v>
      </c>
      <c r="F52" s="48">
        <v>133200.0</v>
      </c>
      <c r="G52" s="48">
        <v>0.0</v>
      </c>
      <c r="H52" s="48">
        <v>0.0</v>
      </c>
      <c r="I52" s="48">
        <v>40845.0</v>
      </c>
      <c r="J52" s="48"/>
      <c r="K52" s="48">
        <v>140838.0</v>
      </c>
      <c r="L52" s="48">
        <v>370883.0</v>
      </c>
      <c r="M52" s="48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8.0" hidden="1" customHeight="1" outlineLevel="1">
      <c r="A53" s="21"/>
      <c r="B53" s="46"/>
      <c r="C53" s="49" t="s">
        <v>41</v>
      </c>
      <c r="D53" s="50">
        <v>0.0</v>
      </c>
      <c r="E53" s="50">
        <v>0.0</v>
      </c>
      <c r="F53" s="50">
        <v>0.0</v>
      </c>
      <c r="G53" s="50">
        <v>0.0</v>
      </c>
      <c r="H53" s="50">
        <v>0.0</v>
      </c>
      <c r="I53" s="50">
        <v>0.0</v>
      </c>
      <c r="J53" s="50">
        <v>0.0</v>
      </c>
      <c r="K53" s="50">
        <v>0.0</v>
      </c>
      <c r="L53" s="50">
        <v>0.0</v>
      </c>
      <c r="M53" s="50">
        <v>0.0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8.0" hidden="1" customHeight="1" outlineLevel="1">
      <c r="A54" s="21"/>
      <c r="B54" s="46" t="s">
        <v>59</v>
      </c>
      <c r="C54" s="47" t="s">
        <v>40</v>
      </c>
      <c r="D54" s="48">
        <v>125872.0</v>
      </c>
      <c r="E54" s="48">
        <v>138790.0</v>
      </c>
      <c r="F54" s="48">
        <v>489223.0</v>
      </c>
      <c r="G54" s="48">
        <v>36150.0</v>
      </c>
      <c r="H54" s="48">
        <v>26432.0</v>
      </c>
      <c r="I54" s="48">
        <v>57153.0</v>
      </c>
      <c r="J54" s="48"/>
      <c r="K54" s="48">
        <v>363370.0</v>
      </c>
      <c r="L54" s="48">
        <v>1236990.0</v>
      </c>
      <c r="M54" s="48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8.0" hidden="1" customHeight="1" outlineLevel="1">
      <c r="A55" s="21"/>
      <c r="B55" s="46"/>
      <c r="C55" s="49" t="s">
        <v>41</v>
      </c>
      <c r="D55" s="50">
        <v>85712.0</v>
      </c>
      <c r="E55" s="50">
        <v>86316.0</v>
      </c>
      <c r="F55" s="50">
        <v>263510.0</v>
      </c>
      <c r="G55" s="50">
        <v>30978.0</v>
      </c>
      <c r="H55" s="50">
        <v>20709.0</v>
      </c>
      <c r="I55" s="50">
        <v>-60200.0</v>
      </c>
      <c r="J55" s="50">
        <v>0.0</v>
      </c>
      <c r="K55" s="50">
        <v>99631.0</v>
      </c>
      <c r="L55" s="50">
        <v>526656.0</v>
      </c>
      <c r="M55" s="50">
        <v>0.0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8.0" hidden="1" customHeight="1" outlineLevel="1">
      <c r="A56" s="21"/>
      <c r="B56" s="46" t="s">
        <v>60</v>
      </c>
      <c r="C56" s="47" t="s">
        <v>40</v>
      </c>
      <c r="D56" s="48">
        <v>1409591.0</v>
      </c>
      <c r="E56" s="48">
        <v>1641534.0</v>
      </c>
      <c r="F56" s="48">
        <v>3602378.0</v>
      </c>
      <c r="G56" s="48">
        <v>816245.0</v>
      </c>
      <c r="H56" s="48">
        <v>896996.0</v>
      </c>
      <c r="I56" s="48">
        <v>162677.0</v>
      </c>
      <c r="J56" s="48"/>
      <c r="K56" s="48">
        <v>800000.0</v>
      </c>
      <c r="L56" s="48">
        <v>9329421.0</v>
      </c>
      <c r="M56" s="48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8.0" hidden="1" customHeight="1" outlineLevel="1">
      <c r="A57" s="21"/>
      <c r="B57" s="46"/>
      <c r="C57" s="49" t="s">
        <v>41</v>
      </c>
      <c r="D57" s="50">
        <v>1367569.0</v>
      </c>
      <c r="E57" s="50">
        <v>1714614.0</v>
      </c>
      <c r="F57" s="50">
        <v>3562267.0</v>
      </c>
      <c r="G57" s="50">
        <v>416390.0</v>
      </c>
      <c r="H57" s="50">
        <v>1190772.0</v>
      </c>
      <c r="I57" s="50">
        <v>104853.0</v>
      </c>
      <c r="J57" s="50">
        <v>0.0</v>
      </c>
      <c r="K57" s="50">
        <v>1086880.0</v>
      </c>
      <c r="L57" s="50">
        <v>9443345.0</v>
      </c>
      <c r="M57" s="50">
        <v>24542.0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8.0" hidden="1" customHeight="1" outlineLevel="1">
      <c r="A58" s="21"/>
      <c r="B58" s="46" t="s">
        <v>61</v>
      </c>
      <c r="C58" s="47" t="s">
        <v>40</v>
      </c>
      <c r="D58" s="48">
        <v>187500.0</v>
      </c>
      <c r="E58" s="48">
        <v>110000.0</v>
      </c>
      <c r="F58" s="48">
        <v>110000.0</v>
      </c>
      <c r="G58" s="48">
        <v>60000.0</v>
      </c>
      <c r="H58" s="48">
        <v>50000.0</v>
      </c>
      <c r="I58" s="48">
        <v>60000.0</v>
      </c>
      <c r="J58" s="48"/>
      <c r="K58" s="48">
        <v>100000.0</v>
      </c>
      <c r="L58" s="48">
        <v>677500.0</v>
      </c>
      <c r="M58" s="48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8.0" hidden="1" customHeight="1" outlineLevel="1">
      <c r="A59" s="21"/>
      <c r="B59" s="46"/>
      <c r="C59" s="49" t="s">
        <v>41</v>
      </c>
      <c r="D59" s="50">
        <v>187500.0</v>
      </c>
      <c r="E59" s="50">
        <v>110000.0</v>
      </c>
      <c r="F59" s="50">
        <v>110000.0</v>
      </c>
      <c r="G59" s="50">
        <v>60000.0</v>
      </c>
      <c r="H59" s="50">
        <v>50000.0</v>
      </c>
      <c r="I59" s="50">
        <v>60000.0</v>
      </c>
      <c r="J59" s="50">
        <v>0.0</v>
      </c>
      <c r="K59" s="50">
        <v>100000.0</v>
      </c>
      <c r="L59" s="50">
        <v>677500.0</v>
      </c>
      <c r="M59" s="50">
        <v>0.0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8.0" hidden="1" customHeight="1" outlineLevel="1">
      <c r="A60" s="21"/>
      <c r="B60" s="46" t="s">
        <v>62</v>
      </c>
      <c r="C60" s="47" t="s">
        <v>40</v>
      </c>
      <c r="D60" s="48">
        <v>0.0</v>
      </c>
      <c r="E60" s="48">
        <v>0.0</v>
      </c>
      <c r="F60" s="48">
        <v>0.0</v>
      </c>
      <c r="G60" s="48">
        <v>0.0</v>
      </c>
      <c r="H60" s="48">
        <v>0.0</v>
      </c>
      <c r="I60" s="48">
        <v>0.0</v>
      </c>
      <c r="J60" s="48"/>
      <c r="K60" s="48">
        <v>0.0</v>
      </c>
      <c r="L60" s="48">
        <v>0.0</v>
      </c>
      <c r="M60" s="48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8.0" hidden="1" customHeight="1" outlineLevel="1">
      <c r="A61" s="21"/>
      <c r="B61" s="46"/>
      <c r="C61" s="49" t="s">
        <v>41</v>
      </c>
      <c r="D61" s="50">
        <v>0.0</v>
      </c>
      <c r="E61" s="50">
        <v>0.0</v>
      </c>
      <c r="F61" s="50">
        <v>0.0</v>
      </c>
      <c r="G61" s="50">
        <v>0.0</v>
      </c>
      <c r="H61" s="50">
        <v>0.0</v>
      </c>
      <c r="I61" s="50">
        <v>0.0</v>
      </c>
      <c r="J61" s="50">
        <v>0.0</v>
      </c>
      <c r="K61" s="50">
        <v>0.0</v>
      </c>
      <c r="L61" s="50">
        <v>0.0</v>
      </c>
      <c r="M61" s="50">
        <v>0.0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8.0" hidden="1" customHeight="1" outlineLevel="1">
      <c r="A62" s="21"/>
      <c r="B62" s="46" t="s">
        <v>63</v>
      </c>
      <c r="C62" s="47" t="s">
        <v>40</v>
      </c>
      <c r="D62" s="48">
        <v>275000.0</v>
      </c>
      <c r="E62" s="48">
        <v>750000.0</v>
      </c>
      <c r="F62" s="48">
        <v>490000.0</v>
      </c>
      <c r="G62" s="48">
        <v>30000.0</v>
      </c>
      <c r="H62" s="48">
        <v>30000.0</v>
      </c>
      <c r="I62" s="48">
        <v>130000.0</v>
      </c>
      <c r="J62" s="48"/>
      <c r="K62" s="48">
        <v>0.0</v>
      </c>
      <c r="L62" s="48">
        <v>1705000.0</v>
      </c>
      <c r="M62" s="48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8.0" hidden="1" customHeight="1" outlineLevel="1">
      <c r="A63" s="21"/>
      <c r="B63" s="46"/>
      <c r="C63" s="49" t="s">
        <v>41</v>
      </c>
      <c r="D63" s="50">
        <v>275000.0</v>
      </c>
      <c r="E63" s="50">
        <v>750000.0</v>
      </c>
      <c r="F63" s="50">
        <v>490000.0</v>
      </c>
      <c r="G63" s="50">
        <v>30000.0</v>
      </c>
      <c r="H63" s="50">
        <v>30000.0</v>
      </c>
      <c r="I63" s="50">
        <v>130000.0</v>
      </c>
      <c r="J63" s="50">
        <v>0.0</v>
      </c>
      <c r="K63" s="50">
        <v>0.0</v>
      </c>
      <c r="L63" s="50">
        <v>1705000.0</v>
      </c>
      <c r="M63" s="50">
        <v>0.0</v>
      </c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8.0" hidden="1" customHeight="1" outlineLevel="1">
      <c r="A64" s="21"/>
      <c r="B64" s="46" t="s">
        <v>64</v>
      </c>
      <c r="C64" s="47" t="s">
        <v>40</v>
      </c>
      <c r="D64" s="48">
        <v>209910.0</v>
      </c>
      <c r="E64" s="48">
        <v>100000.0</v>
      </c>
      <c r="F64" s="48">
        <v>250000.0</v>
      </c>
      <c r="G64" s="48">
        <v>40000.0</v>
      </c>
      <c r="H64" s="48">
        <v>40000.0</v>
      </c>
      <c r="I64" s="48">
        <v>44007.0</v>
      </c>
      <c r="J64" s="48"/>
      <c r="K64" s="48">
        <v>50000.0</v>
      </c>
      <c r="L64" s="48">
        <v>733917.0</v>
      </c>
      <c r="M64" s="48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8.0" hidden="1" customHeight="1" outlineLevel="1">
      <c r="A65" s="21"/>
      <c r="B65" s="46"/>
      <c r="C65" s="49" t="s">
        <v>41</v>
      </c>
      <c r="D65" s="50">
        <v>89288.0</v>
      </c>
      <c r="E65" s="50">
        <v>143049.0</v>
      </c>
      <c r="F65" s="50">
        <v>196573.0</v>
      </c>
      <c r="G65" s="50">
        <v>164740.0</v>
      </c>
      <c r="H65" s="50">
        <v>86515.0</v>
      </c>
      <c r="I65" s="50">
        <v>31694.0</v>
      </c>
      <c r="J65" s="50">
        <v>0.0</v>
      </c>
      <c r="K65" s="50">
        <v>291149.0</v>
      </c>
      <c r="L65" s="50">
        <v>1003008.0</v>
      </c>
      <c r="M65" s="50">
        <v>6350.0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8.0" hidden="1" customHeight="1" outlineLevel="1">
      <c r="A66" s="21"/>
      <c r="B66" s="46" t="s">
        <v>65</v>
      </c>
      <c r="C66" s="47" t="s">
        <v>40</v>
      </c>
      <c r="D66" s="48">
        <v>159342.0</v>
      </c>
      <c r="E66" s="48">
        <v>117813.0</v>
      </c>
      <c r="F66" s="48">
        <v>1200000.0</v>
      </c>
      <c r="G66" s="48">
        <v>50000.0</v>
      </c>
      <c r="H66" s="48">
        <v>50000.0</v>
      </c>
      <c r="I66" s="48">
        <v>220000.0</v>
      </c>
      <c r="J66" s="48"/>
      <c r="K66" s="48">
        <v>367040.0</v>
      </c>
      <c r="L66" s="48">
        <v>2164195.0</v>
      </c>
      <c r="M66" s="48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8.0" hidden="1" customHeight="1" outlineLevel="1">
      <c r="A67" s="21"/>
      <c r="B67" s="46"/>
      <c r="C67" s="49" t="s">
        <v>41</v>
      </c>
      <c r="D67" s="50">
        <v>216202.0</v>
      </c>
      <c r="E67" s="50">
        <v>59478.0</v>
      </c>
      <c r="F67" s="50">
        <v>1209878.0</v>
      </c>
      <c r="G67" s="50">
        <v>46521.0</v>
      </c>
      <c r="H67" s="50">
        <v>47667.0</v>
      </c>
      <c r="I67" s="50">
        <v>270710.0</v>
      </c>
      <c r="J67" s="50">
        <v>0.0</v>
      </c>
      <c r="K67" s="50">
        <v>-51836.0</v>
      </c>
      <c r="L67" s="50">
        <v>1798620.0</v>
      </c>
      <c r="M67" s="50">
        <v>0.0</v>
      </c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8.0" hidden="1" customHeight="1" outlineLevel="1">
      <c r="A68" s="21"/>
      <c r="B68" s="46" t="s">
        <v>66</v>
      </c>
      <c r="C68" s="47" t="s">
        <v>40</v>
      </c>
      <c r="D68" s="48">
        <v>492369.0</v>
      </c>
      <c r="E68" s="48">
        <v>600000.0</v>
      </c>
      <c r="F68" s="48">
        <v>2273243.0</v>
      </c>
      <c r="G68" s="48">
        <v>198345.0</v>
      </c>
      <c r="H68" s="48">
        <v>277858.0</v>
      </c>
      <c r="I68" s="48">
        <v>200000.0</v>
      </c>
      <c r="J68" s="48"/>
      <c r="K68" s="48">
        <v>917600.0</v>
      </c>
      <c r="L68" s="48">
        <v>4959415.0</v>
      </c>
      <c r="M68" s="48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8.0" hidden="1" customHeight="1" outlineLevel="1">
      <c r="A69" s="21"/>
      <c r="B69" s="46"/>
      <c r="C69" s="49" t="s">
        <v>41</v>
      </c>
      <c r="D69" s="50">
        <v>655351.0</v>
      </c>
      <c r="E69" s="50">
        <v>655351.0</v>
      </c>
      <c r="F69" s="50">
        <v>2310130.0</v>
      </c>
      <c r="G69" s="50">
        <v>126400.0</v>
      </c>
      <c r="H69" s="50">
        <v>263057.0</v>
      </c>
      <c r="I69" s="50">
        <v>283187.0</v>
      </c>
      <c r="J69" s="50">
        <v>0.0</v>
      </c>
      <c r="K69" s="50">
        <v>593592.0</v>
      </c>
      <c r="L69" s="50">
        <v>4887068.0</v>
      </c>
      <c r="M69" s="50">
        <v>0.0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8.0" hidden="1" customHeight="1" outlineLevel="1">
      <c r="A70" s="21"/>
      <c r="B70" s="46" t="s">
        <v>67</v>
      </c>
      <c r="C70" s="47" t="s">
        <v>40</v>
      </c>
      <c r="D70" s="48">
        <v>4278.0</v>
      </c>
      <c r="E70" s="48">
        <v>0.0</v>
      </c>
      <c r="F70" s="48">
        <v>177842.0</v>
      </c>
      <c r="G70" s="48">
        <v>2367.0</v>
      </c>
      <c r="H70" s="48">
        <v>730.0</v>
      </c>
      <c r="I70" s="48">
        <v>0.0</v>
      </c>
      <c r="J70" s="48"/>
      <c r="K70" s="48">
        <v>0.0</v>
      </c>
      <c r="L70" s="48">
        <v>185217.0</v>
      </c>
      <c r="M70" s="48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8.0" hidden="1" customHeight="1" outlineLevel="1">
      <c r="A71" s="21"/>
      <c r="B71" s="46"/>
      <c r="C71" s="49" t="s">
        <v>41</v>
      </c>
      <c r="D71" s="50">
        <v>13047.0</v>
      </c>
      <c r="E71" s="50">
        <v>588.0</v>
      </c>
      <c r="F71" s="50">
        <v>159142.0</v>
      </c>
      <c r="G71" s="50">
        <v>7598.0</v>
      </c>
      <c r="H71" s="50">
        <v>6910.0</v>
      </c>
      <c r="I71" s="50">
        <v>0.0</v>
      </c>
      <c r="J71" s="50">
        <v>0.0</v>
      </c>
      <c r="K71" s="50">
        <v>0.0</v>
      </c>
      <c r="L71" s="50">
        <v>187285.0</v>
      </c>
      <c r="M71" s="50">
        <v>0.0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8.0" hidden="1" customHeight="1" outlineLevel="1">
      <c r="A72" s="21"/>
      <c r="B72" s="46" t="s">
        <v>68</v>
      </c>
      <c r="C72" s="47" t="s">
        <v>40</v>
      </c>
      <c r="D72" s="48">
        <v>0.0</v>
      </c>
      <c r="E72" s="48">
        <v>0.0</v>
      </c>
      <c r="F72" s="48">
        <v>0.0</v>
      </c>
      <c r="G72" s="48">
        <v>0.0</v>
      </c>
      <c r="H72" s="48">
        <v>0.0</v>
      </c>
      <c r="I72" s="48">
        <v>0.0</v>
      </c>
      <c r="J72" s="48"/>
      <c r="K72" s="48">
        <v>0.0</v>
      </c>
      <c r="L72" s="48">
        <v>0.0</v>
      </c>
      <c r="M72" s="48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8.0" hidden="1" customHeight="1" outlineLevel="1">
      <c r="A73" s="21"/>
      <c r="B73" s="46"/>
      <c r="C73" s="49" t="s">
        <v>41</v>
      </c>
      <c r="D73" s="50">
        <v>0.0</v>
      </c>
      <c r="E73" s="50">
        <v>0.0</v>
      </c>
      <c r="F73" s="50">
        <v>0.0</v>
      </c>
      <c r="G73" s="50">
        <v>0.0</v>
      </c>
      <c r="H73" s="50">
        <v>0.0</v>
      </c>
      <c r="I73" s="50">
        <v>0.0</v>
      </c>
      <c r="J73" s="50">
        <v>0.0</v>
      </c>
      <c r="K73" s="50">
        <v>0.0</v>
      </c>
      <c r="L73" s="50">
        <v>0.0</v>
      </c>
      <c r="M73" s="50">
        <v>0.0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8.0" hidden="1" customHeight="1" outlineLevel="1">
      <c r="A74" s="21"/>
      <c r="B74" s="46" t="s">
        <v>69</v>
      </c>
      <c r="C74" s="47" t="s">
        <v>40</v>
      </c>
      <c r="D74" s="48">
        <v>20000.0</v>
      </c>
      <c r="E74" s="48">
        <v>29000.0</v>
      </c>
      <c r="F74" s="48">
        <v>91062.0</v>
      </c>
      <c r="G74" s="48">
        <v>50000.0</v>
      </c>
      <c r="H74" s="48">
        <v>20000.0</v>
      </c>
      <c r="I74" s="48">
        <v>9443.0</v>
      </c>
      <c r="J74" s="48"/>
      <c r="K74" s="48">
        <v>90000.0</v>
      </c>
      <c r="L74" s="48">
        <v>309505.0</v>
      </c>
      <c r="M74" s="48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8.0" hidden="1" customHeight="1" outlineLevel="1">
      <c r="A75" s="21"/>
      <c r="B75" s="46"/>
      <c r="C75" s="49" t="s">
        <v>41</v>
      </c>
      <c r="D75" s="50">
        <v>29657.0</v>
      </c>
      <c r="E75" s="50">
        <v>90478.0</v>
      </c>
      <c r="F75" s="50">
        <v>54938.0</v>
      </c>
      <c r="G75" s="50">
        <v>49231.0</v>
      </c>
      <c r="H75" s="50">
        <v>10944.0</v>
      </c>
      <c r="I75" s="50">
        <v>10304.0</v>
      </c>
      <c r="J75" s="50">
        <v>0.0</v>
      </c>
      <c r="K75" s="50">
        <v>86738.0</v>
      </c>
      <c r="L75" s="50">
        <v>332290.0</v>
      </c>
      <c r="M75" s="50">
        <v>51342.0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8.0" hidden="1" customHeight="1" outlineLevel="1">
      <c r="A76" s="21"/>
      <c r="B76" s="46" t="s">
        <v>70</v>
      </c>
      <c r="C76" s="47" t="s">
        <v>40</v>
      </c>
      <c r="D76" s="48">
        <v>295750.0</v>
      </c>
      <c r="E76" s="48">
        <v>286000.0</v>
      </c>
      <c r="F76" s="48">
        <v>448674.0</v>
      </c>
      <c r="G76" s="48">
        <v>91082.0</v>
      </c>
      <c r="H76" s="48">
        <v>85252.0</v>
      </c>
      <c r="I76" s="48">
        <v>43368.0</v>
      </c>
      <c r="J76" s="48"/>
      <c r="K76" s="48">
        <v>0.0</v>
      </c>
      <c r="L76" s="48">
        <v>1250126.0</v>
      </c>
      <c r="M76" s="48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8.0" hidden="1" customHeight="1" outlineLevel="1">
      <c r="A77" s="21"/>
      <c r="B77" s="46"/>
      <c r="C77" s="49" t="s">
        <v>41</v>
      </c>
      <c r="D77" s="50">
        <v>0.0</v>
      </c>
      <c r="E77" s="50">
        <v>0.0</v>
      </c>
      <c r="F77" s="50">
        <v>4000.0</v>
      </c>
      <c r="G77" s="50">
        <v>0.0</v>
      </c>
      <c r="H77" s="50">
        <v>0.0</v>
      </c>
      <c r="I77" s="50">
        <v>0.0</v>
      </c>
      <c r="J77" s="50">
        <v>0.0</v>
      </c>
      <c r="K77" s="50">
        <v>0.0</v>
      </c>
      <c r="L77" s="50">
        <v>4000.0</v>
      </c>
      <c r="M77" s="50">
        <v>491000.0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8.0" hidden="1" customHeight="1" outlineLevel="1">
      <c r="A78" s="21"/>
      <c r="B78" s="46" t="s">
        <v>71</v>
      </c>
      <c r="C78" s="47" t="s">
        <v>40</v>
      </c>
      <c r="D78" s="48">
        <v>191768.0</v>
      </c>
      <c r="E78" s="48">
        <v>0.0</v>
      </c>
      <c r="F78" s="48">
        <v>37191.0</v>
      </c>
      <c r="G78" s="48">
        <v>0.0</v>
      </c>
      <c r="H78" s="48">
        <v>0.0</v>
      </c>
      <c r="I78" s="48">
        <v>0.0</v>
      </c>
      <c r="J78" s="48"/>
      <c r="K78" s="48">
        <v>0.0</v>
      </c>
      <c r="L78" s="48">
        <v>228959.0</v>
      </c>
      <c r="M78" s="48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8.0" hidden="1" customHeight="1" outlineLevel="1">
      <c r="A79" s="21"/>
      <c r="B79" s="46"/>
      <c r="C79" s="49" t="s">
        <v>41</v>
      </c>
      <c r="D79" s="50">
        <v>171964.0</v>
      </c>
      <c r="E79" s="50">
        <v>0.0</v>
      </c>
      <c r="F79" s="50">
        <v>60562.0</v>
      </c>
      <c r="G79" s="50">
        <v>0.0</v>
      </c>
      <c r="H79" s="50">
        <v>0.0</v>
      </c>
      <c r="I79" s="50">
        <v>14279.0</v>
      </c>
      <c r="J79" s="50">
        <v>0.0</v>
      </c>
      <c r="K79" s="50">
        <v>14279.0</v>
      </c>
      <c r="L79" s="50">
        <v>261084.0</v>
      </c>
      <c r="M79" s="50">
        <v>15086.0</v>
      </c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8.0" hidden="1" customHeight="1" outlineLevel="1">
      <c r="A80" s="21"/>
      <c r="B80" s="46" t="s">
        <v>72</v>
      </c>
      <c r="C80" s="47" t="s">
        <v>40</v>
      </c>
      <c r="D80" s="48">
        <v>76739.0</v>
      </c>
      <c r="E80" s="48">
        <v>120000.0</v>
      </c>
      <c r="F80" s="48">
        <v>271233.0</v>
      </c>
      <c r="G80" s="48">
        <v>32019.0</v>
      </c>
      <c r="H80" s="48">
        <v>50000.0</v>
      </c>
      <c r="I80" s="48">
        <v>11000.0</v>
      </c>
      <c r="J80" s="48"/>
      <c r="K80" s="48">
        <v>60000.0</v>
      </c>
      <c r="L80" s="48">
        <v>620991.0</v>
      </c>
      <c r="M80" s="48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8.0" hidden="1" customHeight="1" outlineLevel="1">
      <c r="A81" s="21"/>
      <c r="B81" s="46"/>
      <c r="C81" s="49" t="s">
        <v>41</v>
      </c>
      <c r="D81" s="50">
        <v>34906.0</v>
      </c>
      <c r="E81" s="50">
        <v>-10628.0</v>
      </c>
      <c r="F81" s="50">
        <v>18486.0</v>
      </c>
      <c r="G81" s="50">
        <v>43823.0</v>
      </c>
      <c r="H81" s="50">
        <v>7022.0</v>
      </c>
      <c r="I81" s="50">
        <v>5745.0</v>
      </c>
      <c r="J81" s="50">
        <v>0.0</v>
      </c>
      <c r="K81" s="50">
        <v>16797.0</v>
      </c>
      <c r="L81" s="50">
        <v>116151.0</v>
      </c>
      <c r="M81" s="50">
        <v>435451.0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8.0" hidden="1" customHeight="1" outlineLevel="1">
      <c r="A82" s="21"/>
      <c r="B82" s="46" t="s">
        <v>73</v>
      </c>
      <c r="C82" s="47" t="s">
        <v>40</v>
      </c>
      <c r="D82" s="48">
        <v>22565.0</v>
      </c>
      <c r="E82" s="48">
        <v>10000.0</v>
      </c>
      <c r="F82" s="48">
        <v>9099.0</v>
      </c>
      <c r="G82" s="48">
        <v>1856.0</v>
      </c>
      <c r="H82" s="48">
        <v>5155.0</v>
      </c>
      <c r="I82" s="48">
        <v>11347.0</v>
      </c>
      <c r="J82" s="48"/>
      <c r="K82" s="48">
        <v>0.0</v>
      </c>
      <c r="L82" s="48">
        <v>60022.0</v>
      </c>
      <c r="M82" s="48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8.0" hidden="1" customHeight="1" outlineLevel="1">
      <c r="A83" s="21"/>
      <c r="B83" s="46"/>
      <c r="C83" s="49" t="s">
        <v>41</v>
      </c>
      <c r="D83" s="50">
        <v>8053.0</v>
      </c>
      <c r="E83" s="50">
        <v>8289.0</v>
      </c>
      <c r="F83" s="50">
        <v>2124.0</v>
      </c>
      <c r="G83" s="50">
        <v>0.0</v>
      </c>
      <c r="H83" s="50">
        <v>3118.0</v>
      </c>
      <c r="I83" s="50">
        <v>12544.0</v>
      </c>
      <c r="J83" s="50">
        <v>0.0</v>
      </c>
      <c r="K83" s="50">
        <v>0.0</v>
      </c>
      <c r="L83" s="50">
        <v>34128.0</v>
      </c>
      <c r="M83" s="50">
        <v>20821.0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8.0" hidden="1" customHeight="1" outlineLevel="1">
      <c r="A84" s="21"/>
      <c r="B84" s="46" t="s">
        <v>74</v>
      </c>
      <c r="C84" s="47" t="s">
        <v>40</v>
      </c>
      <c r="D84" s="48">
        <v>316700.0</v>
      </c>
      <c r="E84" s="48">
        <v>3000.0</v>
      </c>
      <c r="F84" s="48">
        <v>0.0</v>
      </c>
      <c r="G84" s="48">
        <v>0.0</v>
      </c>
      <c r="H84" s="48">
        <v>35000.0</v>
      </c>
      <c r="I84" s="48">
        <v>0.0</v>
      </c>
      <c r="J84" s="48"/>
      <c r="K84" s="48">
        <v>0.0</v>
      </c>
      <c r="L84" s="48">
        <v>354700.0</v>
      </c>
      <c r="M84" s="48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8.0" hidden="1" customHeight="1" outlineLevel="1">
      <c r="A85" s="21"/>
      <c r="B85" s="46"/>
      <c r="C85" s="49" t="s">
        <v>41</v>
      </c>
      <c r="D85" s="50">
        <v>246200.0</v>
      </c>
      <c r="E85" s="50">
        <v>3000.0</v>
      </c>
      <c r="F85" s="50">
        <v>0.0</v>
      </c>
      <c r="G85" s="50">
        <v>19000.0</v>
      </c>
      <c r="H85" s="50">
        <v>17533.0</v>
      </c>
      <c r="I85" s="50">
        <v>0.0</v>
      </c>
      <c r="J85" s="50">
        <v>0.0</v>
      </c>
      <c r="K85" s="50">
        <v>0.0</v>
      </c>
      <c r="L85" s="50">
        <v>285733.0</v>
      </c>
      <c r="M85" s="50">
        <v>0.0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8.0" hidden="1" customHeight="1" outlineLevel="1">
      <c r="A86" s="21"/>
      <c r="B86" s="46" t="s">
        <v>75</v>
      </c>
      <c r="C86" s="47" t="s">
        <v>40</v>
      </c>
      <c r="D86" s="48">
        <v>0.0</v>
      </c>
      <c r="E86" s="48">
        <v>0.0</v>
      </c>
      <c r="F86" s="48">
        <v>0.0</v>
      </c>
      <c r="G86" s="48">
        <v>0.0</v>
      </c>
      <c r="H86" s="48">
        <v>0.0</v>
      </c>
      <c r="I86" s="48">
        <v>0.0</v>
      </c>
      <c r="J86" s="48"/>
      <c r="K86" s="48">
        <v>0.0</v>
      </c>
      <c r="L86" s="48">
        <v>0.0</v>
      </c>
      <c r="M86" s="48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8.0" hidden="1" customHeight="1" outlineLevel="1">
      <c r="A87" s="21"/>
      <c r="B87" s="46"/>
      <c r="C87" s="49" t="s">
        <v>41</v>
      </c>
      <c r="D87" s="50">
        <v>0.0</v>
      </c>
      <c r="E87" s="50">
        <v>0.0</v>
      </c>
      <c r="F87" s="50">
        <v>0.0</v>
      </c>
      <c r="G87" s="50">
        <v>0.0</v>
      </c>
      <c r="H87" s="50">
        <v>0.0</v>
      </c>
      <c r="I87" s="50">
        <v>0.0</v>
      </c>
      <c r="J87" s="50">
        <v>0.0</v>
      </c>
      <c r="K87" s="50">
        <v>0.0</v>
      </c>
      <c r="L87" s="50">
        <v>0.0</v>
      </c>
      <c r="M87" s="50">
        <v>0.0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8.0" hidden="1" customHeight="1" outlineLevel="1">
      <c r="A88" s="21"/>
      <c r="B88" s="46" t="s">
        <v>76</v>
      </c>
      <c r="C88" s="47" t="s">
        <v>40</v>
      </c>
      <c r="D88" s="48">
        <v>0.0</v>
      </c>
      <c r="E88" s="48">
        <v>0.0</v>
      </c>
      <c r="F88" s="48">
        <v>0.0</v>
      </c>
      <c r="G88" s="48">
        <v>100800.0</v>
      </c>
      <c r="H88" s="48">
        <v>52080.0</v>
      </c>
      <c r="I88" s="48">
        <v>0.0</v>
      </c>
      <c r="J88" s="48"/>
      <c r="K88" s="48">
        <v>90000.0</v>
      </c>
      <c r="L88" s="48">
        <v>242880.0</v>
      </c>
      <c r="M88" s="48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8.0" hidden="1" customHeight="1" outlineLevel="1">
      <c r="A89" s="21"/>
      <c r="B89" s="46"/>
      <c r="C89" s="49" t="s">
        <v>41</v>
      </c>
      <c r="D89" s="50">
        <v>0.0</v>
      </c>
      <c r="E89" s="50">
        <v>0.0</v>
      </c>
      <c r="F89" s="50">
        <v>0.0</v>
      </c>
      <c r="G89" s="50">
        <v>0.0</v>
      </c>
      <c r="H89" s="50">
        <v>0.0</v>
      </c>
      <c r="I89" s="50">
        <v>0.0</v>
      </c>
      <c r="J89" s="50">
        <v>0.0</v>
      </c>
      <c r="K89" s="50">
        <v>0.0</v>
      </c>
      <c r="L89" s="50">
        <v>0.0</v>
      </c>
      <c r="M89" s="50">
        <v>0.0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8.0" hidden="1" customHeight="1" outlineLevel="1">
      <c r="A90" s="21"/>
      <c r="B90" s="46" t="s">
        <v>77</v>
      </c>
      <c r="C90" s="47" t="s">
        <v>40</v>
      </c>
      <c r="D90" s="48">
        <v>0.0</v>
      </c>
      <c r="E90" s="48">
        <v>0.0</v>
      </c>
      <c r="F90" s="48">
        <v>0.0</v>
      </c>
      <c r="G90" s="48">
        <v>0.0</v>
      </c>
      <c r="H90" s="48">
        <v>0.0</v>
      </c>
      <c r="I90" s="48">
        <v>0.0</v>
      </c>
      <c r="J90" s="48"/>
      <c r="K90" s="48">
        <v>0.0</v>
      </c>
      <c r="L90" s="48">
        <v>0.0</v>
      </c>
      <c r="M90" s="48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8.0" hidden="1" customHeight="1" outlineLevel="1">
      <c r="A91" s="21"/>
      <c r="B91" s="46"/>
      <c r="C91" s="49" t="s">
        <v>41</v>
      </c>
      <c r="D91" s="50">
        <v>0.0</v>
      </c>
      <c r="E91" s="50">
        <v>0.0</v>
      </c>
      <c r="F91" s="50">
        <v>200.0</v>
      </c>
      <c r="G91" s="50">
        <v>0.0</v>
      </c>
      <c r="H91" s="50">
        <v>0.0</v>
      </c>
      <c r="I91" s="50">
        <v>0.0</v>
      </c>
      <c r="J91" s="50">
        <v>0.0</v>
      </c>
      <c r="K91" s="50">
        <v>0.0</v>
      </c>
      <c r="L91" s="50">
        <v>200.0</v>
      </c>
      <c r="M91" s="50">
        <v>54923.0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8.0" hidden="1" customHeight="1" outlineLevel="1">
      <c r="A92" s="21"/>
      <c r="B92" s="46" t="s">
        <v>78</v>
      </c>
      <c r="C92" s="47" t="s">
        <v>40</v>
      </c>
      <c r="D92" s="48">
        <v>0.0</v>
      </c>
      <c r="E92" s="48">
        <v>0.0</v>
      </c>
      <c r="F92" s="48">
        <v>0.0</v>
      </c>
      <c r="G92" s="48">
        <v>0.0</v>
      </c>
      <c r="H92" s="48">
        <v>0.0</v>
      </c>
      <c r="I92" s="48">
        <v>0.0</v>
      </c>
      <c r="J92" s="48"/>
      <c r="K92" s="48">
        <v>0.0</v>
      </c>
      <c r="L92" s="48">
        <v>0.0</v>
      </c>
      <c r="M92" s="48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8.0" hidden="1" customHeight="1" outlineLevel="1">
      <c r="A93" s="21"/>
      <c r="B93" s="46"/>
      <c r="C93" s="49" t="s">
        <v>41</v>
      </c>
      <c r="D93" s="50">
        <v>0.0</v>
      </c>
      <c r="E93" s="50">
        <v>0.0</v>
      </c>
      <c r="F93" s="50">
        <v>0.0</v>
      </c>
      <c r="G93" s="50">
        <v>0.0</v>
      </c>
      <c r="H93" s="50">
        <v>0.0</v>
      </c>
      <c r="I93" s="50">
        <v>0.0</v>
      </c>
      <c r="J93" s="50">
        <v>0.0</v>
      </c>
      <c r="K93" s="50">
        <v>0.0</v>
      </c>
      <c r="L93" s="50">
        <v>0.0</v>
      </c>
      <c r="M93" s="50">
        <v>0.0</v>
      </c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8.0" hidden="1" customHeight="1" outlineLevel="1">
      <c r="A94" s="21"/>
      <c r="B94" s="46" t="s">
        <v>79</v>
      </c>
      <c r="C94" s="47" t="s">
        <v>40</v>
      </c>
      <c r="D94" s="48">
        <v>0.0</v>
      </c>
      <c r="E94" s="48">
        <v>0.0</v>
      </c>
      <c r="F94" s="48">
        <v>0.0</v>
      </c>
      <c r="G94" s="48">
        <v>0.0</v>
      </c>
      <c r="H94" s="48">
        <v>0.0</v>
      </c>
      <c r="I94" s="48">
        <v>0.0</v>
      </c>
      <c r="J94" s="48"/>
      <c r="K94" s="48">
        <v>0.0</v>
      </c>
      <c r="L94" s="48">
        <v>0.0</v>
      </c>
      <c r="M94" s="48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8.0" hidden="1" customHeight="1" outlineLevel="1">
      <c r="A95" s="21"/>
      <c r="B95" s="46"/>
      <c r="C95" s="49" t="s">
        <v>41</v>
      </c>
      <c r="D95" s="50">
        <v>0.0</v>
      </c>
      <c r="E95" s="50">
        <v>0.0</v>
      </c>
      <c r="F95" s="50">
        <v>0.0</v>
      </c>
      <c r="G95" s="50">
        <v>0.0</v>
      </c>
      <c r="H95" s="50">
        <v>0.0</v>
      </c>
      <c r="I95" s="50">
        <v>0.0</v>
      </c>
      <c r="J95" s="50">
        <v>0.0</v>
      </c>
      <c r="K95" s="50">
        <v>0.0</v>
      </c>
      <c r="L95" s="50">
        <v>0.0</v>
      </c>
      <c r="M95" s="50">
        <v>14890.0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8.0" hidden="1" customHeight="1" outlineLevel="1">
      <c r="A96" s="21"/>
      <c r="B96" s="46" t="s">
        <v>80</v>
      </c>
      <c r="C96" s="47" t="s">
        <v>40</v>
      </c>
      <c r="D96" s="48">
        <v>0.0</v>
      </c>
      <c r="E96" s="48">
        <v>0.0</v>
      </c>
      <c r="F96" s="48">
        <v>0.0</v>
      </c>
      <c r="G96" s="48">
        <v>0.0</v>
      </c>
      <c r="H96" s="48">
        <v>0.0</v>
      </c>
      <c r="I96" s="48">
        <v>0.0</v>
      </c>
      <c r="J96" s="48"/>
      <c r="K96" s="48">
        <v>10000.0</v>
      </c>
      <c r="L96" s="48">
        <v>10000.0</v>
      </c>
      <c r="M96" s="48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8.0" hidden="1" customHeight="1" outlineLevel="1">
      <c r="A97" s="21"/>
      <c r="B97" s="46"/>
      <c r="C97" s="49" t="s">
        <v>41</v>
      </c>
      <c r="D97" s="50">
        <v>2670.0</v>
      </c>
      <c r="E97" s="50">
        <v>14125.0</v>
      </c>
      <c r="F97" s="50">
        <v>0.0</v>
      </c>
      <c r="G97" s="50">
        <v>0.0</v>
      </c>
      <c r="H97" s="50">
        <v>0.0</v>
      </c>
      <c r="I97" s="50">
        <v>0.0</v>
      </c>
      <c r="J97" s="50">
        <v>0.0</v>
      </c>
      <c r="K97" s="50">
        <v>0.0</v>
      </c>
      <c r="L97" s="50">
        <v>16795.0</v>
      </c>
      <c r="M97" s="50">
        <v>0.0</v>
      </c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8.0" hidden="1" customHeight="1" outlineLevel="1">
      <c r="A98" s="21"/>
      <c r="B98" s="46" t="s">
        <v>81</v>
      </c>
      <c r="C98" s="47" t="s">
        <v>40</v>
      </c>
      <c r="D98" s="48">
        <v>0.0</v>
      </c>
      <c r="E98" s="48">
        <v>0.0</v>
      </c>
      <c r="F98" s="48">
        <v>0.0</v>
      </c>
      <c r="G98" s="48">
        <v>0.0</v>
      </c>
      <c r="H98" s="48">
        <v>0.0</v>
      </c>
      <c r="I98" s="48">
        <v>0.0</v>
      </c>
      <c r="J98" s="48"/>
      <c r="K98" s="48">
        <v>0.0</v>
      </c>
      <c r="L98" s="48">
        <v>0.0</v>
      </c>
      <c r="M98" s="48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8.0" hidden="1" customHeight="1" outlineLevel="1">
      <c r="A99" s="21"/>
      <c r="B99" s="46"/>
      <c r="C99" s="49" t="s">
        <v>41</v>
      </c>
      <c r="D99" s="50">
        <v>0.0</v>
      </c>
      <c r="E99" s="50">
        <v>0.0</v>
      </c>
      <c r="F99" s="50">
        <v>0.0</v>
      </c>
      <c r="G99" s="50">
        <v>0.0</v>
      </c>
      <c r="H99" s="50">
        <v>0.0</v>
      </c>
      <c r="I99" s="50">
        <v>0.0</v>
      </c>
      <c r="J99" s="50">
        <v>0.0</v>
      </c>
      <c r="K99" s="50">
        <v>0.0</v>
      </c>
      <c r="L99" s="50">
        <v>0.0</v>
      </c>
      <c r="M99" s="50">
        <v>0.0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8.0" customHeight="1" collapsed="1">
      <c r="A100" s="21"/>
      <c r="B100" s="21" t="s">
        <v>30</v>
      </c>
      <c r="C100" s="4" t="s">
        <v>40</v>
      </c>
      <c r="D100" s="24">
        <v>1290345.0</v>
      </c>
      <c r="E100" s="24">
        <v>1824815.0</v>
      </c>
      <c r="F100" s="24">
        <v>7055429.0</v>
      </c>
      <c r="G100" s="24">
        <v>421755.0</v>
      </c>
      <c r="H100" s="24">
        <v>1099678.0</v>
      </c>
      <c r="I100" s="24">
        <v>763139.0</v>
      </c>
      <c r="J100" s="24">
        <v>0.0</v>
      </c>
      <c r="K100" s="24">
        <v>324417.0</v>
      </c>
      <c r="L100" s="24">
        <v>1.2779578E7</v>
      </c>
      <c r="M100" s="24">
        <v>0.0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8.0" customHeight="1">
      <c r="A101" s="21"/>
      <c r="B101" s="21"/>
      <c r="C101" s="38" t="s">
        <v>41</v>
      </c>
      <c r="D101" s="39">
        <v>1038832.0</v>
      </c>
      <c r="E101" s="39">
        <v>2072942.0</v>
      </c>
      <c r="F101" s="39">
        <v>7299468.0</v>
      </c>
      <c r="G101" s="39">
        <v>504168.0</v>
      </c>
      <c r="H101" s="39">
        <v>1003335.0</v>
      </c>
      <c r="I101" s="39">
        <v>859802.0</v>
      </c>
      <c r="J101" s="39">
        <v>0.0</v>
      </c>
      <c r="K101" s="39">
        <v>235843.0</v>
      </c>
      <c r="L101" s="39">
        <v>1.301439E7</v>
      </c>
      <c r="M101" s="39">
        <v>1957885.0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8.0" hidden="1" customHeight="1" outlineLevel="1">
      <c r="A102" s="21"/>
      <c r="B102" s="51" t="s">
        <v>35</v>
      </c>
      <c r="C102" s="52" t="s">
        <v>40</v>
      </c>
      <c r="D102" s="53">
        <v>489173.0</v>
      </c>
      <c r="E102" s="53">
        <v>1049026.0</v>
      </c>
      <c r="F102" s="53">
        <v>5583157.0</v>
      </c>
      <c r="G102" s="53">
        <v>274551.0</v>
      </c>
      <c r="H102" s="53">
        <v>804606.0</v>
      </c>
      <c r="I102" s="53">
        <v>679275.0</v>
      </c>
      <c r="J102" s="53"/>
      <c r="K102" s="53">
        <v>35417.0</v>
      </c>
      <c r="L102" s="53">
        <v>8915205.0</v>
      </c>
      <c r="M102" s="53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8.0" hidden="1" customHeight="1" outlineLevel="1">
      <c r="A103" s="21"/>
      <c r="B103" s="51"/>
      <c r="C103" s="54" t="s">
        <v>41</v>
      </c>
      <c r="D103" s="55">
        <v>466129.0</v>
      </c>
      <c r="E103" s="55">
        <v>1087635.0</v>
      </c>
      <c r="F103" s="55">
        <v>5540316.0</v>
      </c>
      <c r="G103" s="55">
        <v>267608.0</v>
      </c>
      <c r="H103" s="55">
        <v>804607.0</v>
      </c>
      <c r="I103" s="55">
        <v>679279.0</v>
      </c>
      <c r="J103" s="55">
        <v>0.0</v>
      </c>
      <c r="K103" s="55">
        <v>0.0</v>
      </c>
      <c r="L103" s="55">
        <v>8845574.0</v>
      </c>
      <c r="M103" s="55">
        <v>1597393.0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8.0" hidden="1" customHeight="1" outlineLevel="1">
      <c r="A104" s="21"/>
      <c r="B104" s="51" t="s">
        <v>82</v>
      </c>
      <c r="C104" s="52" t="s">
        <v>40</v>
      </c>
      <c r="D104" s="53">
        <v>0.0</v>
      </c>
      <c r="E104" s="53">
        <v>0.0</v>
      </c>
      <c r="F104" s="53">
        <v>0.0</v>
      </c>
      <c r="G104" s="53">
        <v>0.0</v>
      </c>
      <c r="H104" s="53">
        <v>0.0</v>
      </c>
      <c r="I104" s="53">
        <v>0.0</v>
      </c>
      <c r="J104" s="53"/>
      <c r="K104" s="53">
        <v>0.0</v>
      </c>
      <c r="L104" s="53">
        <v>0.0</v>
      </c>
      <c r="M104" s="53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8.0" hidden="1" customHeight="1" outlineLevel="1">
      <c r="A105" s="21"/>
      <c r="B105" s="51"/>
      <c r="C105" s="54" t="s">
        <v>41</v>
      </c>
      <c r="D105" s="55">
        <v>0.0</v>
      </c>
      <c r="E105" s="55">
        <v>0.0</v>
      </c>
      <c r="F105" s="55">
        <v>0.0</v>
      </c>
      <c r="G105" s="55">
        <v>0.0</v>
      </c>
      <c r="H105" s="55">
        <v>0.0</v>
      </c>
      <c r="I105" s="55">
        <v>0.0</v>
      </c>
      <c r="J105" s="55">
        <v>0.0</v>
      </c>
      <c r="K105" s="55">
        <v>0.0</v>
      </c>
      <c r="L105" s="55">
        <v>0.0</v>
      </c>
      <c r="M105" s="55">
        <v>30000.0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8.0" hidden="1" customHeight="1" outlineLevel="1">
      <c r="A106" s="21"/>
      <c r="B106" s="51" t="s">
        <v>83</v>
      </c>
      <c r="C106" s="52" t="s">
        <v>40</v>
      </c>
      <c r="D106" s="53">
        <v>132310.0</v>
      </c>
      <c r="E106" s="53">
        <v>78979.0</v>
      </c>
      <c r="F106" s="53">
        <v>676382.0</v>
      </c>
      <c r="G106" s="53">
        <v>55504.0</v>
      </c>
      <c r="H106" s="53">
        <v>203372.0</v>
      </c>
      <c r="I106" s="53">
        <v>1064.0</v>
      </c>
      <c r="J106" s="53"/>
      <c r="K106" s="53">
        <v>100000.0</v>
      </c>
      <c r="L106" s="53">
        <v>1247611.0</v>
      </c>
      <c r="M106" s="53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8.0" hidden="1" customHeight="1" outlineLevel="1">
      <c r="A107" s="21"/>
      <c r="B107" s="51"/>
      <c r="C107" s="54" t="s">
        <v>41</v>
      </c>
      <c r="D107" s="55">
        <v>125975.0</v>
      </c>
      <c r="E107" s="55">
        <v>57016.0</v>
      </c>
      <c r="F107" s="55">
        <v>602899.0</v>
      </c>
      <c r="G107" s="55">
        <v>30860.0</v>
      </c>
      <c r="H107" s="55">
        <v>47753.0</v>
      </c>
      <c r="I107" s="55">
        <v>1063.0</v>
      </c>
      <c r="J107" s="55">
        <v>0.0</v>
      </c>
      <c r="K107" s="55">
        <v>50028.0</v>
      </c>
      <c r="L107" s="55">
        <v>915594.0</v>
      </c>
      <c r="M107" s="55">
        <v>88860.0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8.0" hidden="1" customHeight="1" outlineLevel="1">
      <c r="A108" s="21"/>
      <c r="B108" s="51" t="s">
        <v>84</v>
      </c>
      <c r="C108" s="52" t="s">
        <v>40</v>
      </c>
      <c r="D108" s="53">
        <v>121352.0</v>
      </c>
      <c r="E108" s="53">
        <v>149300.0</v>
      </c>
      <c r="F108" s="53">
        <v>338800.0</v>
      </c>
      <c r="G108" s="53">
        <v>78800.0</v>
      </c>
      <c r="H108" s="53">
        <v>78800.0</v>
      </c>
      <c r="I108" s="53">
        <v>82800.0</v>
      </c>
      <c r="J108" s="53"/>
      <c r="K108" s="53">
        <v>139000.0</v>
      </c>
      <c r="L108" s="53">
        <v>988852.0</v>
      </c>
      <c r="M108" s="53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8.0" hidden="1" customHeight="1" outlineLevel="1">
      <c r="A109" s="21"/>
      <c r="B109" s="51"/>
      <c r="C109" s="54" t="s">
        <v>41</v>
      </c>
      <c r="D109" s="55">
        <v>128447.0</v>
      </c>
      <c r="E109" s="55">
        <v>156840.0</v>
      </c>
      <c r="F109" s="55">
        <v>366356.0</v>
      </c>
      <c r="G109" s="55">
        <v>88640.0</v>
      </c>
      <c r="H109" s="55">
        <v>86640.0</v>
      </c>
      <c r="I109" s="55">
        <v>64040.0</v>
      </c>
      <c r="J109" s="55">
        <v>0.0</v>
      </c>
      <c r="K109" s="55">
        <v>185815.0</v>
      </c>
      <c r="L109" s="55">
        <v>1076778.0</v>
      </c>
      <c r="M109" s="55">
        <v>166086.0</v>
      </c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8.0" hidden="1" customHeight="1" outlineLevel="1">
      <c r="A110" s="21"/>
      <c r="B110" s="51" t="s">
        <v>85</v>
      </c>
      <c r="C110" s="52" t="s">
        <v>40</v>
      </c>
      <c r="D110" s="53">
        <v>547510.0</v>
      </c>
      <c r="E110" s="53">
        <v>547510.0</v>
      </c>
      <c r="F110" s="53">
        <v>457090.0</v>
      </c>
      <c r="G110" s="53">
        <v>12900.0</v>
      </c>
      <c r="H110" s="53">
        <v>12900.0</v>
      </c>
      <c r="I110" s="53">
        <v>0.0</v>
      </c>
      <c r="J110" s="53"/>
      <c r="K110" s="53">
        <v>50000.0</v>
      </c>
      <c r="L110" s="53">
        <v>1627910.0</v>
      </c>
      <c r="M110" s="53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8.0" hidden="1" customHeight="1" outlineLevel="1">
      <c r="A111" s="21"/>
      <c r="B111" s="51"/>
      <c r="C111" s="54" t="s">
        <v>41</v>
      </c>
      <c r="D111" s="55">
        <v>310281.0</v>
      </c>
      <c r="E111" s="55">
        <v>763451.0</v>
      </c>
      <c r="F111" s="55">
        <v>789897.0</v>
      </c>
      <c r="G111" s="55">
        <v>117060.0</v>
      </c>
      <c r="H111" s="55">
        <v>64335.0</v>
      </c>
      <c r="I111" s="55">
        <v>115420.0</v>
      </c>
      <c r="J111" s="55">
        <v>0.0</v>
      </c>
      <c r="K111" s="55">
        <v>0.0</v>
      </c>
      <c r="L111" s="55">
        <v>2160444.0</v>
      </c>
      <c r="M111" s="55">
        <v>0.0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8.0" hidden="1" customHeight="1" outlineLevel="1">
      <c r="A112" s="21"/>
      <c r="B112" s="51" t="s">
        <v>86</v>
      </c>
      <c r="C112" s="52" t="s">
        <v>46</v>
      </c>
      <c r="D112" s="53">
        <v>0.0</v>
      </c>
      <c r="E112" s="53">
        <v>0.0</v>
      </c>
      <c r="F112" s="53">
        <v>0.0</v>
      </c>
      <c r="G112" s="53">
        <v>0.0</v>
      </c>
      <c r="H112" s="53">
        <v>0.0</v>
      </c>
      <c r="I112" s="53">
        <v>0.0</v>
      </c>
      <c r="J112" s="53"/>
      <c r="K112" s="53">
        <v>0.0</v>
      </c>
      <c r="L112" s="53">
        <v>0.0</v>
      </c>
      <c r="M112" s="53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8.0" hidden="1" customHeight="1" outlineLevel="1">
      <c r="A113" s="21"/>
      <c r="B113" s="51"/>
      <c r="C113" s="54" t="s">
        <v>41</v>
      </c>
      <c r="D113" s="55">
        <v>8000.0</v>
      </c>
      <c r="E113" s="55">
        <v>8000.0</v>
      </c>
      <c r="F113" s="55">
        <v>0.0</v>
      </c>
      <c r="G113" s="55">
        <v>0.0</v>
      </c>
      <c r="H113" s="55">
        <v>0.0</v>
      </c>
      <c r="I113" s="55">
        <v>0.0</v>
      </c>
      <c r="J113" s="55">
        <v>0.0</v>
      </c>
      <c r="K113" s="55">
        <v>0.0</v>
      </c>
      <c r="L113" s="55">
        <v>16000.0</v>
      </c>
      <c r="M113" s="55">
        <v>75546.0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8.0" customHeight="1" collapsed="1">
      <c r="A114" s="21"/>
      <c r="B114" s="21" t="s">
        <v>31</v>
      </c>
      <c r="C114" s="21" t="s">
        <v>40</v>
      </c>
      <c r="D114" s="24">
        <v>1314556.0</v>
      </c>
      <c r="E114" s="24">
        <v>1296511.0</v>
      </c>
      <c r="F114" s="24">
        <v>4264361.0</v>
      </c>
      <c r="G114" s="24">
        <v>537457.0</v>
      </c>
      <c r="H114" s="24">
        <v>782051.0</v>
      </c>
      <c r="I114" s="24">
        <v>367708.0</v>
      </c>
      <c r="J114" s="24"/>
      <c r="K114" s="24">
        <v>950204.0</v>
      </c>
      <c r="L114" s="24">
        <v>9512848.0</v>
      </c>
      <c r="M114" s="24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8.0" customHeight="1">
      <c r="A115" s="21"/>
      <c r="B115" s="56" t="s">
        <v>31</v>
      </c>
      <c r="C115" s="30" t="s">
        <v>41</v>
      </c>
      <c r="D115" s="39">
        <v>1372326.0</v>
      </c>
      <c r="E115" s="39">
        <v>1393640.0</v>
      </c>
      <c r="F115" s="39">
        <v>5037999.0</v>
      </c>
      <c r="G115" s="39">
        <v>730784.0</v>
      </c>
      <c r="H115" s="39">
        <v>762741.0</v>
      </c>
      <c r="I115" s="39">
        <v>556195.0</v>
      </c>
      <c r="J115" s="39">
        <v>0.0</v>
      </c>
      <c r="K115" s="39">
        <v>1093700.0</v>
      </c>
      <c r="L115" s="39">
        <v>1.0947385E7</v>
      </c>
      <c r="M115" s="39">
        <v>0.0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8.0" customHeight="1">
      <c r="A116" s="21"/>
      <c r="B116" s="22" t="s">
        <v>32</v>
      </c>
      <c r="C116" s="35" t="s">
        <v>40</v>
      </c>
      <c r="D116" s="37">
        <v>1.3301255E7</v>
      </c>
      <c r="E116" s="37">
        <v>1.1948883E7</v>
      </c>
      <c r="F116" s="37">
        <v>3.5629113E7</v>
      </c>
      <c r="G116" s="37">
        <v>6079533.0</v>
      </c>
      <c r="H116" s="37">
        <v>7083159.0</v>
      </c>
      <c r="I116" s="37">
        <v>4251650.0</v>
      </c>
      <c r="J116" s="37">
        <v>0.0</v>
      </c>
      <c r="K116" s="37">
        <v>7798060.0</v>
      </c>
      <c r="L116" s="37">
        <v>8.6091653E7</v>
      </c>
      <c r="M116" s="37">
        <v>0.0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8.0" customHeight="1">
      <c r="A117" s="21"/>
      <c r="B117" s="22"/>
      <c r="C117" s="15" t="s">
        <v>41</v>
      </c>
      <c r="D117" s="23">
        <v>1.2241486E7</v>
      </c>
      <c r="E117" s="23">
        <v>1.282199E7</v>
      </c>
      <c r="F117" s="23">
        <v>3.4096705E7</v>
      </c>
      <c r="G117" s="23">
        <v>5890214.0</v>
      </c>
      <c r="H117" s="23">
        <v>7184572.0</v>
      </c>
      <c r="I117" s="23">
        <v>4559001.0</v>
      </c>
      <c r="J117" s="23">
        <v>0.0</v>
      </c>
      <c r="K117" s="23">
        <v>7958009.0</v>
      </c>
      <c r="L117" s="23">
        <v>8.4751977E7</v>
      </c>
      <c r="M117" s="23">
        <v>1.0947385E7</v>
      </c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8.0" customHeight="1">
      <c r="A118" s="21"/>
      <c r="B118" s="25" t="s">
        <v>33</v>
      </c>
      <c r="C118" s="57" t="s">
        <v>40</v>
      </c>
      <c r="D118" s="58">
        <v>1432247.0</v>
      </c>
      <c r="E118" s="58">
        <v>2453726.0</v>
      </c>
      <c r="F118" s="58">
        <v>8805596.0</v>
      </c>
      <c r="G118" s="58">
        <v>-135283.0</v>
      </c>
      <c r="H118" s="58">
        <v>1814675.0</v>
      </c>
      <c r="I118" s="58">
        <v>435550.0</v>
      </c>
      <c r="J118" s="58">
        <v>0.0</v>
      </c>
      <c r="K118" s="58">
        <v>3981787.0</v>
      </c>
      <c r="L118" s="58">
        <v>1.8788298E7</v>
      </c>
      <c r="M118" s="58">
        <v>0.0</v>
      </c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8.0" customHeight="1">
      <c r="A119" s="21"/>
      <c r="B119" s="25"/>
      <c r="C119" s="59" t="s">
        <v>41</v>
      </c>
      <c r="D119" s="26">
        <v>173789.0</v>
      </c>
      <c r="E119" s="26">
        <v>2078044.0</v>
      </c>
      <c r="F119" s="26">
        <v>1.0693329E7</v>
      </c>
      <c r="G119" s="26">
        <v>-378845.0</v>
      </c>
      <c r="H119" s="26">
        <v>1137049.0</v>
      </c>
      <c r="I119" s="26">
        <v>961104.0</v>
      </c>
      <c r="J119" s="26">
        <v>0.0</v>
      </c>
      <c r="K119" s="26">
        <v>2072081.0</v>
      </c>
      <c r="L119" s="26">
        <v>1.6736551E7</v>
      </c>
      <c r="M119" s="26">
        <v>-1.0947385E7</v>
      </c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8.0" customHeight="1">
      <c r="A120" s="27"/>
      <c r="B120" s="28" t="s">
        <v>34</v>
      </c>
      <c r="C120" s="28"/>
      <c r="D120" s="29">
        <v>0.01183766684299413</v>
      </c>
      <c r="E120" s="29">
        <v>0.12209209003366568</v>
      </c>
      <c r="F120" s="29">
        <v>0.1940394610009831</v>
      </c>
      <c r="G120" s="29">
        <v>-0.059263239568374586</v>
      </c>
      <c r="H120" s="29">
        <v>0.12168952144259974</v>
      </c>
      <c r="I120" s="29">
        <v>0.17410973160836615</v>
      </c>
      <c r="J120" s="29" t="e">
        <v>#DIV/0!</v>
      </c>
      <c r="K120" s="29">
        <v>0.1962256078234137</v>
      </c>
      <c r="L120" s="29">
        <v>0.1410860041104108</v>
      </c>
      <c r="M120" s="29" t="e">
        <v>#DIV/0!</v>
      </c>
      <c r="N120" s="27"/>
      <c r="O120" s="27"/>
      <c r="P120" s="60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8.0" customHeight="1">
      <c r="A122" s="4"/>
      <c r="B122" s="25" t="s">
        <v>87</v>
      </c>
      <c r="C122" s="25"/>
      <c r="D122" s="26">
        <v>-568705.0500000007</v>
      </c>
      <c r="E122" s="26">
        <v>1623743.8000000007</v>
      </c>
      <c r="F122" s="26">
        <v>8360427.332688995</v>
      </c>
      <c r="G122" s="26">
        <v>-941900.0</v>
      </c>
      <c r="H122" s="26">
        <v>1239089.8399999999</v>
      </c>
      <c r="I122" s="26">
        <v>487012.5187999997</v>
      </c>
      <c r="J122" s="26">
        <v>0.0</v>
      </c>
      <c r="K122" s="26">
        <v>2249352.1171199996</v>
      </c>
      <c r="L122" s="26">
        <v>1.2449020558608994E7</v>
      </c>
      <c r="M122" s="2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8.0" customHeight="1">
      <c r="A123" s="4"/>
      <c r="B123" s="25" t="s">
        <v>88</v>
      </c>
      <c r="C123" s="25"/>
      <c r="D123" s="26">
        <v>-742494.0500000007</v>
      </c>
      <c r="E123" s="26">
        <v>-454300.19999999925</v>
      </c>
      <c r="F123" s="26">
        <v>-2332901.6673110053</v>
      </c>
      <c r="G123" s="26">
        <v>-563055.0</v>
      </c>
      <c r="H123" s="26">
        <v>102040.83999999985</v>
      </c>
      <c r="I123" s="26">
        <v>-474091.4812000003</v>
      </c>
      <c r="J123" s="26"/>
      <c r="K123" s="26">
        <v>177271.1171199996</v>
      </c>
      <c r="L123" s="26">
        <v>-4287530.441391006</v>
      </c>
      <c r="M123" s="2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8.0" customHeight="1">
      <c r="A124" s="4"/>
      <c r="B124" s="4"/>
      <c r="C124" s="4"/>
      <c r="D124" s="61">
        <v>0.1381874282023638</v>
      </c>
      <c r="E124" s="61">
        <v>0.13629051993682648</v>
      </c>
      <c r="F124" s="61">
        <v>0.4482738502707076</v>
      </c>
      <c r="G124" s="61">
        <v>0.05649801195183608</v>
      </c>
      <c r="H124" s="61">
        <v>0.08220997539327865</v>
      </c>
      <c r="I124" s="61">
        <v>0.038653829011038546</v>
      </c>
      <c r="J124" s="61">
        <v>0.0</v>
      </c>
      <c r="K124" s="61">
        <v>0.09988638523394887</v>
      </c>
      <c r="L124" s="61">
        <v>1.0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8.0" customHeight="1">
      <c r="A127" s="4"/>
      <c r="B127" s="4"/>
      <c r="C127" s="4"/>
      <c r="D127" s="62"/>
      <c r="E127" s="62"/>
      <c r="F127" s="62"/>
      <c r="G127" s="62"/>
      <c r="H127" s="62"/>
      <c r="I127" s="62"/>
      <c r="J127" s="62"/>
      <c r="K127" s="62"/>
      <c r="L127" s="6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8.0" customHeight="1">
      <c r="A128" s="4"/>
      <c r="B128" s="4"/>
      <c r="C128" s="4"/>
      <c r="D128" s="62"/>
      <c r="E128" s="62"/>
      <c r="F128" s="62"/>
      <c r="G128" s="62"/>
      <c r="H128" s="62"/>
      <c r="I128" s="62"/>
      <c r="J128" s="62"/>
      <c r="K128" s="62"/>
      <c r="L128" s="6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8.0" customHeight="1">
      <c r="A129" s="4"/>
      <c r="B129" s="4"/>
      <c r="C129" s="4"/>
      <c r="D129" s="62"/>
      <c r="E129" s="62"/>
      <c r="F129" s="62" t="s">
        <v>89</v>
      </c>
      <c r="G129" s="62"/>
      <c r="H129" s="62"/>
      <c r="I129" s="62"/>
      <c r="J129" s="62"/>
      <c r="K129" s="62"/>
      <c r="L129" s="6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8.0" customHeight="1">
      <c r="A130" s="4"/>
      <c r="B130" s="4"/>
      <c r="C130" s="4"/>
      <c r="D130" s="62"/>
      <c r="E130" s="62"/>
      <c r="F130" s="62"/>
      <c r="G130" s="62"/>
      <c r="H130" s="62"/>
      <c r="I130" s="62"/>
      <c r="J130" s="62"/>
      <c r="K130" s="62"/>
      <c r="L130" s="6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8.0" customHeight="1">
      <c r="A131" s="4"/>
      <c r="B131" s="4"/>
      <c r="C131" s="4"/>
      <c r="D131" s="62"/>
      <c r="E131" s="62"/>
      <c r="F131" s="62"/>
      <c r="G131" s="62"/>
      <c r="H131" s="62"/>
      <c r="I131" s="62"/>
      <c r="J131" s="62"/>
      <c r="K131" s="62"/>
      <c r="L131" s="6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 outlineLevelRow="1"/>
  <cols>
    <col customWidth="1" min="1" max="1" width="2.0"/>
    <col customWidth="1" min="2" max="2" width="26.57"/>
    <col customWidth="1" min="3" max="3" width="16.57"/>
    <col customWidth="1" min="4" max="12" width="16.86"/>
    <col customWidth="1" min="13" max="13" width="4.86"/>
    <col customWidth="1" min="14" max="14" width="16.86"/>
    <col customWidth="1" min="15" max="15" width="12.57"/>
    <col customWidth="1" min="16" max="16" width="16.43"/>
    <col customWidth="1" min="17" max="17" width="13.43"/>
    <col customWidth="1" min="18" max="18" width="17.57"/>
    <col customWidth="1" min="19" max="19" width="15.14"/>
    <col customWidth="1" min="20" max="20" width="16.43"/>
    <col customWidth="1" min="21" max="24" width="15.14"/>
    <col customWidth="1" min="25" max="31" width="8.57"/>
  </cols>
  <sheetData>
    <row r="1" ht="18.0" customHeight="1">
      <c r="A1" s="1"/>
      <c r="B1" s="2" t="s">
        <v>0</v>
      </c>
      <c r="C1" s="31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63"/>
      <c r="N1" s="3" t="s">
        <v>10</v>
      </c>
      <c r="O1" s="1"/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1"/>
      <c r="Z1" s="1"/>
      <c r="AA1" s="1"/>
      <c r="AB1" s="1"/>
      <c r="AC1" s="1"/>
      <c r="AD1" s="1"/>
      <c r="AE1" s="1"/>
    </row>
    <row r="2" ht="18.0" hidden="1" customHeight="1" outlineLevel="1">
      <c r="A2" s="4"/>
      <c r="B2" s="5" t="s">
        <v>17</v>
      </c>
      <c r="C2" s="32"/>
      <c r="D2" s="7"/>
      <c r="E2" s="7"/>
      <c r="F2" s="7"/>
      <c r="G2" s="7"/>
      <c r="H2" s="7"/>
      <c r="I2" s="7"/>
      <c r="J2" s="7"/>
      <c r="K2" s="7"/>
      <c r="L2" s="7"/>
      <c r="M2" s="64"/>
      <c r="N2" s="7"/>
      <c r="O2" s="4"/>
      <c r="P2" s="4"/>
      <c r="Q2" s="4"/>
      <c r="R2" s="4"/>
      <c r="S2" s="4"/>
      <c r="T2" s="4"/>
      <c r="U2" s="4"/>
      <c r="V2" s="4" t="s">
        <v>8</v>
      </c>
      <c r="W2" s="4"/>
      <c r="X2" s="4"/>
      <c r="Y2" s="4"/>
      <c r="Z2" s="4"/>
      <c r="AA2" s="4"/>
      <c r="AB2" s="4"/>
      <c r="AC2" s="4"/>
      <c r="AD2" s="4"/>
      <c r="AE2" s="4"/>
    </row>
    <row r="3" ht="18.0" hidden="1" customHeight="1" outlineLevel="1">
      <c r="A3" s="4"/>
      <c r="B3" s="5" t="s">
        <v>18</v>
      </c>
      <c r="C3" s="32"/>
      <c r="D3" s="7"/>
      <c r="E3" s="7"/>
      <c r="F3" s="7"/>
      <c r="G3" s="7"/>
      <c r="H3" s="7"/>
      <c r="I3" s="7"/>
      <c r="J3" s="7"/>
      <c r="K3" s="7"/>
      <c r="L3" s="7"/>
      <c r="M3" s="64"/>
      <c r="N3" s="7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8.0" hidden="1" customHeight="1" outlineLevel="1">
      <c r="A4" s="4"/>
      <c r="B4" s="5" t="s">
        <v>19</v>
      </c>
      <c r="C4" s="32"/>
      <c r="D4" s="7"/>
      <c r="E4" s="7"/>
      <c r="F4" s="7"/>
      <c r="G4" s="7"/>
      <c r="H4" s="7"/>
      <c r="I4" s="7"/>
      <c r="J4" s="7"/>
      <c r="K4" s="7"/>
      <c r="L4" s="7"/>
      <c r="M4" s="64"/>
      <c r="N4" s="7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18.0" hidden="1" customHeight="1" outlineLevel="1">
      <c r="A5" s="4"/>
      <c r="B5" s="5" t="s">
        <v>20</v>
      </c>
      <c r="C5" s="32"/>
      <c r="D5" s="7"/>
      <c r="E5" s="7"/>
      <c r="F5" s="7"/>
      <c r="G5" s="7"/>
      <c r="H5" s="7"/>
      <c r="I5" s="7"/>
      <c r="J5" s="7"/>
      <c r="K5" s="7"/>
      <c r="L5" s="7"/>
      <c r="M5" s="64"/>
      <c r="N5" s="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t="18.0" hidden="1" customHeight="1" outlineLevel="1">
      <c r="A6" s="4"/>
      <c r="B6" s="8" t="s">
        <v>21</v>
      </c>
      <c r="C6" s="32"/>
      <c r="D6" s="9"/>
      <c r="E6" s="9"/>
      <c r="F6" s="9"/>
      <c r="G6" s="9"/>
      <c r="H6" s="9"/>
      <c r="I6" s="9"/>
      <c r="J6" s="9"/>
      <c r="K6" s="9"/>
      <c r="L6" s="9"/>
      <c r="M6" s="65"/>
      <c r="N6" s="9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18.0" hidden="1" customHeight="1" outlineLevel="1">
      <c r="A7" s="4"/>
      <c r="B7" s="5" t="s">
        <v>22</v>
      </c>
      <c r="C7" s="32"/>
      <c r="D7" s="7"/>
      <c r="E7" s="7"/>
      <c r="F7" s="7"/>
      <c r="G7" s="7"/>
      <c r="H7" s="7"/>
      <c r="I7" s="7"/>
      <c r="J7" s="7"/>
      <c r="K7" s="7"/>
      <c r="L7" s="7"/>
      <c r="M7" s="64"/>
      <c r="N7" s="7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t="18.0" hidden="1" customHeight="1" outlineLevel="1">
      <c r="A8" s="4"/>
      <c r="B8" s="5" t="s">
        <v>23</v>
      </c>
      <c r="C8" s="32"/>
      <c r="D8" s="7"/>
      <c r="E8" s="7"/>
      <c r="F8" s="7"/>
      <c r="G8" s="7"/>
      <c r="H8" s="7"/>
      <c r="I8" s="7"/>
      <c r="J8" s="7"/>
      <c r="K8" s="7"/>
      <c r="L8" s="7"/>
      <c r="M8" s="64"/>
      <c r="N8" s="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18.0" hidden="1" customHeight="1" outlineLevel="1">
      <c r="A9" s="4"/>
      <c r="B9" s="33" t="s">
        <v>37</v>
      </c>
      <c r="C9" s="4"/>
      <c r="D9" s="34">
        <v>6182694.0</v>
      </c>
      <c r="E9" s="34">
        <v>4952553.0</v>
      </c>
      <c r="F9" s="34">
        <v>2.1843489E7</v>
      </c>
      <c r="G9" s="34">
        <v>2018289.0</v>
      </c>
      <c r="H9" s="34">
        <v>2311422.0</v>
      </c>
      <c r="I9" s="34">
        <v>18.0</v>
      </c>
      <c r="J9" s="34">
        <v>0.0</v>
      </c>
      <c r="K9" s="34">
        <v>1755466.0</v>
      </c>
      <c r="L9" s="34">
        <v>3.9063931E7</v>
      </c>
      <c r="M9" s="66"/>
      <c r="N9" s="34">
        <v>0.0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18.0" hidden="1" customHeight="1" outlineLevel="1">
      <c r="A10" s="4"/>
      <c r="B10" s="33" t="s">
        <v>38</v>
      </c>
      <c r="C10" s="4"/>
      <c r="D10" s="34">
        <v>8498324.0</v>
      </c>
      <c r="E10" s="34">
        <v>1.1776941E7</v>
      </c>
      <c r="F10" s="34">
        <v>3.3045262E7</v>
      </c>
      <c r="G10" s="34">
        <v>4374200.0</v>
      </c>
      <c r="H10" s="34">
        <v>7032431.0</v>
      </c>
      <c r="I10" s="34">
        <v>5507358.0</v>
      </c>
      <c r="J10" s="34">
        <v>0.0</v>
      </c>
      <c r="K10" s="34">
        <v>8804221.0</v>
      </c>
      <c r="L10" s="34">
        <v>7.9038737E7</v>
      </c>
      <c r="M10" s="66"/>
      <c r="N10" s="34">
        <v>0.0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18.0" hidden="1" customHeight="1" outlineLevel="1">
      <c r="A11" s="4"/>
      <c r="B11" s="33" t="s">
        <v>39</v>
      </c>
      <c r="C11" s="4"/>
      <c r="D11" s="34">
        <v>0.0</v>
      </c>
      <c r="E11" s="34">
        <v>290806.0</v>
      </c>
      <c r="F11" s="34">
        <v>220292.0</v>
      </c>
      <c r="G11" s="34">
        <v>91.0</v>
      </c>
      <c r="H11" s="34">
        <v>0.0</v>
      </c>
      <c r="I11" s="34">
        <v>12729.0</v>
      </c>
      <c r="J11" s="34">
        <v>0.0</v>
      </c>
      <c r="K11" s="34">
        <v>0.0</v>
      </c>
      <c r="L11" s="34">
        <v>523918.0</v>
      </c>
      <c r="M11" s="66"/>
      <c r="N11" s="34">
        <v>0.0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18.0" customHeight="1" collapsed="1">
      <c r="A12" s="4"/>
      <c r="B12" s="15" t="s">
        <v>24</v>
      </c>
      <c r="C12" s="67" t="s">
        <v>46</v>
      </c>
      <c r="D12" s="36">
        <v>1.43165E7</v>
      </c>
      <c r="E12" s="36">
        <v>1.681E7</v>
      </c>
      <c r="F12" s="36">
        <v>5.4506756E7</v>
      </c>
      <c r="G12" s="36">
        <v>6080000.0</v>
      </c>
      <c r="H12" s="36">
        <v>9301800.0</v>
      </c>
      <c r="I12" s="36">
        <v>5566396.0</v>
      </c>
      <c r="J12" s="16"/>
      <c r="K12" s="36">
        <v>1.0487432E7</v>
      </c>
      <c r="L12" s="36">
        <v>1.17068884E8</v>
      </c>
      <c r="M12" s="64"/>
      <c r="N12" s="36">
        <v>0.0</v>
      </c>
      <c r="O12" s="4"/>
      <c r="P12" s="21"/>
      <c r="Q12" s="21"/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18.0" customHeight="1">
      <c r="A13" s="4"/>
      <c r="B13" s="15"/>
      <c r="C13" s="15" t="s">
        <v>41</v>
      </c>
      <c r="D13" s="16">
        <v>1.4681018E7</v>
      </c>
      <c r="E13" s="16">
        <v>1.70203E7</v>
      </c>
      <c r="F13" s="16">
        <v>5.5109043E7</v>
      </c>
      <c r="G13" s="16">
        <v>6392580.0</v>
      </c>
      <c r="H13" s="16">
        <v>9343853.0</v>
      </c>
      <c r="I13" s="16">
        <v>5520105.0</v>
      </c>
      <c r="J13" s="16">
        <v>0.0</v>
      </c>
      <c r="K13" s="16">
        <v>1.0559687E7</v>
      </c>
      <c r="L13" s="16">
        <v>1.18626586E8</v>
      </c>
      <c r="M13" s="68"/>
      <c r="N13" s="16">
        <v>0.0</v>
      </c>
      <c r="O13" s="4"/>
      <c r="P13" s="21">
        <v>364518.0</v>
      </c>
      <c r="Q13" s="21">
        <v>210300.0</v>
      </c>
      <c r="R13" s="21">
        <v>602287.0</v>
      </c>
      <c r="S13" s="21">
        <v>312580.0</v>
      </c>
      <c r="T13" s="21">
        <v>42053.0</v>
      </c>
      <c r="U13" s="21">
        <v>-46291.0</v>
      </c>
      <c r="V13" s="21">
        <v>0.0</v>
      </c>
      <c r="W13" s="21">
        <v>72255.0</v>
      </c>
      <c r="X13" s="21">
        <v>1557702.0</v>
      </c>
      <c r="Y13" s="4"/>
      <c r="Z13" s="4"/>
      <c r="AA13" s="4"/>
      <c r="AB13" s="4"/>
      <c r="AC13" s="4"/>
      <c r="AD13" s="4"/>
      <c r="AE13" s="4"/>
    </row>
    <row r="14" ht="18.0" customHeight="1">
      <c r="A14" s="4"/>
      <c r="B14" s="15" t="s">
        <v>25</v>
      </c>
      <c r="C14" s="35" t="s">
        <v>46</v>
      </c>
      <c r="D14" s="36">
        <v>2164654.8</v>
      </c>
      <c r="E14" s="36">
        <v>2481492.2</v>
      </c>
      <c r="F14" s="36">
        <v>1.0983097707311E7</v>
      </c>
      <c r="G14" s="36">
        <v>919296.0</v>
      </c>
      <c r="H14" s="36">
        <v>1025523.4500000001</v>
      </c>
      <c r="I14" s="36">
        <v>0.0</v>
      </c>
      <c r="J14" s="36"/>
      <c r="K14" s="36">
        <v>559399.62288</v>
      </c>
      <c r="L14" s="36">
        <v>1.8133463780191E7</v>
      </c>
      <c r="M14" s="64"/>
      <c r="N14" s="36">
        <v>0.0</v>
      </c>
      <c r="O14" s="4"/>
      <c r="P14" s="21"/>
      <c r="Q14" s="21"/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18.0" customHeight="1">
      <c r="A15" s="4"/>
      <c r="B15" s="15"/>
      <c r="C15" s="15" t="s">
        <v>41</v>
      </c>
      <c r="D15" s="16">
        <v>2265743.0</v>
      </c>
      <c r="E15" s="16">
        <v>2120266.0</v>
      </c>
      <c r="F15" s="16">
        <v>1.0319009E7</v>
      </c>
      <c r="G15" s="16">
        <v>881211.0</v>
      </c>
      <c r="H15" s="16">
        <v>1022232.0</v>
      </c>
      <c r="I15" s="16">
        <v>0.0</v>
      </c>
      <c r="J15" s="16">
        <v>0.0</v>
      </c>
      <c r="K15" s="16">
        <v>529597.0</v>
      </c>
      <c r="L15" s="16">
        <v>1.7138058E7</v>
      </c>
      <c r="M15" s="68"/>
      <c r="N15" s="16">
        <v>0.0</v>
      </c>
      <c r="O15" s="4"/>
      <c r="P15" s="21">
        <v>101088.20000000019</v>
      </c>
      <c r="Q15" s="21">
        <v>-361226.2000000002</v>
      </c>
      <c r="R15" s="21">
        <v>-664088.7073110007</v>
      </c>
      <c r="S15" s="21">
        <v>-38085.0</v>
      </c>
      <c r="T15" s="21">
        <v>-3291.45000000007</v>
      </c>
      <c r="U15" s="4">
        <v>0.0</v>
      </c>
      <c r="V15" s="4">
        <v>0.0</v>
      </c>
      <c r="W15" s="4">
        <v>-29802.62288000004</v>
      </c>
      <c r="X15" s="21">
        <v>-995405.7801910006</v>
      </c>
      <c r="Y15" s="4"/>
      <c r="Z15" s="4"/>
      <c r="AA15" s="4"/>
      <c r="AB15" s="4"/>
      <c r="AC15" s="4"/>
      <c r="AD15" s="4"/>
      <c r="AE15" s="4"/>
    </row>
    <row r="16" ht="18.0" customHeight="1">
      <c r="A16" s="21"/>
      <c r="B16" s="22" t="s">
        <v>27</v>
      </c>
      <c r="C16" s="35" t="s">
        <v>46</v>
      </c>
      <c r="D16" s="37">
        <v>1.21518452E7</v>
      </c>
      <c r="E16" s="37">
        <v>1.43285078E7</v>
      </c>
      <c r="F16" s="37">
        <v>4.3523658292688996E7</v>
      </c>
      <c r="G16" s="37">
        <v>5160704.0</v>
      </c>
      <c r="H16" s="37">
        <v>8276276.55</v>
      </c>
      <c r="I16" s="37">
        <v>5566396.0</v>
      </c>
      <c r="J16" s="37">
        <v>0.0</v>
      </c>
      <c r="K16" s="37">
        <v>9928032.37712</v>
      </c>
      <c r="L16" s="37">
        <v>9.8935420219809E7</v>
      </c>
      <c r="M16" s="69"/>
      <c r="N16" s="37">
        <v>0.0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ht="18.0" customHeight="1">
      <c r="A17" s="21"/>
      <c r="B17" s="22"/>
      <c r="C17" s="15" t="s">
        <v>41</v>
      </c>
      <c r="D17" s="23">
        <v>1.2415275E7</v>
      </c>
      <c r="E17" s="23">
        <v>1.4900034E7</v>
      </c>
      <c r="F17" s="23">
        <v>4.4790034E7</v>
      </c>
      <c r="G17" s="23">
        <v>5511369.0</v>
      </c>
      <c r="H17" s="23">
        <v>8321621.0</v>
      </c>
      <c r="I17" s="23">
        <v>5520105.0</v>
      </c>
      <c r="J17" s="23">
        <v>0.0</v>
      </c>
      <c r="K17" s="23">
        <v>1.003009E7</v>
      </c>
      <c r="L17" s="23">
        <v>1.01488528E8</v>
      </c>
      <c r="M17" s="70"/>
      <c r="N17" s="23">
        <v>0.0</v>
      </c>
      <c r="O17" s="21"/>
      <c r="P17" s="21">
        <v>263429.80000000075</v>
      </c>
      <c r="Q17" s="21">
        <v>571526.1999999993</v>
      </c>
      <c r="R17" s="21">
        <v>1266375.7073110044</v>
      </c>
      <c r="S17" s="21">
        <v>350665.0</v>
      </c>
      <c r="T17" s="21">
        <v>45344.450000000186</v>
      </c>
      <c r="U17" s="21">
        <v>-46291.0</v>
      </c>
      <c r="V17" s="21">
        <v>0.0</v>
      </c>
      <c r="W17" s="21">
        <v>102057.62288000062</v>
      </c>
      <c r="X17" s="21">
        <v>2553107.7801910043</v>
      </c>
      <c r="Y17" s="21"/>
      <c r="Z17" s="21"/>
      <c r="AA17" s="21"/>
      <c r="AB17" s="21"/>
      <c r="AC17" s="21"/>
      <c r="AD17" s="21"/>
      <c r="AE17" s="21"/>
    </row>
    <row r="18" ht="18.0" customHeight="1">
      <c r="A18" s="21"/>
      <c r="B18" s="21" t="s">
        <v>28</v>
      </c>
      <c r="C18" s="4" t="s">
        <v>46</v>
      </c>
      <c r="D18" s="24">
        <v>5055607.0</v>
      </c>
      <c r="E18" s="24">
        <v>4215143.0</v>
      </c>
      <c r="F18" s="24">
        <v>1.0556166E7</v>
      </c>
      <c r="G18" s="24">
        <v>2594410.0</v>
      </c>
      <c r="H18" s="24">
        <v>2633393.0</v>
      </c>
      <c r="I18" s="24">
        <v>1813403.0</v>
      </c>
      <c r="J18" s="24">
        <v>0.0</v>
      </c>
      <c r="K18" s="24">
        <v>3493030.0</v>
      </c>
      <c r="L18" s="24">
        <v>3.0361152E7</v>
      </c>
      <c r="M18" s="71"/>
      <c r="N18" s="24">
        <v>0.0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ht="18.0" customHeight="1">
      <c r="A19" s="21"/>
      <c r="B19" s="21"/>
      <c r="C19" s="38" t="s">
        <v>41</v>
      </c>
      <c r="D19" s="39">
        <v>4991374.0</v>
      </c>
      <c r="E19" s="39">
        <v>4556042.0</v>
      </c>
      <c r="F19" s="39">
        <v>1.0292246E7</v>
      </c>
      <c r="G19" s="39">
        <v>2716656.0</v>
      </c>
      <c r="H19" s="39">
        <v>2740591.0</v>
      </c>
      <c r="I19" s="39">
        <v>1677500.0</v>
      </c>
      <c r="J19" s="39">
        <v>0.0</v>
      </c>
      <c r="K19" s="39">
        <v>3922955.0</v>
      </c>
      <c r="L19" s="39">
        <v>3.0897364E7</v>
      </c>
      <c r="M19" s="72"/>
      <c r="N19" s="39">
        <v>7875095.0</v>
      </c>
      <c r="O19" s="21"/>
      <c r="P19" s="21">
        <v>-64233.0</v>
      </c>
      <c r="Q19" s="21">
        <v>340899.0</v>
      </c>
      <c r="R19" s="21">
        <v>-263920.0</v>
      </c>
      <c r="S19" s="21">
        <v>122246.0</v>
      </c>
      <c r="T19" s="21">
        <v>107198.0</v>
      </c>
      <c r="U19" s="21">
        <v>-135903.0</v>
      </c>
      <c r="V19" s="21">
        <v>0.0</v>
      </c>
      <c r="W19" s="21">
        <v>429925.0</v>
      </c>
      <c r="X19" s="21">
        <v>536212.0</v>
      </c>
      <c r="Y19" s="21"/>
      <c r="Z19" s="21"/>
      <c r="AA19" s="21"/>
      <c r="AB19" s="21"/>
      <c r="AC19" s="21"/>
      <c r="AD19" s="21"/>
      <c r="AE19" s="21"/>
    </row>
    <row r="20" ht="18.0" customHeight="1" outlineLevel="1">
      <c r="A20" s="21"/>
      <c r="B20" s="40" t="s">
        <v>42</v>
      </c>
      <c r="C20" s="41" t="s">
        <v>46</v>
      </c>
      <c r="D20" s="42">
        <v>0.0</v>
      </c>
      <c r="E20" s="42">
        <v>0.0</v>
      </c>
      <c r="F20" s="42">
        <v>0.0</v>
      </c>
      <c r="G20" s="42">
        <v>0.0</v>
      </c>
      <c r="H20" s="42">
        <v>0.0</v>
      </c>
      <c r="I20" s="42">
        <v>0.0</v>
      </c>
      <c r="J20" s="42"/>
      <c r="K20" s="42">
        <v>0.0</v>
      </c>
      <c r="L20" s="42">
        <v>0.0</v>
      </c>
      <c r="M20" s="71"/>
      <c r="N20" s="42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ht="18.0" customHeight="1" outlineLevel="1">
      <c r="A21" s="21"/>
      <c r="B21" s="40"/>
      <c r="C21" s="43" t="s">
        <v>41</v>
      </c>
      <c r="D21" s="44">
        <v>0.0</v>
      </c>
      <c r="E21" s="44">
        <v>0.0</v>
      </c>
      <c r="F21" s="44">
        <v>0.0</v>
      </c>
      <c r="G21" s="44">
        <v>0.0</v>
      </c>
      <c r="H21" s="44">
        <v>0.0</v>
      </c>
      <c r="I21" s="44">
        <v>0.0</v>
      </c>
      <c r="J21" s="44">
        <v>0.0</v>
      </c>
      <c r="K21" s="44">
        <v>0.0</v>
      </c>
      <c r="L21" s="44">
        <v>0.0</v>
      </c>
      <c r="M21" s="72"/>
      <c r="N21" s="44">
        <v>0.0</v>
      </c>
      <c r="O21" s="21"/>
      <c r="P21" s="21">
        <v>0.0</v>
      </c>
      <c r="Q21" s="21">
        <v>0.0</v>
      </c>
      <c r="R21" s="21">
        <v>0.0</v>
      </c>
      <c r="S21" s="21">
        <v>0.0</v>
      </c>
      <c r="T21" s="21">
        <v>0.0</v>
      </c>
      <c r="U21" s="21">
        <v>0.0</v>
      </c>
      <c r="V21" s="21">
        <v>0.0</v>
      </c>
      <c r="W21" s="21">
        <v>0.0</v>
      </c>
      <c r="X21" s="21">
        <v>0.0</v>
      </c>
      <c r="Y21" s="21"/>
      <c r="Z21" s="21"/>
      <c r="AA21" s="21"/>
      <c r="AB21" s="21"/>
      <c r="AC21" s="21"/>
      <c r="AD21" s="21"/>
      <c r="AE21" s="21"/>
    </row>
    <row r="22" ht="18.0" customHeight="1" outlineLevel="1">
      <c r="A22" s="21"/>
      <c r="B22" s="40" t="s">
        <v>43</v>
      </c>
      <c r="C22" s="41" t="s">
        <v>46</v>
      </c>
      <c r="D22" s="42">
        <v>1805317.0</v>
      </c>
      <c r="E22" s="42">
        <v>2393203.0</v>
      </c>
      <c r="F22" s="42">
        <v>4315791.0</v>
      </c>
      <c r="G22" s="42">
        <v>1841368.0</v>
      </c>
      <c r="H22" s="42">
        <v>1884393.0</v>
      </c>
      <c r="I22" s="42">
        <v>1033230.0</v>
      </c>
      <c r="J22" s="42"/>
      <c r="K22" s="42">
        <v>1797630.0</v>
      </c>
      <c r="L22" s="42">
        <v>1.5070932E7</v>
      </c>
      <c r="M22" s="71"/>
      <c r="N22" s="42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ht="18.0" customHeight="1" outlineLevel="1">
      <c r="A23" s="21"/>
      <c r="B23" s="40"/>
      <c r="C23" s="43" t="s">
        <v>41</v>
      </c>
      <c r="D23" s="44">
        <v>1805317.0</v>
      </c>
      <c r="E23" s="44">
        <v>2393203.0</v>
      </c>
      <c r="F23" s="44">
        <v>4315791.0</v>
      </c>
      <c r="G23" s="44">
        <v>1841368.0</v>
      </c>
      <c r="H23" s="44">
        <v>1884393.0</v>
      </c>
      <c r="I23" s="44">
        <v>1033230.0</v>
      </c>
      <c r="J23" s="44">
        <v>0.0</v>
      </c>
      <c r="K23" s="44">
        <v>1797630.0</v>
      </c>
      <c r="L23" s="44">
        <v>1.5070932E7</v>
      </c>
      <c r="M23" s="72"/>
      <c r="N23" s="44">
        <v>2921624.0</v>
      </c>
      <c r="O23" s="21"/>
      <c r="P23" s="21">
        <v>0.0</v>
      </c>
      <c r="Q23" s="21">
        <v>0.0</v>
      </c>
      <c r="R23" s="21">
        <v>0.0</v>
      </c>
      <c r="S23" s="21">
        <v>0.0</v>
      </c>
      <c r="T23" s="21">
        <v>0.0</v>
      </c>
      <c r="U23" s="21">
        <v>0.0</v>
      </c>
      <c r="V23" s="21">
        <v>0.0</v>
      </c>
      <c r="W23" s="21">
        <v>0.0</v>
      </c>
      <c r="X23" s="21">
        <v>0.0</v>
      </c>
      <c r="Y23" s="21"/>
      <c r="Z23" s="21"/>
      <c r="AA23" s="21"/>
      <c r="AB23" s="21"/>
      <c r="AC23" s="21"/>
      <c r="AD23" s="21"/>
      <c r="AE23" s="21"/>
    </row>
    <row r="24" ht="18.0" customHeight="1" outlineLevel="1">
      <c r="A24" s="21"/>
      <c r="B24" s="40" t="s">
        <v>44</v>
      </c>
      <c r="C24" s="41" t="s">
        <v>46</v>
      </c>
      <c r="D24" s="42">
        <v>800000.0</v>
      </c>
      <c r="E24" s="42">
        <v>1001000.0</v>
      </c>
      <c r="F24" s="42">
        <v>4031000.0</v>
      </c>
      <c r="G24" s="42">
        <v>225000.0</v>
      </c>
      <c r="H24" s="42">
        <v>190000.0</v>
      </c>
      <c r="I24" s="42">
        <v>481423.0</v>
      </c>
      <c r="J24" s="42"/>
      <c r="K24" s="42">
        <v>1072000.0</v>
      </c>
      <c r="L24" s="42">
        <v>7800423.0</v>
      </c>
      <c r="M24" s="71"/>
      <c r="N24" s="42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ht="18.0" customHeight="1" outlineLevel="1">
      <c r="A25" s="21"/>
      <c r="B25" s="40"/>
      <c r="C25" s="43" t="s">
        <v>41</v>
      </c>
      <c r="D25" s="44">
        <v>1005347.0</v>
      </c>
      <c r="E25" s="44">
        <v>1359643.0</v>
      </c>
      <c r="F25" s="44">
        <v>4084825.0</v>
      </c>
      <c r="G25" s="44">
        <v>214161.0</v>
      </c>
      <c r="H25" s="44">
        <v>267129.0</v>
      </c>
      <c r="I25" s="44">
        <v>371023.0</v>
      </c>
      <c r="J25" s="44">
        <v>0.0</v>
      </c>
      <c r="K25" s="44">
        <v>1364135.0</v>
      </c>
      <c r="L25" s="44">
        <v>8666263.0</v>
      </c>
      <c r="M25" s="72"/>
      <c r="N25" s="44">
        <v>392316.0</v>
      </c>
      <c r="O25" s="21"/>
      <c r="P25" s="21">
        <v>205347.0</v>
      </c>
      <c r="Q25" s="21">
        <v>358643.0</v>
      </c>
      <c r="R25" s="21">
        <v>53825.0</v>
      </c>
      <c r="S25" s="21">
        <v>-10839.0</v>
      </c>
      <c r="T25" s="21">
        <v>77129.0</v>
      </c>
      <c r="U25" s="21">
        <v>-110400.0</v>
      </c>
      <c r="V25" s="21">
        <v>0.0</v>
      </c>
      <c r="W25" s="21">
        <v>292135.0</v>
      </c>
      <c r="X25" s="21">
        <v>865840.0</v>
      </c>
      <c r="Y25" s="21"/>
      <c r="Z25" s="21"/>
      <c r="AA25" s="21"/>
      <c r="AB25" s="21"/>
      <c r="AC25" s="21"/>
      <c r="AD25" s="21"/>
      <c r="AE25" s="21"/>
    </row>
    <row r="26" ht="18.0" customHeight="1" outlineLevel="1">
      <c r="A26" s="21"/>
      <c r="B26" s="40" t="s">
        <v>45</v>
      </c>
      <c r="C26" s="41" t="s">
        <v>46</v>
      </c>
      <c r="D26" s="42">
        <v>0.0</v>
      </c>
      <c r="E26" s="42">
        <v>0.0</v>
      </c>
      <c r="F26" s="42">
        <v>0.0</v>
      </c>
      <c r="G26" s="42">
        <v>0.0</v>
      </c>
      <c r="H26" s="42">
        <v>0.0</v>
      </c>
      <c r="I26" s="42">
        <v>0.0</v>
      </c>
      <c r="J26" s="42"/>
      <c r="K26" s="42">
        <v>0.0</v>
      </c>
      <c r="L26" s="42">
        <v>0.0</v>
      </c>
      <c r="M26" s="71"/>
      <c r="N26" s="42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ht="18.0" customHeight="1" outlineLevel="1">
      <c r="A27" s="21"/>
      <c r="B27" s="40"/>
      <c r="C27" s="43" t="s">
        <v>41</v>
      </c>
      <c r="D27" s="44">
        <v>0.0</v>
      </c>
      <c r="E27" s="44">
        <v>0.0</v>
      </c>
      <c r="F27" s="44">
        <v>0.0</v>
      </c>
      <c r="G27" s="44">
        <v>0.0</v>
      </c>
      <c r="H27" s="44">
        <v>0.0</v>
      </c>
      <c r="I27" s="44">
        <v>0.0</v>
      </c>
      <c r="J27" s="44">
        <v>0.0</v>
      </c>
      <c r="K27" s="44">
        <v>0.0</v>
      </c>
      <c r="L27" s="44">
        <v>0.0</v>
      </c>
      <c r="M27" s="72"/>
      <c r="N27" s="44">
        <v>0.0</v>
      </c>
      <c r="O27" s="21"/>
      <c r="P27" s="21">
        <v>0.0</v>
      </c>
      <c r="Q27" s="21">
        <v>0.0</v>
      </c>
      <c r="R27" s="21">
        <v>0.0</v>
      </c>
      <c r="S27" s="21">
        <v>0.0</v>
      </c>
      <c r="T27" s="21">
        <v>0.0</v>
      </c>
      <c r="U27" s="21">
        <v>0.0</v>
      </c>
      <c r="V27" s="21">
        <v>0.0</v>
      </c>
      <c r="W27" s="21">
        <v>0.0</v>
      </c>
      <c r="X27" s="21">
        <v>0.0</v>
      </c>
      <c r="Y27" s="21"/>
      <c r="Z27" s="21"/>
      <c r="AA27" s="21"/>
      <c r="AB27" s="21"/>
      <c r="AC27" s="21"/>
      <c r="AD27" s="21"/>
      <c r="AE27" s="21"/>
    </row>
    <row r="28" ht="18.0" customHeight="1" outlineLevel="1">
      <c r="A28" s="21"/>
      <c r="B28" s="40" t="s">
        <v>47</v>
      </c>
      <c r="C28" s="41" t="s">
        <v>46</v>
      </c>
      <c r="D28" s="42">
        <v>159450.0</v>
      </c>
      <c r="E28" s="42">
        <v>203650.0</v>
      </c>
      <c r="F28" s="42">
        <v>407000.0</v>
      </c>
      <c r="G28" s="42">
        <v>177400.0</v>
      </c>
      <c r="H28" s="42">
        <v>176200.0</v>
      </c>
      <c r="I28" s="42">
        <v>91900.0</v>
      </c>
      <c r="J28" s="42"/>
      <c r="K28" s="42">
        <v>159000.0</v>
      </c>
      <c r="L28" s="42">
        <v>1374600.0</v>
      </c>
      <c r="M28" s="71"/>
      <c r="N28" s="42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ht="18.0" customHeight="1" outlineLevel="1">
      <c r="A29" s="21"/>
      <c r="B29" s="40"/>
      <c r="C29" s="43" t="s">
        <v>41</v>
      </c>
      <c r="D29" s="44">
        <v>156250.0</v>
      </c>
      <c r="E29" s="44">
        <v>246750.0</v>
      </c>
      <c r="F29" s="44">
        <v>456200.0</v>
      </c>
      <c r="G29" s="44">
        <v>149100.0</v>
      </c>
      <c r="H29" s="44">
        <v>157700.0</v>
      </c>
      <c r="I29" s="44">
        <v>88500.0</v>
      </c>
      <c r="J29" s="44">
        <v>0.0</v>
      </c>
      <c r="K29" s="44">
        <v>159000.0</v>
      </c>
      <c r="L29" s="44">
        <v>1413500.0</v>
      </c>
      <c r="M29" s="72"/>
      <c r="N29" s="44">
        <v>512300.0</v>
      </c>
      <c r="O29" s="21"/>
      <c r="P29" s="21">
        <v>-3200.0</v>
      </c>
      <c r="Q29" s="21">
        <v>43100.0</v>
      </c>
      <c r="R29" s="21">
        <v>49200.0</v>
      </c>
      <c r="S29" s="21">
        <v>-28300.0</v>
      </c>
      <c r="T29" s="21">
        <v>-18500.0</v>
      </c>
      <c r="U29" s="21">
        <v>-3400.0</v>
      </c>
      <c r="V29" s="21">
        <v>0.0</v>
      </c>
      <c r="W29" s="21">
        <v>0.0</v>
      </c>
      <c r="X29" s="21">
        <v>38900.0</v>
      </c>
      <c r="Y29" s="21"/>
      <c r="Z29" s="21"/>
      <c r="AA29" s="21"/>
      <c r="AB29" s="21"/>
      <c r="AC29" s="21"/>
      <c r="AD29" s="21"/>
      <c r="AE29" s="21"/>
    </row>
    <row r="30" ht="18.0" customHeight="1" outlineLevel="1">
      <c r="A30" s="21"/>
      <c r="B30" s="40" t="s">
        <v>48</v>
      </c>
      <c r="C30" s="41" t="s">
        <v>46</v>
      </c>
      <c r="D30" s="42">
        <v>359175.0</v>
      </c>
      <c r="E30" s="42">
        <v>449625.0</v>
      </c>
      <c r="F30" s="42">
        <v>1177632.0</v>
      </c>
      <c r="G30" s="42">
        <v>299850.0</v>
      </c>
      <c r="H30" s="42">
        <v>292800.0</v>
      </c>
      <c r="I30" s="42">
        <v>206850.0</v>
      </c>
      <c r="J30" s="42"/>
      <c r="K30" s="42">
        <v>254400.0</v>
      </c>
      <c r="L30" s="42">
        <v>3040332.0</v>
      </c>
      <c r="M30" s="71"/>
      <c r="N30" s="42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ht="18.0" customHeight="1" outlineLevel="1">
      <c r="A31" s="21"/>
      <c r="B31" s="40"/>
      <c r="C31" s="43" t="s">
        <v>41</v>
      </c>
      <c r="D31" s="44">
        <v>386834.0</v>
      </c>
      <c r="E31" s="44">
        <v>558303.0</v>
      </c>
      <c r="F31" s="44">
        <v>1074343.0</v>
      </c>
      <c r="G31" s="44">
        <v>381169.0</v>
      </c>
      <c r="H31" s="44">
        <v>304405.0</v>
      </c>
      <c r="I31" s="44">
        <v>159236.0</v>
      </c>
      <c r="J31" s="44">
        <v>0.0</v>
      </c>
      <c r="K31" s="44">
        <v>525860.0</v>
      </c>
      <c r="L31" s="44">
        <v>3390150.0</v>
      </c>
      <c r="M31" s="72"/>
      <c r="N31" s="44">
        <v>767428.0</v>
      </c>
      <c r="O31" s="21"/>
      <c r="P31" s="21">
        <v>27659.0</v>
      </c>
      <c r="Q31" s="21">
        <v>108678.0</v>
      </c>
      <c r="R31" s="21">
        <v>-103289.0</v>
      </c>
      <c r="S31" s="21">
        <v>81319.0</v>
      </c>
      <c r="T31" s="21">
        <v>11605.0</v>
      </c>
      <c r="U31" s="21">
        <v>-47614.0</v>
      </c>
      <c r="V31" s="21">
        <v>0.0</v>
      </c>
      <c r="W31" s="21">
        <v>271460.0</v>
      </c>
      <c r="X31" s="21">
        <v>349818.0</v>
      </c>
      <c r="Y31" s="21"/>
      <c r="Z31" s="21"/>
      <c r="AA31" s="21"/>
      <c r="AB31" s="21"/>
      <c r="AC31" s="21"/>
      <c r="AD31" s="21"/>
      <c r="AE31" s="21"/>
    </row>
    <row r="32" ht="18.0" customHeight="1" outlineLevel="1">
      <c r="A32" s="21"/>
      <c r="B32" s="40" t="s">
        <v>49</v>
      </c>
      <c r="C32" s="41" t="s">
        <v>46</v>
      </c>
      <c r="D32" s="42">
        <v>167665.0</v>
      </c>
      <c r="E32" s="42">
        <v>167665.0</v>
      </c>
      <c r="F32" s="42">
        <v>344743.0</v>
      </c>
      <c r="G32" s="42">
        <v>50792.0</v>
      </c>
      <c r="H32" s="42">
        <v>90000.0</v>
      </c>
      <c r="I32" s="42">
        <v>0.0</v>
      </c>
      <c r="J32" s="42"/>
      <c r="K32" s="42">
        <v>160000.0</v>
      </c>
      <c r="L32" s="42">
        <v>980865.0</v>
      </c>
      <c r="M32" s="71"/>
      <c r="N32" s="42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ht="18.0" customHeight="1" outlineLevel="1">
      <c r="A33" s="21"/>
      <c r="B33" s="40"/>
      <c r="C33" s="43" t="s">
        <v>41</v>
      </c>
      <c r="D33" s="44">
        <v>5590.0</v>
      </c>
      <c r="E33" s="44">
        <v>-72728.0</v>
      </c>
      <c r="F33" s="44">
        <v>75697.0</v>
      </c>
      <c r="G33" s="44">
        <v>130858.0</v>
      </c>
      <c r="H33" s="44">
        <v>126964.0</v>
      </c>
      <c r="I33" s="44">
        <v>25511.0</v>
      </c>
      <c r="J33" s="44">
        <v>0.0</v>
      </c>
      <c r="K33" s="44">
        <v>73770.0</v>
      </c>
      <c r="L33" s="44">
        <v>365662.0</v>
      </c>
      <c r="M33" s="72"/>
      <c r="N33" s="44">
        <v>674960.0</v>
      </c>
      <c r="O33" s="21"/>
      <c r="P33" s="21">
        <v>-162075.0</v>
      </c>
      <c r="Q33" s="21">
        <v>-240393.0</v>
      </c>
      <c r="R33" s="21">
        <v>-269046.0</v>
      </c>
      <c r="S33" s="21">
        <v>80066.0</v>
      </c>
      <c r="T33" s="21">
        <v>36964.0</v>
      </c>
      <c r="U33" s="21">
        <v>25511.0</v>
      </c>
      <c r="V33" s="21">
        <v>0.0</v>
      </c>
      <c r="W33" s="21">
        <v>-86230.0</v>
      </c>
      <c r="X33" s="21">
        <v>-615203.0</v>
      </c>
      <c r="Y33" s="21"/>
      <c r="Z33" s="21"/>
      <c r="AA33" s="21"/>
      <c r="AB33" s="21"/>
      <c r="AC33" s="21"/>
      <c r="AD33" s="21"/>
      <c r="AE33" s="21"/>
    </row>
    <row r="34" ht="18.0" customHeight="1" outlineLevel="1">
      <c r="A34" s="21"/>
      <c r="B34" s="40" t="s">
        <v>50</v>
      </c>
      <c r="C34" s="41" t="s">
        <v>46</v>
      </c>
      <c r="D34" s="42">
        <v>200000.0</v>
      </c>
      <c r="E34" s="42">
        <v>0.0</v>
      </c>
      <c r="F34" s="42">
        <v>280000.0</v>
      </c>
      <c r="G34" s="42">
        <v>0.0</v>
      </c>
      <c r="H34" s="42">
        <v>0.0</v>
      </c>
      <c r="I34" s="42">
        <v>0.0</v>
      </c>
      <c r="J34" s="42"/>
      <c r="K34" s="42">
        <v>50000.0</v>
      </c>
      <c r="L34" s="42">
        <v>530000.0</v>
      </c>
      <c r="M34" s="71"/>
      <c r="N34" s="42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ht="18.0" customHeight="1" outlineLevel="1">
      <c r="A35" s="21"/>
      <c r="B35" s="40"/>
      <c r="C35" s="43" t="s">
        <v>41</v>
      </c>
      <c r="D35" s="44">
        <v>106308.0</v>
      </c>
      <c r="E35" s="44">
        <v>70871.0</v>
      </c>
      <c r="F35" s="44">
        <v>276910.0</v>
      </c>
      <c r="G35" s="44">
        <v>0.0</v>
      </c>
      <c r="H35" s="44">
        <v>0.0</v>
      </c>
      <c r="I35" s="44">
        <v>0.0</v>
      </c>
      <c r="J35" s="44">
        <v>0.0</v>
      </c>
      <c r="K35" s="44">
        <v>0.0</v>
      </c>
      <c r="L35" s="44">
        <v>454089.0</v>
      </c>
      <c r="M35" s="72"/>
      <c r="N35" s="44">
        <v>1376500.0</v>
      </c>
      <c r="O35" s="21"/>
      <c r="P35" s="21">
        <v>-93692.0</v>
      </c>
      <c r="Q35" s="21">
        <v>70871.0</v>
      </c>
      <c r="R35" s="21">
        <v>-3090.0</v>
      </c>
      <c r="S35" s="21">
        <v>0.0</v>
      </c>
      <c r="T35" s="21">
        <v>0.0</v>
      </c>
      <c r="U35" s="21">
        <v>0.0</v>
      </c>
      <c r="V35" s="21">
        <v>0.0</v>
      </c>
      <c r="W35" s="21">
        <v>-50000.0</v>
      </c>
      <c r="X35" s="21">
        <v>-75911.0</v>
      </c>
      <c r="Y35" s="21"/>
      <c r="Z35" s="21"/>
      <c r="AA35" s="21"/>
      <c r="AB35" s="21"/>
      <c r="AC35" s="21"/>
      <c r="AD35" s="21"/>
      <c r="AE35" s="21"/>
    </row>
    <row r="36" ht="18.0" customHeight="1" outlineLevel="1">
      <c r="A36" s="21"/>
      <c r="B36" s="40" t="s">
        <v>51</v>
      </c>
      <c r="C36" s="41" t="s">
        <v>46</v>
      </c>
      <c r="D36" s="42">
        <v>70000.0</v>
      </c>
      <c r="E36" s="42">
        <v>0.0</v>
      </c>
      <c r="F36" s="42">
        <v>0.0</v>
      </c>
      <c r="G36" s="42">
        <v>0.0</v>
      </c>
      <c r="H36" s="42">
        <v>0.0</v>
      </c>
      <c r="I36" s="42">
        <v>0.0</v>
      </c>
      <c r="J36" s="42"/>
      <c r="K36" s="42">
        <v>0.0</v>
      </c>
      <c r="L36" s="42">
        <v>70000.0</v>
      </c>
      <c r="M36" s="71"/>
      <c r="N36" s="42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ht="18.0" customHeight="1" outlineLevel="1">
      <c r="A37" s="21"/>
      <c r="B37" s="40"/>
      <c r="C37" s="43" t="s">
        <v>41</v>
      </c>
      <c r="D37" s="44">
        <v>0.0</v>
      </c>
      <c r="E37" s="44">
        <v>0.0</v>
      </c>
      <c r="F37" s="44">
        <v>8480.0</v>
      </c>
      <c r="G37" s="44">
        <v>0.0</v>
      </c>
      <c r="H37" s="44">
        <v>0.0</v>
      </c>
      <c r="I37" s="44">
        <v>0.0</v>
      </c>
      <c r="J37" s="44">
        <v>0.0</v>
      </c>
      <c r="K37" s="44">
        <v>2560.0</v>
      </c>
      <c r="L37" s="44">
        <v>11040.0</v>
      </c>
      <c r="M37" s="72"/>
      <c r="N37" s="44">
        <v>1229967.0</v>
      </c>
      <c r="O37" s="21"/>
      <c r="P37" s="21">
        <v>-70000.0</v>
      </c>
      <c r="Q37" s="21">
        <v>0.0</v>
      </c>
      <c r="R37" s="21">
        <v>8480.0</v>
      </c>
      <c r="S37" s="21">
        <v>0.0</v>
      </c>
      <c r="T37" s="21">
        <v>0.0</v>
      </c>
      <c r="U37" s="21">
        <v>0.0</v>
      </c>
      <c r="V37" s="21">
        <v>0.0</v>
      </c>
      <c r="W37" s="21">
        <v>2560.0</v>
      </c>
      <c r="X37" s="21">
        <v>-58960.0</v>
      </c>
      <c r="Y37" s="21"/>
      <c r="Z37" s="21"/>
      <c r="AA37" s="21"/>
      <c r="AB37" s="21"/>
      <c r="AC37" s="21"/>
      <c r="AD37" s="21"/>
      <c r="AE37" s="21"/>
    </row>
    <row r="38" ht="18.0" customHeight="1" outlineLevel="1">
      <c r="A38" s="21"/>
      <c r="B38" s="40" t="s">
        <v>52</v>
      </c>
      <c r="C38" s="41" t="s">
        <v>46</v>
      </c>
      <c r="D38" s="42">
        <v>0.0</v>
      </c>
      <c r="E38" s="42">
        <v>0.0</v>
      </c>
      <c r="F38" s="42">
        <v>0.0</v>
      </c>
      <c r="G38" s="42">
        <v>0.0</v>
      </c>
      <c r="H38" s="42">
        <v>0.0</v>
      </c>
      <c r="I38" s="42">
        <v>0.0</v>
      </c>
      <c r="J38" s="42"/>
      <c r="K38" s="42">
        <v>0.0</v>
      </c>
      <c r="L38" s="42">
        <v>0.0</v>
      </c>
      <c r="M38" s="72"/>
      <c r="N38" s="44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ht="18.0" customHeight="1" outlineLevel="1">
      <c r="A39" s="21"/>
      <c r="B39" s="40"/>
      <c r="C39" s="43" t="s">
        <v>41</v>
      </c>
      <c r="D39" s="44">
        <v>0.0</v>
      </c>
      <c r="E39" s="44">
        <v>0.0</v>
      </c>
      <c r="F39" s="44">
        <v>0.0</v>
      </c>
      <c r="G39" s="44">
        <v>0.0</v>
      </c>
      <c r="H39" s="44">
        <v>0.0</v>
      </c>
      <c r="I39" s="44">
        <v>0.0</v>
      </c>
      <c r="J39" s="44">
        <v>0.0</v>
      </c>
      <c r="K39" s="44">
        <v>0.0</v>
      </c>
      <c r="L39" s="44">
        <v>0.0</v>
      </c>
      <c r="M39" s="72"/>
      <c r="N39" s="44">
        <v>0.0</v>
      </c>
      <c r="O39" s="21"/>
      <c r="P39" s="21">
        <v>0.0</v>
      </c>
      <c r="Q39" s="21">
        <v>0.0</v>
      </c>
      <c r="R39" s="21">
        <v>0.0</v>
      </c>
      <c r="S39" s="21">
        <v>0.0</v>
      </c>
      <c r="T39" s="21">
        <v>0.0</v>
      </c>
      <c r="U39" s="21">
        <v>0.0</v>
      </c>
      <c r="V39" s="21">
        <v>0.0</v>
      </c>
      <c r="W39" s="21">
        <v>0.0</v>
      </c>
      <c r="X39" s="21">
        <v>0.0</v>
      </c>
      <c r="Y39" s="21"/>
      <c r="Z39" s="21"/>
      <c r="AA39" s="21"/>
      <c r="AB39" s="21"/>
      <c r="AC39" s="21"/>
      <c r="AD39" s="21"/>
      <c r="AE39" s="21"/>
    </row>
    <row r="40" ht="18.0" customHeight="1" outlineLevel="1">
      <c r="A40" s="21"/>
      <c r="B40" s="40" t="s">
        <v>53</v>
      </c>
      <c r="C40" s="41" t="s">
        <v>46</v>
      </c>
      <c r="D40" s="42">
        <v>1494000.0</v>
      </c>
      <c r="E40" s="42">
        <v>0.0</v>
      </c>
      <c r="F40" s="42">
        <v>0.0</v>
      </c>
      <c r="G40" s="42">
        <v>0.0</v>
      </c>
      <c r="H40" s="42">
        <v>0.0</v>
      </c>
      <c r="I40" s="42">
        <v>0.0</v>
      </c>
      <c r="J40" s="42"/>
      <c r="K40" s="42">
        <v>0.0</v>
      </c>
      <c r="L40" s="42">
        <v>1494000.0</v>
      </c>
      <c r="M40" s="71"/>
      <c r="N40" s="42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ht="18.0" customHeight="1" outlineLevel="1">
      <c r="A41" s="21"/>
      <c r="B41" s="40"/>
      <c r="C41" s="43" t="s">
        <v>41</v>
      </c>
      <c r="D41" s="44">
        <v>1525728.0</v>
      </c>
      <c r="E41" s="44">
        <v>0.0</v>
      </c>
      <c r="F41" s="44">
        <v>0.0</v>
      </c>
      <c r="G41" s="44">
        <v>0.0</v>
      </c>
      <c r="H41" s="44">
        <v>0.0</v>
      </c>
      <c r="I41" s="44">
        <v>0.0</v>
      </c>
      <c r="J41" s="44">
        <v>0.0</v>
      </c>
      <c r="K41" s="44">
        <v>0.0</v>
      </c>
      <c r="L41" s="44">
        <v>1525728.0</v>
      </c>
      <c r="M41" s="72"/>
      <c r="N41" s="44">
        <v>0.0</v>
      </c>
      <c r="O41" s="21"/>
      <c r="P41" s="21">
        <v>31728.0</v>
      </c>
      <c r="Q41" s="21">
        <v>0.0</v>
      </c>
      <c r="R41" s="21">
        <v>0.0</v>
      </c>
      <c r="S41" s="21">
        <v>0.0</v>
      </c>
      <c r="T41" s="21">
        <v>0.0</v>
      </c>
      <c r="U41" s="21">
        <v>0.0</v>
      </c>
      <c r="V41" s="21">
        <v>0.0</v>
      </c>
      <c r="W41" s="21">
        <v>0.0</v>
      </c>
      <c r="X41" s="21">
        <v>31728.0</v>
      </c>
      <c r="Y41" s="21"/>
      <c r="Z41" s="21"/>
      <c r="AA41" s="21"/>
      <c r="AB41" s="21"/>
      <c r="AC41" s="21"/>
      <c r="AD41" s="21"/>
      <c r="AE41" s="21"/>
    </row>
    <row r="42" ht="18.0" customHeight="1" outlineLevel="1">
      <c r="A42" s="21"/>
      <c r="B42" s="40" t="s">
        <v>54</v>
      </c>
      <c r="C42" s="41" t="s">
        <v>46</v>
      </c>
      <c r="D42" s="42">
        <v>0.0</v>
      </c>
      <c r="E42" s="42">
        <v>0.0</v>
      </c>
      <c r="F42" s="42">
        <v>0.0</v>
      </c>
      <c r="G42" s="42">
        <v>0.0</v>
      </c>
      <c r="H42" s="42">
        <v>0.0</v>
      </c>
      <c r="I42" s="42">
        <v>0.0</v>
      </c>
      <c r="J42" s="42"/>
      <c r="K42" s="42">
        <v>0.0</v>
      </c>
      <c r="L42" s="42">
        <v>0.0</v>
      </c>
      <c r="M42" s="71"/>
      <c r="N42" s="42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ht="18.0" customHeight="1" outlineLevel="1">
      <c r="A43" s="21"/>
      <c r="B43" s="40"/>
      <c r="C43" s="43" t="s">
        <v>41</v>
      </c>
      <c r="D43" s="44">
        <v>0.0</v>
      </c>
      <c r="E43" s="44">
        <v>0.0</v>
      </c>
      <c r="F43" s="44">
        <v>0.0</v>
      </c>
      <c r="G43" s="44">
        <v>0.0</v>
      </c>
      <c r="H43" s="44">
        <v>0.0</v>
      </c>
      <c r="I43" s="44">
        <v>0.0</v>
      </c>
      <c r="J43" s="44">
        <v>0.0</v>
      </c>
      <c r="K43" s="44">
        <v>0.0</v>
      </c>
      <c r="L43" s="44">
        <v>0.0</v>
      </c>
      <c r="M43" s="72"/>
      <c r="N43" s="44">
        <v>0.0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ht="18.0" customHeight="1">
      <c r="A44" s="21"/>
      <c r="B44" s="21" t="s">
        <v>29</v>
      </c>
      <c r="C44" s="4" t="s">
        <v>46</v>
      </c>
      <c r="D44" s="24">
        <v>5089594.25</v>
      </c>
      <c r="E44" s="24">
        <v>5276937.0</v>
      </c>
      <c r="F44" s="24">
        <v>1.273682396E7</v>
      </c>
      <c r="G44" s="24">
        <v>2407247.0</v>
      </c>
      <c r="H44" s="24">
        <v>2590191.71</v>
      </c>
      <c r="I44" s="24">
        <v>1930425.4811999998</v>
      </c>
      <c r="J44" s="24">
        <v>0.0</v>
      </c>
      <c r="K44" s="24">
        <v>2913145.26</v>
      </c>
      <c r="L44" s="24">
        <v>3.29443646612E7</v>
      </c>
      <c r="M44" s="71"/>
      <c r="N44" s="24">
        <v>0.0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ht="18.0" customHeight="1">
      <c r="A45" s="21"/>
      <c r="B45" s="21"/>
      <c r="C45" s="38" t="s">
        <v>41</v>
      </c>
      <c r="D45" s="39">
        <v>4838954.0</v>
      </c>
      <c r="E45" s="39">
        <v>4799366.0</v>
      </c>
      <c r="F45" s="39">
        <v>1.1466992E7</v>
      </c>
      <c r="G45" s="39">
        <v>1938606.0</v>
      </c>
      <c r="H45" s="39">
        <v>2677905.0</v>
      </c>
      <c r="I45" s="39">
        <v>1465504.0</v>
      </c>
      <c r="J45" s="39">
        <v>0.0</v>
      </c>
      <c r="K45" s="39">
        <v>2705511.0</v>
      </c>
      <c r="L45" s="39">
        <v>2.9892838E7</v>
      </c>
      <c r="M45" s="72"/>
      <c r="N45" s="39">
        <v>1114405.0</v>
      </c>
      <c r="O45" s="21"/>
      <c r="P45" s="21">
        <v>-250640.25</v>
      </c>
      <c r="Q45" s="21">
        <v>-477571.0</v>
      </c>
      <c r="R45" s="21">
        <v>-1269831.960000001</v>
      </c>
      <c r="S45" s="21">
        <v>-468641.0</v>
      </c>
      <c r="T45" s="21">
        <v>87713.29000000004</v>
      </c>
      <c r="U45" s="21">
        <v>-464921.4811999998</v>
      </c>
      <c r="V45" s="21">
        <v>0.0</v>
      </c>
      <c r="W45" s="21">
        <v>-207634.25999999978</v>
      </c>
      <c r="X45" s="21">
        <v>-3051526.661200002</v>
      </c>
      <c r="Y45" s="21"/>
      <c r="Z45" s="21"/>
      <c r="AA45" s="21"/>
      <c r="AB45" s="21"/>
      <c r="AC45" s="21"/>
      <c r="AD45" s="21"/>
      <c r="AE45" s="21"/>
    </row>
    <row r="46" ht="18.0" customHeight="1" outlineLevel="1">
      <c r="A46" s="45"/>
      <c r="B46" s="46" t="s">
        <v>55</v>
      </c>
      <c r="C46" s="47" t="s">
        <v>46</v>
      </c>
      <c r="D46" s="48">
        <v>21951.0</v>
      </c>
      <c r="E46" s="48">
        <v>1510.0</v>
      </c>
      <c r="F46" s="48">
        <v>50000.0</v>
      </c>
      <c r="G46" s="48">
        <v>12477.0</v>
      </c>
      <c r="H46" s="48">
        <v>3000.0</v>
      </c>
      <c r="I46" s="48">
        <v>23000.0</v>
      </c>
      <c r="J46" s="48"/>
      <c r="K46" s="48">
        <v>20000.0</v>
      </c>
      <c r="L46" s="48">
        <v>131938.0</v>
      </c>
      <c r="M46" s="71"/>
      <c r="N46" s="48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 ht="18.0" customHeight="1" outlineLevel="1">
      <c r="A47" s="45"/>
      <c r="B47" s="46"/>
      <c r="C47" s="49" t="s">
        <v>41</v>
      </c>
      <c r="D47" s="50">
        <v>266637.0</v>
      </c>
      <c r="E47" s="50">
        <v>0.0</v>
      </c>
      <c r="F47" s="50">
        <v>20000.0</v>
      </c>
      <c r="G47" s="50">
        <v>0.0</v>
      </c>
      <c r="H47" s="50">
        <v>0.0</v>
      </c>
      <c r="I47" s="50">
        <v>20000.0</v>
      </c>
      <c r="J47" s="50">
        <v>0.0</v>
      </c>
      <c r="K47" s="50">
        <v>0.0</v>
      </c>
      <c r="L47" s="50">
        <v>306637.0</v>
      </c>
      <c r="M47" s="72"/>
      <c r="N47" s="50">
        <v>0.0</v>
      </c>
      <c r="O47" s="21"/>
      <c r="P47" s="21">
        <v>244686.0</v>
      </c>
      <c r="Q47" s="21">
        <v>-1510.0</v>
      </c>
      <c r="R47" s="21">
        <v>-30000.0</v>
      </c>
      <c r="S47" s="21">
        <v>-12477.0</v>
      </c>
      <c r="T47" s="21">
        <v>-3000.0</v>
      </c>
      <c r="U47" s="21">
        <v>-3000.0</v>
      </c>
      <c r="V47" s="21">
        <v>0.0</v>
      </c>
      <c r="W47" s="21">
        <v>-20000.0</v>
      </c>
      <c r="X47" s="21">
        <v>174699.0</v>
      </c>
      <c r="Y47" s="21"/>
      <c r="Z47" s="21"/>
      <c r="AA47" s="21"/>
      <c r="AB47" s="21"/>
      <c r="AC47" s="21"/>
      <c r="AD47" s="21"/>
      <c r="AE47" s="21"/>
    </row>
    <row r="48" ht="18.0" customHeight="1" outlineLevel="1">
      <c r="A48" s="45"/>
      <c r="B48" s="46" t="s">
        <v>56</v>
      </c>
      <c r="C48" s="47" t="s">
        <v>46</v>
      </c>
      <c r="D48" s="48">
        <v>145255.0</v>
      </c>
      <c r="E48" s="48">
        <v>168100.0</v>
      </c>
      <c r="F48" s="48">
        <v>713067.2640000001</v>
      </c>
      <c r="G48" s="48">
        <v>183600.0</v>
      </c>
      <c r="H48" s="48">
        <v>92599.0</v>
      </c>
      <c r="I48" s="48">
        <v>166991.88</v>
      </c>
      <c r="J48" s="48"/>
      <c r="K48" s="48">
        <v>105687.3</v>
      </c>
      <c r="L48" s="48">
        <v>1575300.444</v>
      </c>
      <c r="M48" s="71"/>
      <c r="N48" s="48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 ht="18.0" customHeight="1" outlineLevel="1">
      <c r="A49" s="45"/>
      <c r="B49" s="46"/>
      <c r="C49" s="49" t="s">
        <v>41</v>
      </c>
      <c r="D49" s="50">
        <v>445669.0</v>
      </c>
      <c r="E49" s="50">
        <v>259254.0</v>
      </c>
      <c r="F49" s="50">
        <v>749374.0</v>
      </c>
      <c r="G49" s="50">
        <v>260376.0</v>
      </c>
      <c r="H49" s="50">
        <v>378526.0</v>
      </c>
      <c r="I49" s="50">
        <v>195921.0</v>
      </c>
      <c r="J49" s="50">
        <v>0.0</v>
      </c>
      <c r="K49" s="50">
        <v>133790.0</v>
      </c>
      <c r="L49" s="50">
        <v>2422910.0</v>
      </c>
      <c r="M49" s="72"/>
      <c r="N49" s="50">
        <v>0.0</v>
      </c>
      <c r="O49" s="21"/>
      <c r="P49" s="21">
        <v>300414.0</v>
      </c>
      <c r="Q49" s="21">
        <v>91154.0</v>
      </c>
      <c r="R49" s="21">
        <v>36306.73599999992</v>
      </c>
      <c r="S49" s="21">
        <v>76776.0</v>
      </c>
      <c r="T49" s="21">
        <v>285927.0</v>
      </c>
      <c r="U49" s="21">
        <v>28929.119999999995</v>
      </c>
      <c r="V49" s="21">
        <v>0.0</v>
      </c>
      <c r="W49" s="21">
        <v>28102.699999999997</v>
      </c>
      <c r="X49" s="21">
        <v>847609.5560000001</v>
      </c>
      <c r="Y49" s="21"/>
      <c r="Z49" s="21"/>
      <c r="AA49" s="21"/>
      <c r="AB49" s="21"/>
      <c r="AC49" s="21"/>
      <c r="AD49" s="21"/>
      <c r="AE49" s="21"/>
    </row>
    <row r="50" ht="18.0" customHeight="1" outlineLevel="1">
      <c r="A50" s="21"/>
      <c r="B50" s="46" t="s">
        <v>57</v>
      </c>
      <c r="C50" s="47" t="s">
        <v>46</v>
      </c>
      <c r="D50" s="48">
        <v>878792.7500000001</v>
      </c>
      <c r="E50" s="48">
        <v>711063.0</v>
      </c>
      <c r="F50" s="48">
        <v>2303755.776</v>
      </c>
      <c r="G50" s="48">
        <v>646272.0</v>
      </c>
      <c r="H50" s="48">
        <v>906544.21</v>
      </c>
      <c r="I50" s="48">
        <v>499305.72119999997</v>
      </c>
      <c r="J50" s="48"/>
      <c r="K50" s="48">
        <v>391043.01</v>
      </c>
      <c r="L50" s="48">
        <v>6336776.4672</v>
      </c>
      <c r="M50" s="71"/>
      <c r="N50" s="48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 ht="18.0" customHeight="1" outlineLevel="1">
      <c r="A51" s="21"/>
      <c r="B51" s="46"/>
      <c r="C51" s="49" t="s">
        <v>41</v>
      </c>
      <c r="D51" s="50">
        <v>743529.0</v>
      </c>
      <c r="E51" s="50">
        <v>915452.0</v>
      </c>
      <c r="F51" s="50">
        <v>2255808.0</v>
      </c>
      <c r="G51" s="50">
        <v>683549.0</v>
      </c>
      <c r="H51" s="50">
        <v>565132.0</v>
      </c>
      <c r="I51" s="50">
        <v>386467.0</v>
      </c>
      <c r="J51" s="50">
        <v>0.0</v>
      </c>
      <c r="K51" s="50">
        <v>334491.0</v>
      </c>
      <c r="L51" s="50">
        <v>5884428.0</v>
      </c>
      <c r="M51" s="72"/>
      <c r="N51" s="50">
        <v>0.0</v>
      </c>
      <c r="O51" s="21"/>
      <c r="P51" s="21">
        <v>-135263.75000000012</v>
      </c>
      <c r="Q51" s="21">
        <v>204389.0</v>
      </c>
      <c r="R51" s="21">
        <v>-47947.77600000007</v>
      </c>
      <c r="S51" s="21">
        <v>37277.0</v>
      </c>
      <c r="T51" s="21">
        <v>-341412.20999999996</v>
      </c>
      <c r="U51" s="21">
        <v>-112838.72119999997</v>
      </c>
      <c r="V51" s="21">
        <v>0.0</v>
      </c>
      <c r="W51" s="21">
        <v>-56552.01000000001</v>
      </c>
      <c r="X51" s="21">
        <v>-452348.46719999984</v>
      </c>
      <c r="Y51" s="21"/>
      <c r="Z51" s="21"/>
      <c r="AA51" s="21"/>
      <c r="AB51" s="21"/>
      <c r="AC51" s="21"/>
      <c r="AD51" s="21"/>
      <c r="AE51" s="21"/>
    </row>
    <row r="52" ht="18.0" customHeight="1" outlineLevel="1">
      <c r="A52" s="21"/>
      <c r="B52" s="46" t="s">
        <v>58</v>
      </c>
      <c r="C52" s="47" t="s">
        <v>46</v>
      </c>
      <c r="D52" s="48">
        <v>0.0</v>
      </c>
      <c r="E52" s="48">
        <v>0.0</v>
      </c>
      <c r="F52" s="48">
        <v>0.0</v>
      </c>
      <c r="G52" s="48">
        <v>0.0</v>
      </c>
      <c r="H52" s="48">
        <v>0.0</v>
      </c>
      <c r="I52" s="48">
        <v>0.0</v>
      </c>
      <c r="J52" s="48"/>
      <c r="K52" s="48">
        <v>0.0</v>
      </c>
      <c r="L52" s="48">
        <v>0.0</v>
      </c>
      <c r="M52" s="71"/>
      <c r="N52" s="48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 ht="18.0" customHeight="1" outlineLevel="1">
      <c r="A53" s="21"/>
      <c r="B53" s="46"/>
      <c r="C53" s="49" t="s">
        <v>41</v>
      </c>
      <c r="D53" s="50">
        <v>0.0</v>
      </c>
      <c r="E53" s="50">
        <v>0.0</v>
      </c>
      <c r="F53" s="50">
        <v>0.0</v>
      </c>
      <c r="G53" s="50">
        <v>0.0</v>
      </c>
      <c r="H53" s="50">
        <v>0.0</v>
      </c>
      <c r="I53" s="50">
        <v>0.0</v>
      </c>
      <c r="J53" s="50">
        <v>0.0</v>
      </c>
      <c r="K53" s="50">
        <v>0.0</v>
      </c>
      <c r="L53" s="50">
        <v>0.0</v>
      </c>
      <c r="M53" s="72"/>
      <c r="N53" s="50">
        <v>0.0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 ht="18.0" customHeight="1" outlineLevel="1">
      <c r="A54" s="21"/>
      <c r="B54" s="46" t="s">
        <v>59</v>
      </c>
      <c r="C54" s="47" t="s">
        <v>46</v>
      </c>
      <c r="D54" s="48">
        <v>217882.5</v>
      </c>
      <c r="E54" s="48">
        <v>252150.0</v>
      </c>
      <c r="F54" s="48">
        <v>822769.9199999999</v>
      </c>
      <c r="G54" s="48">
        <v>91800.0</v>
      </c>
      <c r="H54" s="48">
        <v>138898.5</v>
      </c>
      <c r="I54" s="48">
        <v>166991.88</v>
      </c>
      <c r="J54" s="48"/>
      <c r="K54" s="48">
        <v>158530.94999999998</v>
      </c>
      <c r="L54" s="48">
        <v>1849023.7499999998</v>
      </c>
      <c r="M54" s="71"/>
      <c r="N54" s="48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 ht="18.0" customHeight="1" outlineLevel="1">
      <c r="A55" s="21"/>
      <c r="B55" s="46"/>
      <c r="C55" s="49" t="s">
        <v>41</v>
      </c>
      <c r="D55" s="50">
        <v>85712.0</v>
      </c>
      <c r="E55" s="50">
        <v>86316.0</v>
      </c>
      <c r="F55" s="50">
        <v>263510.0</v>
      </c>
      <c r="G55" s="50">
        <v>30978.0</v>
      </c>
      <c r="H55" s="50">
        <v>20709.0</v>
      </c>
      <c r="I55" s="50">
        <v>-60200.0</v>
      </c>
      <c r="J55" s="50">
        <v>0.0</v>
      </c>
      <c r="K55" s="50">
        <v>99631.0</v>
      </c>
      <c r="L55" s="50">
        <v>526656.0</v>
      </c>
      <c r="M55" s="72"/>
      <c r="N55" s="50">
        <v>0.0</v>
      </c>
      <c r="O55" s="21"/>
      <c r="P55" s="21">
        <v>-132170.5</v>
      </c>
      <c r="Q55" s="21">
        <v>-165834.0</v>
      </c>
      <c r="R55" s="21">
        <v>-559259.9199999999</v>
      </c>
      <c r="S55" s="21">
        <v>-60822.0</v>
      </c>
      <c r="T55" s="21">
        <v>-118189.5</v>
      </c>
      <c r="U55" s="21">
        <v>-227191.88</v>
      </c>
      <c r="V55" s="21">
        <v>0.0</v>
      </c>
      <c r="W55" s="21">
        <v>-58899.94999999998</v>
      </c>
      <c r="X55" s="21">
        <v>-1322367.7499999998</v>
      </c>
      <c r="Y55" s="21"/>
      <c r="Z55" s="21"/>
      <c r="AA55" s="21"/>
      <c r="AB55" s="21"/>
      <c r="AC55" s="21"/>
      <c r="AD55" s="21"/>
      <c r="AE55" s="21"/>
    </row>
    <row r="56" ht="18.0" customHeight="1" outlineLevel="1">
      <c r="A56" s="21"/>
      <c r="B56" s="46" t="s">
        <v>60</v>
      </c>
      <c r="C56" s="47" t="s">
        <v>46</v>
      </c>
      <c r="D56" s="48">
        <v>1509591.0</v>
      </c>
      <c r="E56" s="48">
        <v>1791534.0</v>
      </c>
      <c r="F56" s="48">
        <v>3602378.0</v>
      </c>
      <c r="G56" s="48">
        <v>816245.0</v>
      </c>
      <c r="H56" s="48">
        <v>896996.0</v>
      </c>
      <c r="I56" s="48">
        <v>162677.0</v>
      </c>
      <c r="J56" s="48"/>
      <c r="K56" s="48">
        <v>890078.0</v>
      </c>
      <c r="L56" s="48">
        <v>9669499.0</v>
      </c>
      <c r="M56" s="71"/>
      <c r="N56" s="48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 ht="18.0" customHeight="1" outlineLevel="1">
      <c r="A57" s="21"/>
      <c r="B57" s="46"/>
      <c r="C57" s="49" t="s">
        <v>41</v>
      </c>
      <c r="D57" s="50">
        <v>1367569.0</v>
      </c>
      <c r="E57" s="50">
        <v>1714614.0</v>
      </c>
      <c r="F57" s="50">
        <v>3562267.0</v>
      </c>
      <c r="G57" s="50">
        <v>416390.0</v>
      </c>
      <c r="H57" s="50">
        <v>1190772.0</v>
      </c>
      <c r="I57" s="50">
        <v>104853.0</v>
      </c>
      <c r="J57" s="50">
        <v>0.0</v>
      </c>
      <c r="K57" s="50">
        <v>1086880.0</v>
      </c>
      <c r="L57" s="50">
        <v>9443345.0</v>
      </c>
      <c r="M57" s="72"/>
      <c r="N57" s="50">
        <v>24542.0</v>
      </c>
      <c r="O57" s="21"/>
      <c r="P57" s="21">
        <v>-142022.0</v>
      </c>
      <c r="Q57" s="21">
        <v>-76920.0</v>
      </c>
      <c r="R57" s="21">
        <v>-40111.0</v>
      </c>
      <c r="S57" s="21">
        <v>-399855.0</v>
      </c>
      <c r="T57" s="21">
        <v>293776.0</v>
      </c>
      <c r="U57" s="21">
        <v>-57824.0</v>
      </c>
      <c r="V57" s="21">
        <v>0.0</v>
      </c>
      <c r="W57" s="21">
        <v>196802.0</v>
      </c>
      <c r="X57" s="21">
        <v>-226154.0</v>
      </c>
      <c r="Y57" s="21"/>
      <c r="Z57" s="21"/>
      <c r="AA57" s="21"/>
      <c r="AB57" s="21"/>
      <c r="AC57" s="21"/>
      <c r="AD57" s="21"/>
      <c r="AE57" s="21"/>
    </row>
    <row r="58" ht="18.0" customHeight="1" outlineLevel="1">
      <c r="A58" s="21"/>
      <c r="B58" s="46" t="s">
        <v>61</v>
      </c>
      <c r="C58" s="47" t="s">
        <v>46</v>
      </c>
      <c r="D58" s="48">
        <v>187500.0</v>
      </c>
      <c r="E58" s="48">
        <v>110000.0</v>
      </c>
      <c r="F58" s="48">
        <v>110000.0</v>
      </c>
      <c r="G58" s="48">
        <v>60000.0</v>
      </c>
      <c r="H58" s="48">
        <v>50000.0</v>
      </c>
      <c r="I58" s="48">
        <v>60000.0</v>
      </c>
      <c r="J58" s="48"/>
      <c r="K58" s="48">
        <v>100000.0</v>
      </c>
      <c r="L58" s="48">
        <v>677500.0</v>
      </c>
      <c r="M58" s="71"/>
      <c r="N58" s="48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 ht="18.0" customHeight="1" outlineLevel="1">
      <c r="A59" s="21"/>
      <c r="B59" s="46"/>
      <c r="C59" s="49" t="s">
        <v>41</v>
      </c>
      <c r="D59" s="50">
        <v>187500.0</v>
      </c>
      <c r="E59" s="50">
        <v>110000.0</v>
      </c>
      <c r="F59" s="50">
        <v>110000.0</v>
      </c>
      <c r="G59" s="50">
        <v>60000.0</v>
      </c>
      <c r="H59" s="50">
        <v>50000.0</v>
      </c>
      <c r="I59" s="50">
        <v>60000.0</v>
      </c>
      <c r="J59" s="50">
        <v>0.0</v>
      </c>
      <c r="K59" s="50">
        <v>100000.0</v>
      </c>
      <c r="L59" s="50">
        <v>677500.0</v>
      </c>
      <c r="M59" s="72"/>
      <c r="N59" s="50">
        <v>0.0</v>
      </c>
      <c r="O59" s="21"/>
      <c r="P59" s="21">
        <v>0.0</v>
      </c>
      <c r="Q59" s="21">
        <v>0.0</v>
      </c>
      <c r="R59" s="21">
        <v>0.0</v>
      </c>
      <c r="S59" s="21">
        <v>0.0</v>
      </c>
      <c r="T59" s="21">
        <v>0.0</v>
      </c>
      <c r="U59" s="21">
        <v>0.0</v>
      </c>
      <c r="V59" s="21">
        <v>0.0</v>
      </c>
      <c r="W59" s="21">
        <v>0.0</v>
      </c>
      <c r="X59" s="21">
        <v>0.0</v>
      </c>
      <c r="Y59" s="21"/>
      <c r="Z59" s="21"/>
      <c r="AA59" s="21"/>
      <c r="AB59" s="21"/>
      <c r="AC59" s="21"/>
      <c r="AD59" s="21"/>
      <c r="AE59" s="21"/>
    </row>
    <row r="60" ht="18.0" customHeight="1" outlineLevel="1">
      <c r="A60" s="21"/>
      <c r="B60" s="46" t="s">
        <v>62</v>
      </c>
      <c r="C60" s="47" t="s">
        <v>46</v>
      </c>
      <c r="D60" s="48">
        <v>0.0</v>
      </c>
      <c r="E60" s="48">
        <v>0.0</v>
      </c>
      <c r="F60" s="48">
        <v>0.0</v>
      </c>
      <c r="G60" s="48">
        <v>0.0</v>
      </c>
      <c r="H60" s="48">
        <v>0.0</v>
      </c>
      <c r="I60" s="48">
        <v>0.0</v>
      </c>
      <c r="J60" s="48"/>
      <c r="K60" s="48">
        <v>0.0</v>
      </c>
      <c r="L60" s="48">
        <v>0.0</v>
      </c>
      <c r="M60" s="71"/>
      <c r="N60" s="48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 ht="18.0" customHeight="1" outlineLevel="1">
      <c r="A61" s="21"/>
      <c r="B61" s="46"/>
      <c r="C61" s="49" t="s">
        <v>41</v>
      </c>
      <c r="D61" s="50">
        <v>0.0</v>
      </c>
      <c r="E61" s="50">
        <v>0.0</v>
      </c>
      <c r="F61" s="50">
        <v>0.0</v>
      </c>
      <c r="G61" s="50">
        <v>0.0</v>
      </c>
      <c r="H61" s="50">
        <v>0.0</v>
      </c>
      <c r="I61" s="50">
        <v>0.0</v>
      </c>
      <c r="J61" s="50">
        <v>0.0</v>
      </c>
      <c r="K61" s="50">
        <v>0.0</v>
      </c>
      <c r="L61" s="50">
        <v>0.0</v>
      </c>
      <c r="M61" s="72"/>
      <c r="N61" s="50">
        <v>0.0</v>
      </c>
      <c r="O61" s="21"/>
      <c r="P61" s="21">
        <v>0.0</v>
      </c>
      <c r="Q61" s="21">
        <v>0.0</v>
      </c>
      <c r="R61" s="21">
        <v>0.0</v>
      </c>
      <c r="S61" s="21">
        <v>0.0</v>
      </c>
      <c r="T61" s="21">
        <v>0.0</v>
      </c>
      <c r="U61" s="21">
        <v>0.0</v>
      </c>
      <c r="V61" s="21">
        <v>0.0</v>
      </c>
      <c r="W61" s="21">
        <v>0.0</v>
      </c>
      <c r="X61" s="21">
        <v>0.0</v>
      </c>
      <c r="Y61" s="21"/>
      <c r="Z61" s="21"/>
      <c r="AA61" s="21"/>
      <c r="AB61" s="21"/>
      <c r="AC61" s="21"/>
      <c r="AD61" s="21"/>
      <c r="AE61" s="21"/>
    </row>
    <row r="62" ht="18.0" customHeight="1" outlineLevel="1">
      <c r="A62" s="21"/>
      <c r="B62" s="46" t="s">
        <v>63</v>
      </c>
      <c r="C62" s="47" t="s">
        <v>46</v>
      </c>
      <c r="D62" s="48">
        <v>275000.0</v>
      </c>
      <c r="E62" s="48">
        <v>750000.0</v>
      </c>
      <c r="F62" s="48">
        <v>490000.0</v>
      </c>
      <c r="G62" s="48">
        <v>30000.0</v>
      </c>
      <c r="H62" s="48">
        <v>30000.0</v>
      </c>
      <c r="I62" s="48">
        <v>130000.0</v>
      </c>
      <c r="J62" s="48"/>
      <c r="K62" s="48">
        <v>0.0</v>
      </c>
      <c r="L62" s="48">
        <v>1705000.0</v>
      </c>
      <c r="M62" s="71"/>
      <c r="N62" s="48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 ht="18.0" customHeight="1" outlineLevel="1">
      <c r="A63" s="21"/>
      <c r="B63" s="46"/>
      <c r="C63" s="49" t="s">
        <v>41</v>
      </c>
      <c r="D63" s="50">
        <v>275000.0</v>
      </c>
      <c r="E63" s="50">
        <v>750000.0</v>
      </c>
      <c r="F63" s="50">
        <v>490000.0</v>
      </c>
      <c r="G63" s="50">
        <v>30000.0</v>
      </c>
      <c r="H63" s="50">
        <v>30000.0</v>
      </c>
      <c r="I63" s="50">
        <v>130000.0</v>
      </c>
      <c r="J63" s="50">
        <v>0.0</v>
      </c>
      <c r="K63" s="50">
        <v>0.0</v>
      </c>
      <c r="L63" s="50">
        <v>1705000.0</v>
      </c>
      <c r="M63" s="72"/>
      <c r="N63" s="50">
        <v>0.0</v>
      </c>
      <c r="O63" s="21"/>
      <c r="P63" s="21">
        <v>0.0</v>
      </c>
      <c r="Q63" s="21">
        <v>0.0</v>
      </c>
      <c r="R63" s="21">
        <v>0.0</v>
      </c>
      <c r="S63" s="21">
        <v>0.0</v>
      </c>
      <c r="T63" s="21">
        <v>0.0</v>
      </c>
      <c r="U63" s="21">
        <v>0.0</v>
      </c>
      <c r="V63" s="21">
        <v>0.0</v>
      </c>
      <c r="W63" s="21">
        <v>0.0</v>
      </c>
      <c r="X63" s="21">
        <v>0.0</v>
      </c>
      <c r="Y63" s="21"/>
      <c r="Z63" s="21"/>
      <c r="AA63" s="21"/>
      <c r="AB63" s="21"/>
      <c r="AC63" s="21"/>
      <c r="AD63" s="21"/>
      <c r="AE63" s="21"/>
    </row>
    <row r="64" ht="18.0" customHeight="1" outlineLevel="1">
      <c r="A64" s="21"/>
      <c r="B64" s="46" t="s">
        <v>64</v>
      </c>
      <c r="C64" s="47" t="s">
        <v>46</v>
      </c>
      <c r="D64" s="48">
        <v>209911.0</v>
      </c>
      <c r="E64" s="48">
        <v>350000.0</v>
      </c>
      <c r="F64" s="48">
        <v>250000.0</v>
      </c>
      <c r="G64" s="48">
        <v>130000.0</v>
      </c>
      <c r="H64" s="48">
        <v>40000.0</v>
      </c>
      <c r="I64" s="48">
        <v>44007.0</v>
      </c>
      <c r="J64" s="48"/>
      <c r="K64" s="48">
        <v>50000.0</v>
      </c>
      <c r="L64" s="48">
        <v>1073918.0</v>
      </c>
      <c r="M64" s="71"/>
      <c r="N64" s="48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 ht="18.0" customHeight="1" outlineLevel="1">
      <c r="A65" s="21"/>
      <c r="B65" s="46"/>
      <c r="C65" s="49" t="s">
        <v>41</v>
      </c>
      <c r="D65" s="50">
        <v>89288.0</v>
      </c>
      <c r="E65" s="50">
        <v>143049.0</v>
      </c>
      <c r="F65" s="50">
        <v>196573.0</v>
      </c>
      <c r="G65" s="50">
        <v>164740.0</v>
      </c>
      <c r="H65" s="50">
        <v>86515.0</v>
      </c>
      <c r="I65" s="50">
        <v>31694.0</v>
      </c>
      <c r="J65" s="50">
        <v>0.0</v>
      </c>
      <c r="K65" s="50">
        <v>291149.0</v>
      </c>
      <c r="L65" s="50">
        <v>1003008.0</v>
      </c>
      <c r="M65" s="72"/>
      <c r="N65" s="50">
        <v>6350.0</v>
      </c>
      <c r="O65" s="21"/>
      <c r="P65" s="21">
        <v>-120623.0</v>
      </c>
      <c r="Q65" s="21">
        <v>-206951.0</v>
      </c>
      <c r="R65" s="21">
        <v>-53427.0</v>
      </c>
      <c r="S65" s="21">
        <v>34740.0</v>
      </c>
      <c r="T65" s="21">
        <v>46515.0</v>
      </c>
      <c r="U65" s="21">
        <v>-12313.0</v>
      </c>
      <c r="V65" s="21">
        <v>0.0</v>
      </c>
      <c r="W65" s="21">
        <v>241149.0</v>
      </c>
      <c r="X65" s="21">
        <v>-70910.0</v>
      </c>
      <c r="Y65" s="21"/>
      <c r="Z65" s="21"/>
      <c r="AA65" s="21"/>
      <c r="AB65" s="21"/>
      <c r="AC65" s="21"/>
      <c r="AD65" s="21"/>
      <c r="AE65" s="21"/>
    </row>
    <row r="66" ht="18.0" customHeight="1" outlineLevel="1">
      <c r="A66" s="21"/>
      <c r="B66" s="46" t="s">
        <v>65</v>
      </c>
      <c r="C66" s="47" t="s">
        <v>46</v>
      </c>
      <c r="D66" s="48">
        <v>140968.0</v>
      </c>
      <c r="E66" s="48">
        <v>225624.0</v>
      </c>
      <c r="F66" s="48">
        <v>1489816.0</v>
      </c>
      <c r="G66" s="48">
        <v>167165.0</v>
      </c>
      <c r="H66" s="48">
        <v>59176.0</v>
      </c>
      <c r="I66" s="48">
        <v>330578.0</v>
      </c>
      <c r="J66" s="48"/>
      <c r="K66" s="48">
        <v>293747.0</v>
      </c>
      <c r="L66" s="48">
        <v>2707074.0</v>
      </c>
      <c r="M66" s="71"/>
      <c r="N66" s="48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 ht="18.0" customHeight="1" outlineLevel="1">
      <c r="A67" s="21"/>
      <c r="B67" s="46"/>
      <c r="C67" s="49" t="s">
        <v>41</v>
      </c>
      <c r="D67" s="50">
        <v>216202.0</v>
      </c>
      <c r="E67" s="50">
        <v>59478.0</v>
      </c>
      <c r="F67" s="50">
        <v>1209878.0</v>
      </c>
      <c r="G67" s="50">
        <v>46521.0</v>
      </c>
      <c r="H67" s="50">
        <v>47667.0</v>
      </c>
      <c r="I67" s="50">
        <v>270710.0</v>
      </c>
      <c r="J67" s="50">
        <v>0.0</v>
      </c>
      <c r="K67" s="50">
        <v>-51836.0</v>
      </c>
      <c r="L67" s="50">
        <v>1798620.0</v>
      </c>
      <c r="M67" s="72"/>
      <c r="N67" s="50">
        <v>0.0</v>
      </c>
      <c r="O67" s="21"/>
      <c r="P67" s="21">
        <v>75234.0</v>
      </c>
      <c r="Q67" s="21">
        <v>-166146.0</v>
      </c>
      <c r="R67" s="21">
        <v>-279938.0</v>
      </c>
      <c r="S67" s="21">
        <v>-120644.0</v>
      </c>
      <c r="T67" s="21">
        <v>-11509.0</v>
      </c>
      <c r="U67" s="21">
        <v>-59868.0</v>
      </c>
      <c r="V67" s="21">
        <v>0.0</v>
      </c>
      <c r="W67" s="21">
        <v>-345583.0</v>
      </c>
      <c r="X67" s="21">
        <v>-908454.0</v>
      </c>
      <c r="Y67" s="21"/>
      <c r="Z67" s="21"/>
      <c r="AA67" s="21"/>
      <c r="AB67" s="21"/>
      <c r="AC67" s="21"/>
      <c r="AD67" s="21"/>
      <c r="AE67" s="21"/>
    </row>
    <row r="68" ht="18.0" customHeight="1" outlineLevel="1">
      <c r="A68" s="21"/>
      <c r="B68" s="46" t="s">
        <v>66</v>
      </c>
      <c r="C68" s="47" t="s">
        <v>46</v>
      </c>
      <c r="D68" s="48">
        <v>574944.0</v>
      </c>
      <c r="E68" s="48">
        <v>468956.0</v>
      </c>
      <c r="F68" s="48">
        <v>2318610.0</v>
      </c>
      <c r="G68" s="48">
        <v>183446.0</v>
      </c>
      <c r="H68" s="48">
        <v>262093.0</v>
      </c>
      <c r="I68" s="48">
        <v>315084.0</v>
      </c>
      <c r="J68" s="48"/>
      <c r="K68" s="48">
        <v>744059.0</v>
      </c>
      <c r="L68" s="48">
        <v>4867192.0</v>
      </c>
      <c r="M68" s="71"/>
      <c r="N68" s="48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 ht="18.0" customHeight="1" outlineLevel="1">
      <c r="A69" s="21"/>
      <c r="B69" s="46"/>
      <c r="C69" s="49" t="s">
        <v>41</v>
      </c>
      <c r="D69" s="50">
        <v>655351.0</v>
      </c>
      <c r="E69" s="50">
        <v>655351.0</v>
      </c>
      <c r="F69" s="50">
        <v>2310130.0</v>
      </c>
      <c r="G69" s="50">
        <v>126400.0</v>
      </c>
      <c r="H69" s="50">
        <v>263057.0</v>
      </c>
      <c r="I69" s="50">
        <v>283187.0</v>
      </c>
      <c r="J69" s="50">
        <v>0.0</v>
      </c>
      <c r="K69" s="50">
        <v>593592.0</v>
      </c>
      <c r="L69" s="50">
        <v>4887068.0</v>
      </c>
      <c r="M69" s="72"/>
      <c r="N69" s="50">
        <v>0.0</v>
      </c>
      <c r="O69" s="21"/>
      <c r="P69" s="21">
        <v>80407.0</v>
      </c>
      <c r="Q69" s="21">
        <v>186395.0</v>
      </c>
      <c r="R69" s="21">
        <v>-8480.0</v>
      </c>
      <c r="S69" s="21">
        <v>-57046.0</v>
      </c>
      <c r="T69" s="21">
        <v>964.0</v>
      </c>
      <c r="U69" s="21">
        <v>-31897.0</v>
      </c>
      <c r="V69" s="21">
        <v>0.0</v>
      </c>
      <c r="W69" s="21">
        <v>-150467.0</v>
      </c>
      <c r="X69" s="21">
        <v>19876.0</v>
      </c>
      <c r="Y69" s="21"/>
      <c r="Z69" s="21"/>
      <c r="AA69" s="21"/>
      <c r="AB69" s="21"/>
      <c r="AC69" s="21"/>
      <c r="AD69" s="21"/>
      <c r="AE69" s="21"/>
    </row>
    <row r="70" ht="18.0" customHeight="1" outlineLevel="1">
      <c r="A70" s="21"/>
      <c r="B70" s="46" t="s">
        <v>67</v>
      </c>
      <c r="C70" s="47" t="s">
        <v>46</v>
      </c>
      <c r="D70" s="48">
        <v>4278.0</v>
      </c>
      <c r="E70" s="48">
        <v>0.0</v>
      </c>
      <c r="F70" s="48">
        <v>177842.0</v>
      </c>
      <c r="G70" s="48">
        <v>2367.0</v>
      </c>
      <c r="H70" s="48">
        <v>730.0</v>
      </c>
      <c r="I70" s="48">
        <v>0.0</v>
      </c>
      <c r="J70" s="48"/>
      <c r="K70" s="48">
        <v>0.0</v>
      </c>
      <c r="L70" s="48">
        <v>185217.0</v>
      </c>
      <c r="M70" s="71"/>
      <c r="N70" s="4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 ht="18.0" customHeight="1" outlineLevel="1">
      <c r="A71" s="21"/>
      <c r="B71" s="46"/>
      <c r="C71" s="49" t="s">
        <v>41</v>
      </c>
      <c r="D71" s="50">
        <v>13047.0</v>
      </c>
      <c r="E71" s="50">
        <v>588.0</v>
      </c>
      <c r="F71" s="50">
        <v>159142.0</v>
      </c>
      <c r="G71" s="50">
        <v>7598.0</v>
      </c>
      <c r="H71" s="50">
        <v>6910.0</v>
      </c>
      <c r="I71" s="50">
        <v>0.0</v>
      </c>
      <c r="J71" s="50">
        <v>0.0</v>
      </c>
      <c r="K71" s="50">
        <v>0.0</v>
      </c>
      <c r="L71" s="50">
        <v>187285.0</v>
      </c>
      <c r="M71" s="72"/>
      <c r="N71" s="50">
        <v>0.0</v>
      </c>
      <c r="O71" s="21"/>
      <c r="P71" s="21">
        <v>8769.0</v>
      </c>
      <c r="Q71" s="21">
        <v>588.0</v>
      </c>
      <c r="R71" s="21">
        <v>-18700.0</v>
      </c>
      <c r="S71" s="21">
        <v>5231.0</v>
      </c>
      <c r="T71" s="21">
        <v>6180.0</v>
      </c>
      <c r="U71" s="21">
        <v>0.0</v>
      </c>
      <c r="V71" s="21">
        <v>0.0</v>
      </c>
      <c r="W71" s="21">
        <v>0.0</v>
      </c>
      <c r="X71" s="21">
        <v>2068.0</v>
      </c>
      <c r="Y71" s="21"/>
      <c r="Z71" s="21"/>
      <c r="AA71" s="21"/>
      <c r="AB71" s="21"/>
      <c r="AC71" s="21"/>
      <c r="AD71" s="21"/>
      <c r="AE71" s="21"/>
    </row>
    <row r="72" ht="18.0" customHeight="1" outlineLevel="1">
      <c r="A72" s="21"/>
      <c r="B72" s="46" t="s">
        <v>68</v>
      </c>
      <c r="C72" s="47" t="s">
        <v>46</v>
      </c>
      <c r="D72" s="48">
        <v>0.0</v>
      </c>
      <c r="E72" s="48">
        <v>0.0</v>
      </c>
      <c r="F72" s="48">
        <v>0.0</v>
      </c>
      <c r="G72" s="48">
        <v>0.0</v>
      </c>
      <c r="H72" s="48">
        <v>0.0</v>
      </c>
      <c r="I72" s="48">
        <v>0.0</v>
      </c>
      <c r="J72" s="48"/>
      <c r="K72" s="48">
        <v>0.0</v>
      </c>
      <c r="L72" s="48">
        <v>0.0</v>
      </c>
      <c r="M72" s="71"/>
      <c r="N72" s="4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 ht="18.0" customHeight="1" outlineLevel="1">
      <c r="A73" s="21"/>
      <c r="B73" s="46"/>
      <c r="C73" s="49" t="s">
        <v>41</v>
      </c>
      <c r="D73" s="50">
        <v>0.0</v>
      </c>
      <c r="E73" s="50">
        <v>0.0</v>
      </c>
      <c r="F73" s="50">
        <v>0.0</v>
      </c>
      <c r="G73" s="50">
        <v>0.0</v>
      </c>
      <c r="H73" s="50">
        <v>0.0</v>
      </c>
      <c r="I73" s="50">
        <v>0.0</v>
      </c>
      <c r="J73" s="50">
        <v>0.0</v>
      </c>
      <c r="K73" s="50">
        <v>0.0</v>
      </c>
      <c r="L73" s="50">
        <v>0.0</v>
      </c>
      <c r="M73" s="72"/>
      <c r="N73" s="50">
        <v>0.0</v>
      </c>
      <c r="O73" s="21"/>
      <c r="P73" s="21">
        <v>0.0</v>
      </c>
      <c r="Q73" s="21">
        <v>0.0</v>
      </c>
      <c r="R73" s="21">
        <v>0.0</v>
      </c>
      <c r="S73" s="21">
        <v>0.0</v>
      </c>
      <c r="T73" s="21">
        <v>0.0</v>
      </c>
      <c r="U73" s="21">
        <v>0.0</v>
      </c>
      <c r="V73" s="21">
        <v>0.0</v>
      </c>
      <c r="W73" s="21">
        <v>0.0</v>
      </c>
      <c r="X73" s="21">
        <v>0.0</v>
      </c>
      <c r="Y73" s="21"/>
      <c r="Z73" s="21"/>
      <c r="AA73" s="21"/>
      <c r="AB73" s="21"/>
      <c r="AC73" s="21"/>
      <c r="AD73" s="21"/>
      <c r="AE73" s="21"/>
    </row>
    <row r="74" ht="18.0" customHeight="1" outlineLevel="1">
      <c r="A74" s="21"/>
      <c r="B74" s="46" t="s">
        <v>69</v>
      </c>
      <c r="C74" s="47" t="s">
        <v>46</v>
      </c>
      <c r="D74" s="48">
        <v>20000.0</v>
      </c>
      <c r="E74" s="48">
        <v>29000.0</v>
      </c>
      <c r="F74" s="48">
        <v>91062.0</v>
      </c>
      <c r="G74" s="48">
        <v>50000.0</v>
      </c>
      <c r="H74" s="48">
        <v>20000.0</v>
      </c>
      <c r="I74" s="48">
        <v>9443.0</v>
      </c>
      <c r="J74" s="48"/>
      <c r="K74" s="48">
        <v>90000.0</v>
      </c>
      <c r="L74" s="48">
        <v>309505.0</v>
      </c>
      <c r="M74" s="71"/>
      <c r="N74" s="4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 ht="18.0" customHeight="1" outlineLevel="1">
      <c r="A75" s="21"/>
      <c r="B75" s="46"/>
      <c r="C75" s="49" t="s">
        <v>41</v>
      </c>
      <c r="D75" s="50">
        <v>29657.0</v>
      </c>
      <c r="E75" s="50">
        <v>90478.0</v>
      </c>
      <c r="F75" s="50">
        <v>54938.0</v>
      </c>
      <c r="G75" s="50">
        <v>49231.0</v>
      </c>
      <c r="H75" s="50">
        <v>10944.0</v>
      </c>
      <c r="I75" s="50">
        <v>10304.0</v>
      </c>
      <c r="J75" s="50">
        <v>0.0</v>
      </c>
      <c r="K75" s="50">
        <v>86738.0</v>
      </c>
      <c r="L75" s="50">
        <v>332290.0</v>
      </c>
      <c r="M75" s="72"/>
      <c r="N75" s="50">
        <v>51342.0</v>
      </c>
      <c r="O75" s="21"/>
      <c r="P75" s="21">
        <v>9657.0</v>
      </c>
      <c r="Q75" s="21">
        <v>61478.0</v>
      </c>
      <c r="R75" s="21">
        <v>-36124.0</v>
      </c>
      <c r="S75" s="21">
        <v>-769.0</v>
      </c>
      <c r="T75" s="21">
        <v>-9056.0</v>
      </c>
      <c r="U75" s="21">
        <v>861.0</v>
      </c>
      <c r="V75" s="21">
        <v>0.0</v>
      </c>
      <c r="W75" s="21">
        <v>-3262.0</v>
      </c>
      <c r="X75" s="21">
        <v>22785.0</v>
      </c>
      <c r="Y75" s="21"/>
      <c r="Z75" s="21"/>
      <c r="AA75" s="21"/>
      <c r="AB75" s="21"/>
      <c r="AC75" s="21"/>
      <c r="AD75" s="21"/>
      <c r="AE75" s="21"/>
    </row>
    <row r="76" ht="18.0" customHeight="1" outlineLevel="1">
      <c r="A76" s="21"/>
      <c r="B76" s="46" t="s">
        <v>70</v>
      </c>
      <c r="C76" s="47" t="s">
        <v>46</v>
      </c>
      <c r="D76" s="48">
        <v>295750.0</v>
      </c>
      <c r="E76" s="48">
        <v>286000.0</v>
      </c>
      <c r="F76" s="48">
        <v>0.0</v>
      </c>
      <c r="G76" s="48">
        <v>0.0</v>
      </c>
      <c r="H76" s="48">
        <v>0.0</v>
      </c>
      <c r="I76" s="48">
        <v>0.0</v>
      </c>
      <c r="J76" s="48"/>
      <c r="K76" s="48">
        <v>0.0</v>
      </c>
      <c r="L76" s="48">
        <v>581750.0</v>
      </c>
      <c r="M76" s="71"/>
      <c r="N76" s="4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 ht="18.0" customHeight="1" outlineLevel="1">
      <c r="A77" s="21"/>
      <c r="B77" s="46"/>
      <c r="C77" s="49" t="s">
        <v>41</v>
      </c>
      <c r="D77" s="50">
        <v>0.0</v>
      </c>
      <c r="E77" s="50">
        <v>0.0</v>
      </c>
      <c r="F77" s="50">
        <v>4000.0</v>
      </c>
      <c r="G77" s="50">
        <v>0.0</v>
      </c>
      <c r="H77" s="50">
        <v>0.0</v>
      </c>
      <c r="I77" s="50">
        <v>0.0</v>
      </c>
      <c r="J77" s="50">
        <v>0.0</v>
      </c>
      <c r="K77" s="50">
        <v>0.0</v>
      </c>
      <c r="L77" s="50">
        <v>4000.0</v>
      </c>
      <c r="M77" s="72"/>
      <c r="N77" s="50">
        <v>491000.0</v>
      </c>
      <c r="O77" s="21"/>
      <c r="P77" s="21">
        <v>-295750.0</v>
      </c>
      <c r="Q77" s="21">
        <v>-286000.0</v>
      </c>
      <c r="R77" s="21">
        <v>4000.0</v>
      </c>
      <c r="S77" s="21">
        <v>0.0</v>
      </c>
      <c r="T77" s="21">
        <v>0.0</v>
      </c>
      <c r="U77" s="21">
        <v>0.0</v>
      </c>
      <c r="V77" s="21">
        <v>0.0</v>
      </c>
      <c r="W77" s="21">
        <v>0.0</v>
      </c>
      <c r="X77" s="21">
        <v>-577750.0</v>
      </c>
      <c r="Y77" s="21"/>
      <c r="Z77" s="21"/>
      <c r="AA77" s="21"/>
      <c r="AB77" s="21"/>
      <c r="AC77" s="21"/>
      <c r="AD77" s="21"/>
      <c r="AE77" s="21"/>
    </row>
    <row r="78" ht="18.0" customHeight="1" outlineLevel="1">
      <c r="A78" s="21"/>
      <c r="B78" s="46" t="s">
        <v>71</v>
      </c>
      <c r="C78" s="47" t="s">
        <v>46</v>
      </c>
      <c r="D78" s="48">
        <v>191768.0</v>
      </c>
      <c r="E78" s="48">
        <v>0.0</v>
      </c>
      <c r="F78" s="48">
        <v>37191.0</v>
      </c>
      <c r="G78" s="48">
        <v>0.0</v>
      </c>
      <c r="H78" s="48">
        <v>0.0</v>
      </c>
      <c r="I78" s="48">
        <v>0.0</v>
      </c>
      <c r="J78" s="48"/>
      <c r="K78" s="48">
        <v>0.0</v>
      </c>
      <c r="L78" s="48">
        <v>228959.0</v>
      </c>
      <c r="M78" s="71"/>
      <c r="N78" s="4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 ht="18.0" customHeight="1" outlineLevel="1">
      <c r="A79" s="21"/>
      <c r="B79" s="46"/>
      <c r="C79" s="49" t="s">
        <v>41</v>
      </c>
      <c r="D79" s="50">
        <v>171964.0</v>
      </c>
      <c r="E79" s="50">
        <v>0.0</v>
      </c>
      <c r="F79" s="50">
        <v>60562.0</v>
      </c>
      <c r="G79" s="50">
        <v>0.0</v>
      </c>
      <c r="H79" s="50">
        <v>0.0</v>
      </c>
      <c r="I79" s="50">
        <v>14279.0</v>
      </c>
      <c r="J79" s="50">
        <v>0.0</v>
      </c>
      <c r="K79" s="50">
        <v>14279.0</v>
      </c>
      <c r="L79" s="50">
        <v>261084.0</v>
      </c>
      <c r="M79" s="72"/>
      <c r="N79" s="50">
        <v>15086.0</v>
      </c>
      <c r="O79" s="21"/>
      <c r="P79" s="21">
        <v>-19804.0</v>
      </c>
      <c r="Q79" s="21">
        <v>0.0</v>
      </c>
      <c r="R79" s="21">
        <v>23371.0</v>
      </c>
      <c r="S79" s="21">
        <v>0.0</v>
      </c>
      <c r="T79" s="21">
        <v>0.0</v>
      </c>
      <c r="U79" s="21">
        <v>14279.0</v>
      </c>
      <c r="V79" s="21">
        <v>0.0</v>
      </c>
      <c r="W79" s="21">
        <v>14279.0</v>
      </c>
      <c r="X79" s="21">
        <v>32125.0</v>
      </c>
      <c r="Y79" s="21"/>
      <c r="Z79" s="21"/>
      <c r="AA79" s="21"/>
      <c r="AB79" s="21"/>
      <c r="AC79" s="21"/>
      <c r="AD79" s="21"/>
      <c r="AE79" s="21"/>
    </row>
    <row r="80" ht="18.0" customHeight="1" outlineLevel="1">
      <c r="A80" s="21"/>
      <c r="B80" s="46" t="s">
        <v>72</v>
      </c>
      <c r="C80" s="47" t="s">
        <v>46</v>
      </c>
      <c r="D80" s="48">
        <v>76739.0</v>
      </c>
      <c r="E80" s="48">
        <v>120000.0</v>
      </c>
      <c r="F80" s="48">
        <v>271233.0</v>
      </c>
      <c r="G80" s="48">
        <v>32019.0</v>
      </c>
      <c r="H80" s="48">
        <v>50000.0</v>
      </c>
      <c r="I80" s="48">
        <v>11000.0</v>
      </c>
      <c r="J80" s="48"/>
      <c r="K80" s="48">
        <v>60000.0</v>
      </c>
      <c r="L80" s="48">
        <v>620991.0</v>
      </c>
      <c r="M80" s="71"/>
      <c r="N80" s="48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 ht="18.0" customHeight="1" outlineLevel="1">
      <c r="A81" s="21"/>
      <c r="B81" s="46"/>
      <c r="C81" s="49" t="s">
        <v>41</v>
      </c>
      <c r="D81" s="50">
        <v>34906.0</v>
      </c>
      <c r="E81" s="50">
        <v>-10628.0</v>
      </c>
      <c r="F81" s="50">
        <v>18486.0</v>
      </c>
      <c r="G81" s="50">
        <v>43823.0</v>
      </c>
      <c r="H81" s="50">
        <v>7022.0</v>
      </c>
      <c r="I81" s="50">
        <v>5745.0</v>
      </c>
      <c r="J81" s="50">
        <v>0.0</v>
      </c>
      <c r="K81" s="50">
        <v>16797.0</v>
      </c>
      <c r="L81" s="50">
        <v>116151.0</v>
      </c>
      <c r="M81" s="72"/>
      <c r="N81" s="50">
        <v>435451.0</v>
      </c>
      <c r="O81" s="21"/>
      <c r="P81" s="21">
        <v>-41833.0</v>
      </c>
      <c r="Q81" s="21">
        <v>-130628.0</v>
      </c>
      <c r="R81" s="21">
        <v>-252747.0</v>
      </c>
      <c r="S81" s="21">
        <v>11804.0</v>
      </c>
      <c r="T81" s="21">
        <v>-42978.0</v>
      </c>
      <c r="U81" s="21">
        <v>-5255.0</v>
      </c>
      <c r="V81" s="21">
        <v>0.0</v>
      </c>
      <c r="W81" s="21">
        <v>-43203.0</v>
      </c>
      <c r="X81" s="21">
        <v>-504840.0</v>
      </c>
      <c r="Y81" s="21"/>
      <c r="Z81" s="21"/>
      <c r="AA81" s="21"/>
      <c r="AB81" s="21"/>
      <c r="AC81" s="21"/>
      <c r="AD81" s="21"/>
      <c r="AE81" s="21"/>
    </row>
    <row r="82" ht="18.0" customHeight="1" outlineLevel="1">
      <c r="A82" s="21"/>
      <c r="B82" s="46" t="s">
        <v>73</v>
      </c>
      <c r="C82" s="47" t="s">
        <v>46</v>
      </c>
      <c r="D82" s="48">
        <v>22564.0</v>
      </c>
      <c r="E82" s="48">
        <v>10000.0</v>
      </c>
      <c r="F82" s="48">
        <v>9099.0</v>
      </c>
      <c r="G82" s="48">
        <v>1856.0</v>
      </c>
      <c r="H82" s="48">
        <v>5155.0</v>
      </c>
      <c r="I82" s="48">
        <v>11347.0</v>
      </c>
      <c r="J82" s="48"/>
      <c r="K82" s="48">
        <v>0.0</v>
      </c>
      <c r="L82" s="48">
        <v>60021.0</v>
      </c>
      <c r="M82" s="71"/>
      <c r="N82" s="4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 ht="18.0" customHeight="1" outlineLevel="1">
      <c r="A83" s="21"/>
      <c r="B83" s="46"/>
      <c r="C83" s="49" t="s">
        <v>41</v>
      </c>
      <c r="D83" s="50">
        <v>8053.0</v>
      </c>
      <c r="E83" s="50">
        <v>8289.0</v>
      </c>
      <c r="F83" s="50">
        <v>2124.0</v>
      </c>
      <c r="G83" s="50">
        <v>0.0</v>
      </c>
      <c r="H83" s="50">
        <v>3118.0</v>
      </c>
      <c r="I83" s="50">
        <v>12544.0</v>
      </c>
      <c r="J83" s="50">
        <v>0.0</v>
      </c>
      <c r="K83" s="50">
        <v>0.0</v>
      </c>
      <c r="L83" s="50">
        <v>34128.0</v>
      </c>
      <c r="M83" s="72"/>
      <c r="N83" s="50">
        <v>20821.0</v>
      </c>
      <c r="O83" s="21"/>
      <c r="P83" s="21">
        <v>-14511.0</v>
      </c>
      <c r="Q83" s="21">
        <v>-1711.0</v>
      </c>
      <c r="R83" s="21">
        <v>-6975.0</v>
      </c>
      <c r="S83" s="21">
        <v>-1856.0</v>
      </c>
      <c r="T83" s="21">
        <v>-2037.0</v>
      </c>
      <c r="U83" s="21">
        <v>1197.0</v>
      </c>
      <c r="V83" s="21">
        <v>0.0</v>
      </c>
      <c r="W83" s="21">
        <v>0.0</v>
      </c>
      <c r="X83" s="21">
        <v>-25893.0</v>
      </c>
      <c r="Y83" s="21"/>
      <c r="Z83" s="21"/>
      <c r="AA83" s="21"/>
      <c r="AB83" s="21"/>
      <c r="AC83" s="21"/>
      <c r="AD83" s="21"/>
      <c r="AE83" s="21"/>
    </row>
    <row r="84" ht="18.0" customHeight="1" outlineLevel="1">
      <c r="A84" s="21"/>
      <c r="B84" s="46" t="s">
        <v>74</v>
      </c>
      <c r="C84" s="47" t="s">
        <v>46</v>
      </c>
      <c r="D84" s="48">
        <v>316700.0</v>
      </c>
      <c r="E84" s="48">
        <v>3000.0</v>
      </c>
      <c r="F84" s="48">
        <v>0.0</v>
      </c>
      <c r="G84" s="48">
        <v>0.0</v>
      </c>
      <c r="H84" s="48">
        <v>35000.0</v>
      </c>
      <c r="I84" s="48">
        <v>0.0</v>
      </c>
      <c r="J84" s="48"/>
      <c r="K84" s="48">
        <v>0.0</v>
      </c>
      <c r="L84" s="48">
        <v>354700.0</v>
      </c>
      <c r="M84" s="71"/>
      <c r="N84" s="4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 ht="18.0" customHeight="1" outlineLevel="1">
      <c r="A85" s="21"/>
      <c r="B85" s="46"/>
      <c r="C85" s="49" t="s">
        <v>41</v>
      </c>
      <c r="D85" s="50">
        <v>246200.0</v>
      </c>
      <c r="E85" s="50">
        <v>3000.0</v>
      </c>
      <c r="F85" s="50">
        <v>0.0</v>
      </c>
      <c r="G85" s="50">
        <v>19000.0</v>
      </c>
      <c r="H85" s="50">
        <v>17533.0</v>
      </c>
      <c r="I85" s="50">
        <v>0.0</v>
      </c>
      <c r="J85" s="50">
        <v>0.0</v>
      </c>
      <c r="K85" s="50">
        <v>0.0</v>
      </c>
      <c r="L85" s="50">
        <v>285733.0</v>
      </c>
      <c r="M85" s="72"/>
      <c r="N85" s="50">
        <v>0.0</v>
      </c>
      <c r="O85" s="21"/>
      <c r="P85" s="21">
        <v>-70500.0</v>
      </c>
      <c r="Q85" s="21">
        <v>0.0</v>
      </c>
      <c r="R85" s="21">
        <v>0.0</v>
      </c>
      <c r="S85" s="21">
        <v>19000.0</v>
      </c>
      <c r="T85" s="21">
        <v>-17467.0</v>
      </c>
      <c r="U85" s="21">
        <v>0.0</v>
      </c>
      <c r="V85" s="21">
        <v>0.0</v>
      </c>
      <c r="W85" s="21">
        <v>0.0</v>
      </c>
      <c r="X85" s="21">
        <v>-68967.0</v>
      </c>
      <c r="Y85" s="21"/>
      <c r="Z85" s="21"/>
      <c r="AA85" s="21"/>
      <c r="AB85" s="21"/>
      <c r="AC85" s="21"/>
      <c r="AD85" s="21"/>
      <c r="AE85" s="21"/>
    </row>
    <row r="86" ht="18.0" customHeight="1" outlineLevel="1">
      <c r="A86" s="21"/>
      <c r="B86" s="46" t="s">
        <v>75</v>
      </c>
      <c r="C86" s="47" t="s">
        <v>46</v>
      </c>
      <c r="D86" s="48">
        <v>0.0</v>
      </c>
      <c r="E86" s="48">
        <v>0.0</v>
      </c>
      <c r="F86" s="48">
        <v>0.0</v>
      </c>
      <c r="G86" s="48">
        <v>0.0</v>
      </c>
      <c r="H86" s="48">
        <v>0.0</v>
      </c>
      <c r="I86" s="48">
        <v>0.0</v>
      </c>
      <c r="J86" s="48"/>
      <c r="K86" s="48">
        <v>0.0</v>
      </c>
      <c r="L86" s="48">
        <v>0.0</v>
      </c>
      <c r="M86" s="71"/>
      <c r="N86" s="48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 ht="18.0" customHeight="1" outlineLevel="1">
      <c r="A87" s="21"/>
      <c r="B87" s="46"/>
      <c r="C87" s="49" t="s">
        <v>41</v>
      </c>
      <c r="D87" s="50">
        <v>0.0</v>
      </c>
      <c r="E87" s="50">
        <v>0.0</v>
      </c>
      <c r="F87" s="50">
        <v>0.0</v>
      </c>
      <c r="G87" s="50">
        <v>0.0</v>
      </c>
      <c r="H87" s="50">
        <v>0.0</v>
      </c>
      <c r="I87" s="50">
        <v>0.0</v>
      </c>
      <c r="J87" s="50">
        <v>0.0</v>
      </c>
      <c r="K87" s="50">
        <v>0.0</v>
      </c>
      <c r="L87" s="50">
        <v>0.0</v>
      </c>
      <c r="M87" s="72"/>
      <c r="N87" s="50">
        <v>0.0</v>
      </c>
      <c r="O87" s="21"/>
      <c r="P87" s="21">
        <v>0.0</v>
      </c>
      <c r="Q87" s="21">
        <v>0.0</v>
      </c>
      <c r="R87" s="21">
        <v>0.0</v>
      </c>
      <c r="S87" s="21">
        <v>0.0</v>
      </c>
      <c r="T87" s="21">
        <v>0.0</v>
      </c>
      <c r="U87" s="21">
        <v>0.0</v>
      </c>
      <c r="V87" s="21">
        <v>0.0</v>
      </c>
      <c r="W87" s="21">
        <v>0.0</v>
      </c>
      <c r="X87" s="21">
        <v>0.0</v>
      </c>
      <c r="Y87" s="21"/>
      <c r="Z87" s="21"/>
      <c r="AA87" s="21"/>
      <c r="AB87" s="21"/>
      <c r="AC87" s="21"/>
      <c r="AD87" s="21"/>
      <c r="AE87" s="21"/>
    </row>
    <row r="88" ht="18.0" customHeight="1" outlineLevel="1">
      <c r="A88" s="21"/>
      <c r="B88" s="46" t="s">
        <v>76</v>
      </c>
      <c r="C88" s="47" t="s">
        <v>46</v>
      </c>
      <c r="D88" s="48">
        <v>0.0</v>
      </c>
      <c r="E88" s="48">
        <v>0.0</v>
      </c>
      <c r="F88" s="48">
        <v>0.0</v>
      </c>
      <c r="G88" s="48">
        <v>0.0</v>
      </c>
      <c r="H88" s="48">
        <v>0.0</v>
      </c>
      <c r="I88" s="48">
        <v>0.0</v>
      </c>
      <c r="J88" s="48"/>
      <c r="K88" s="48">
        <v>0.0</v>
      </c>
      <c r="L88" s="48">
        <v>0.0</v>
      </c>
      <c r="M88" s="71"/>
      <c r="N88" s="48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 ht="18.0" customHeight="1" outlineLevel="1">
      <c r="A89" s="21"/>
      <c r="B89" s="46"/>
      <c r="C89" s="49" t="s">
        <v>41</v>
      </c>
      <c r="D89" s="50">
        <v>0.0</v>
      </c>
      <c r="E89" s="50">
        <v>0.0</v>
      </c>
      <c r="F89" s="50">
        <v>0.0</v>
      </c>
      <c r="G89" s="50">
        <v>0.0</v>
      </c>
      <c r="H89" s="50">
        <v>0.0</v>
      </c>
      <c r="I89" s="50">
        <v>0.0</v>
      </c>
      <c r="J89" s="50">
        <v>0.0</v>
      </c>
      <c r="K89" s="50">
        <v>0.0</v>
      </c>
      <c r="L89" s="50">
        <v>0.0</v>
      </c>
      <c r="M89" s="72"/>
      <c r="N89" s="50">
        <v>0.0</v>
      </c>
      <c r="O89" s="21"/>
      <c r="P89" s="21">
        <v>0.0</v>
      </c>
      <c r="Q89" s="21">
        <v>0.0</v>
      </c>
      <c r="R89" s="21">
        <v>0.0</v>
      </c>
      <c r="S89" s="21">
        <v>0.0</v>
      </c>
      <c r="T89" s="21">
        <v>0.0</v>
      </c>
      <c r="U89" s="21">
        <v>0.0</v>
      </c>
      <c r="V89" s="21">
        <v>0.0</v>
      </c>
      <c r="W89" s="21">
        <v>0.0</v>
      </c>
      <c r="X89" s="21">
        <v>0.0</v>
      </c>
      <c r="Y89" s="21"/>
      <c r="Z89" s="21"/>
      <c r="AA89" s="21"/>
      <c r="AB89" s="21"/>
      <c r="AC89" s="21"/>
      <c r="AD89" s="21"/>
      <c r="AE89" s="21"/>
    </row>
    <row r="90" ht="18.0" customHeight="1" outlineLevel="1">
      <c r="A90" s="21"/>
      <c r="B90" s="46" t="s">
        <v>77</v>
      </c>
      <c r="C90" s="47" t="s">
        <v>46</v>
      </c>
      <c r="D90" s="48">
        <v>0.0</v>
      </c>
      <c r="E90" s="48">
        <v>0.0</v>
      </c>
      <c r="F90" s="48">
        <v>0.0</v>
      </c>
      <c r="G90" s="48">
        <v>0.0</v>
      </c>
      <c r="H90" s="48">
        <v>0.0</v>
      </c>
      <c r="I90" s="48">
        <v>0.0</v>
      </c>
      <c r="J90" s="48"/>
      <c r="K90" s="48">
        <v>0.0</v>
      </c>
      <c r="L90" s="48">
        <v>0.0</v>
      </c>
      <c r="M90" s="71"/>
      <c r="N90" s="48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 ht="18.0" customHeight="1" outlineLevel="1">
      <c r="A91" s="21"/>
      <c r="B91" s="46"/>
      <c r="C91" s="49" t="s">
        <v>41</v>
      </c>
      <c r="D91" s="50">
        <v>0.0</v>
      </c>
      <c r="E91" s="50">
        <v>0.0</v>
      </c>
      <c r="F91" s="50">
        <v>200.0</v>
      </c>
      <c r="G91" s="50">
        <v>0.0</v>
      </c>
      <c r="H91" s="50">
        <v>0.0</v>
      </c>
      <c r="I91" s="50">
        <v>0.0</v>
      </c>
      <c r="J91" s="50">
        <v>0.0</v>
      </c>
      <c r="K91" s="50">
        <v>0.0</v>
      </c>
      <c r="L91" s="50">
        <v>200.0</v>
      </c>
      <c r="M91" s="72"/>
      <c r="N91" s="50">
        <v>54923.0</v>
      </c>
      <c r="O91" s="21"/>
      <c r="P91" s="21">
        <v>0.0</v>
      </c>
      <c r="Q91" s="21">
        <v>0.0</v>
      </c>
      <c r="R91" s="21">
        <v>200.0</v>
      </c>
      <c r="S91" s="21">
        <v>0.0</v>
      </c>
      <c r="T91" s="21">
        <v>0.0</v>
      </c>
      <c r="U91" s="21">
        <v>0.0</v>
      </c>
      <c r="V91" s="21">
        <v>0.0</v>
      </c>
      <c r="W91" s="21">
        <v>0.0</v>
      </c>
      <c r="X91" s="21">
        <v>200.0</v>
      </c>
      <c r="Y91" s="21"/>
      <c r="Z91" s="21"/>
      <c r="AA91" s="21"/>
      <c r="AB91" s="21"/>
      <c r="AC91" s="21"/>
      <c r="AD91" s="21"/>
      <c r="AE91" s="21"/>
    </row>
    <row r="92" ht="18.0" customHeight="1" outlineLevel="1">
      <c r="A92" s="21"/>
      <c r="B92" s="46" t="s">
        <v>78</v>
      </c>
      <c r="C92" s="47" t="s">
        <v>46</v>
      </c>
      <c r="D92" s="48">
        <v>0.0</v>
      </c>
      <c r="E92" s="48">
        <v>0.0</v>
      </c>
      <c r="F92" s="48">
        <v>0.0</v>
      </c>
      <c r="G92" s="48">
        <v>0.0</v>
      </c>
      <c r="H92" s="48">
        <v>0.0</v>
      </c>
      <c r="I92" s="48">
        <v>0.0</v>
      </c>
      <c r="J92" s="48"/>
      <c r="K92" s="48">
        <v>0.0</v>
      </c>
      <c r="L92" s="48">
        <v>0.0</v>
      </c>
      <c r="M92" s="71"/>
      <c r="N92" s="48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 ht="18.0" customHeight="1" outlineLevel="1">
      <c r="A93" s="21"/>
      <c r="B93" s="46"/>
      <c r="C93" s="49" t="s">
        <v>41</v>
      </c>
      <c r="D93" s="50">
        <v>0.0</v>
      </c>
      <c r="E93" s="50">
        <v>0.0</v>
      </c>
      <c r="F93" s="50">
        <v>0.0</v>
      </c>
      <c r="G93" s="50">
        <v>0.0</v>
      </c>
      <c r="H93" s="50">
        <v>0.0</v>
      </c>
      <c r="I93" s="50">
        <v>0.0</v>
      </c>
      <c r="J93" s="50">
        <v>0.0</v>
      </c>
      <c r="K93" s="50">
        <v>0.0</v>
      </c>
      <c r="L93" s="50">
        <v>0.0</v>
      </c>
      <c r="M93" s="72"/>
      <c r="N93" s="50">
        <v>0.0</v>
      </c>
      <c r="O93" s="21"/>
      <c r="P93" s="21">
        <v>0.0</v>
      </c>
      <c r="Q93" s="21">
        <v>0.0</v>
      </c>
      <c r="R93" s="21">
        <v>0.0</v>
      </c>
      <c r="S93" s="21">
        <v>0.0</v>
      </c>
      <c r="T93" s="21">
        <v>0.0</v>
      </c>
      <c r="U93" s="21">
        <v>0.0</v>
      </c>
      <c r="V93" s="21">
        <v>0.0</v>
      </c>
      <c r="W93" s="21">
        <v>0.0</v>
      </c>
      <c r="X93" s="21">
        <v>0.0</v>
      </c>
      <c r="Y93" s="21"/>
      <c r="Z93" s="21"/>
      <c r="AA93" s="21"/>
      <c r="AB93" s="21"/>
      <c r="AC93" s="21"/>
      <c r="AD93" s="21"/>
      <c r="AE93" s="21"/>
    </row>
    <row r="94" ht="18.0" customHeight="1" outlineLevel="1">
      <c r="A94" s="21"/>
      <c r="B94" s="46" t="s">
        <v>79</v>
      </c>
      <c r="C94" s="47" t="s">
        <v>46</v>
      </c>
      <c r="D94" s="48">
        <v>0.0</v>
      </c>
      <c r="E94" s="48">
        <v>0.0</v>
      </c>
      <c r="F94" s="48">
        <v>0.0</v>
      </c>
      <c r="G94" s="48">
        <v>0.0</v>
      </c>
      <c r="H94" s="48">
        <v>0.0</v>
      </c>
      <c r="I94" s="48">
        <v>0.0</v>
      </c>
      <c r="J94" s="48"/>
      <c r="K94" s="48">
        <v>0.0</v>
      </c>
      <c r="L94" s="48">
        <v>0.0</v>
      </c>
      <c r="M94" s="71"/>
      <c r="N94" s="48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 ht="18.0" customHeight="1" outlineLevel="1">
      <c r="A95" s="21"/>
      <c r="B95" s="46"/>
      <c r="C95" s="49" t="s">
        <v>41</v>
      </c>
      <c r="D95" s="50">
        <v>0.0</v>
      </c>
      <c r="E95" s="50">
        <v>0.0</v>
      </c>
      <c r="F95" s="50">
        <v>0.0</v>
      </c>
      <c r="G95" s="50">
        <v>0.0</v>
      </c>
      <c r="H95" s="50">
        <v>0.0</v>
      </c>
      <c r="I95" s="50">
        <v>0.0</v>
      </c>
      <c r="J95" s="50">
        <v>0.0</v>
      </c>
      <c r="K95" s="50">
        <v>0.0</v>
      </c>
      <c r="L95" s="50">
        <v>0.0</v>
      </c>
      <c r="M95" s="72"/>
      <c r="N95" s="50">
        <v>14890.0</v>
      </c>
      <c r="O95" s="21"/>
      <c r="P95" s="21">
        <v>0.0</v>
      </c>
      <c r="Q95" s="21">
        <v>0.0</v>
      </c>
      <c r="R95" s="21">
        <v>0.0</v>
      </c>
      <c r="S95" s="21">
        <v>0.0</v>
      </c>
      <c r="T95" s="21">
        <v>0.0</v>
      </c>
      <c r="U95" s="21">
        <v>0.0</v>
      </c>
      <c r="V95" s="21">
        <v>0.0</v>
      </c>
      <c r="W95" s="21">
        <v>0.0</v>
      </c>
      <c r="X95" s="21">
        <v>0.0</v>
      </c>
      <c r="Y95" s="21"/>
      <c r="Z95" s="21"/>
      <c r="AA95" s="21"/>
      <c r="AB95" s="21"/>
      <c r="AC95" s="21"/>
      <c r="AD95" s="21"/>
      <c r="AE95" s="21"/>
    </row>
    <row r="96" ht="18.0" customHeight="1" outlineLevel="1">
      <c r="A96" s="21"/>
      <c r="B96" s="46" t="s">
        <v>80</v>
      </c>
      <c r="C96" s="47" t="s">
        <v>46</v>
      </c>
      <c r="D96" s="48">
        <v>0.0</v>
      </c>
      <c r="E96" s="48">
        <v>0.0</v>
      </c>
      <c r="F96" s="48">
        <v>0.0</v>
      </c>
      <c r="G96" s="48">
        <v>0.0</v>
      </c>
      <c r="H96" s="48">
        <v>0.0</v>
      </c>
      <c r="I96" s="48">
        <v>0.0</v>
      </c>
      <c r="J96" s="48"/>
      <c r="K96" s="48">
        <v>10000.0</v>
      </c>
      <c r="L96" s="48">
        <v>10000.0</v>
      </c>
      <c r="M96" s="71"/>
      <c r="N96" s="48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 ht="18.0" customHeight="1" outlineLevel="1">
      <c r="A97" s="21"/>
      <c r="B97" s="46"/>
      <c r="C97" s="49" t="s">
        <v>41</v>
      </c>
      <c r="D97" s="50">
        <v>2670.0</v>
      </c>
      <c r="E97" s="50">
        <v>14125.0</v>
      </c>
      <c r="F97" s="50">
        <v>0.0</v>
      </c>
      <c r="G97" s="50">
        <v>0.0</v>
      </c>
      <c r="H97" s="50">
        <v>0.0</v>
      </c>
      <c r="I97" s="50">
        <v>0.0</v>
      </c>
      <c r="J97" s="50">
        <v>0.0</v>
      </c>
      <c r="K97" s="50">
        <v>0.0</v>
      </c>
      <c r="L97" s="50">
        <v>16795.0</v>
      </c>
      <c r="M97" s="72"/>
      <c r="N97" s="50">
        <v>0.0</v>
      </c>
      <c r="O97" s="21"/>
      <c r="P97" s="21">
        <v>2670.0</v>
      </c>
      <c r="Q97" s="21">
        <v>14125.0</v>
      </c>
      <c r="R97" s="21">
        <v>0.0</v>
      </c>
      <c r="S97" s="21">
        <v>0.0</v>
      </c>
      <c r="T97" s="21">
        <v>0.0</v>
      </c>
      <c r="U97" s="21">
        <v>0.0</v>
      </c>
      <c r="V97" s="21">
        <v>0.0</v>
      </c>
      <c r="W97" s="21">
        <v>-10000.0</v>
      </c>
      <c r="X97" s="21">
        <v>6795.0</v>
      </c>
      <c r="Y97" s="21"/>
      <c r="Z97" s="21"/>
      <c r="AA97" s="21"/>
      <c r="AB97" s="21"/>
      <c r="AC97" s="21"/>
      <c r="AD97" s="21"/>
      <c r="AE97" s="21"/>
    </row>
    <row r="98" ht="18.0" customHeight="1" outlineLevel="1">
      <c r="A98" s="21"/>
      <c r="B98" s="46" t="s">
        <v>81</v>
      </c>
      <c r="C98" s="47" t="s">
        <v>46</v>
      </c>
      <c r="D98" s="48">
        <v>0.0</v>
      </c>
      <c r="E98" s="48">
        <v>0.0</v>
      </c>
      <c r="F98" s="48">
        <v>0.0</v>
      </c>
      <c r="G98" s="48">
        <v>0.0</v>
      </c>
      <c r="H98" s="48">
        <v>0.0</v>
      </c>
      <c r="I98" s="48">
        <v>0.0</v>
      </c>
      <c r="J98" s="48"/>
      <c r="K98" s="48">
        <v>0.0</v>
      </c>
      <c r="L98" s="48">
        <v>0.0</v>
      </c>
      <c r="M98" s="71"/>
      <c r="N98" s="48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 ht="18.0" customHeight="1" outlineLevel="1">
      <c r="A99" s="21"/>
      <c r="B99" s="46"/>
      <c r="C99" s="49" t="s">
        <v>41</v>
      </c>
      <c r="D99" s="50">
        <v>0.0</v>
      </c>
      <c r="E99" s="50">
        <v>0.0</v>
      </c>
      <c r="F99" s="50">
        <v>0.0</v>
      </c>
      <c r="G99" s="50">
        <v>0.0</v>
      </c>
      <c r="H99" s="50">
        <v>0.0</v>
      </c>
      <c r="I99" s="50">
        <v>0.0</v>
      </c>
      <c r="J99" s="50">
        <v>0.0</v>
      </c>
      <c r="K99" s="50">
        <v>0.0</v>
      </c>
      <c r="L99" s="50">
        <v>0.0</v>
      </c>
      <c r="M99" s="72"/>
      <c r="N99" s="50">
        <v>0.0</v>
      </c>
      <c r="O99" s="21"/>
      <c r="P99" s="21">
        <v>0.0</v>
      </c>
      <c r="Q99" s="21">
        <v>0.0</v>
      </c>
      <c r="R99" s="21">
        <v>0.0</v>
      </c>
      <c r="S99" s="21">
        <v>0.0</v>
      </c>
      <c r="T99" s="21">
        <v>0.0</v>
      </c>
      <c r="U99" s="21">
        <v>0.0</v>
      </c>
      <c r="V99" s="21">
        <v>0.0</v>
      </c>
      <c r="W99" s="21">
        <v>0.0</v>
      </c>
      <c r="X99" s="21">
        <v>0.0</v>
      </c>
      <c r="Y99" s="21"/>
      <c r="Z99" s="21"/>
      <c r="AA99" s="21"/>
      <c r="AB99" s="21"/>
      <c r="AC99" s="21"/>
      <c r="AD99" s="21"/>
      <c r="AE99" s="21"/>
    </row>
    <row r="100" ht="18.0" customHeight="1">
      <c r="A100" s="21"/>
      <c r="B100" s="21" t="s">
        <v>30</v>
      </c>
      <c r="C100" s="4" t="s">
        <v>46</v>
      </c>
      <c r="D100" s="24">
        <v>1354466.0</v>
      </c>
      <c r="E100" s="24">
        <v>1972839.0</v>
      </c>
      <c r="F100" s="24">
        <v>7388206.0</v>
      </c>
      <c r="G100" s="24">
        <v>450809.0</v>
      </c>
      <c r="H100" s="24">
        <v>1135033.0</v>
      </c>
      <c r="I100" s="24">
        <v>840739.0</v>
      </c>
      <c r="J100" s="24">
        <v>0.0</v>
      </c>
      <c r="K100" s="24">
        <v>299500.0</v>
      </c>
      <c r="L100" s="24">
        <v>1.3441592E7</v>
      </c>
      <c r="M100" s="71"/>
      <c r="N100" s="24">
        <v>0.0</v>
      </c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 ht="18.0" customHeight="1">
      <c r="A101" s="21"/>
      <c r="B101" s="21"/>
      <c r="C101" s="38" t="s">
        <v>41</v>
      </c>
      <c r="D101" s="39">
        <v>1038832.0</v>
      </c>
      <c r="E101" s="39">
        <v>2072942.0</v>
      </c>
      <c r="F101" s="39">
        <v>7299468.0</v>
      </c>
      <c r="G101" s="39">
        <v>504168.0</v>
      </c>
      <c r="H101" s="39">
        <v>1003335.0</v>
      </c>
      <c r="I101" s="39">
        <v>859802.0</v>
      </c>
      <c r="J101" s="39">
        <v>0.0</v>
      </c>
      <c r="K101" s="39">
        <v>235843.0</v>
      </c>
      <c r="L101" s="39">
        <v>1.301439E7</v>
      </c>
      <c r="M101" s="72"/>
      <c r="N101" s="39">
        <v>1957885.0</v>
      </c>
      <c r="O101" s="21"/>
      <c r="P101" s="21">
        <v>-315634.0</v>
      </c>
      <c r="Q101" s="21">
        <v>100103.0</v>
      </c>
      <c r="R101" s="21">
        <v>-88738.0</v>
      </c>
      <c r="S101" s="21">
        <v>53359.0</v>
      </c>
      <c r="T101" s="21">
        <v>-131698.0</v>
      </c>
      <c r="U101" s="21">
        <v>19063.0</v>
      </c>
      <c r="V101" s="21">
        <v>0.0</v>
      </c>
      <c r="W101" s="21">
        <v>-63657.0</v>
      </c>
      <c r="X101" s="21">
        <v>-427202.0</v>
      </c>
      <c r="Y101" s="21"/>
      <c r="Z101" s="21"/>
      <c r="AA101" s="21"/>
      <c r="AB101" s="21"/>
      <c r="AC101" s="21"/>
      <c r="AD101" s="21"/>
      <c r="AE101" s="21"/>
    </row>
    <row r="102" ht="18.0" customHeight="1" outlineLevel="1">
      <c r="A102" s="21"/>
      <c r="B102" s="51" t="s">
        <v>35</v>
      </c>
      <c r="C102" s="52" t="s">
        <v>46</v>
      </c>
      <c r="D102" s="53">
        <v>466129.0</v>
      </c>
      <c r="E102" s="53">
        <v>1087635.0</v>
      </c>
      <c r="F102" s="53">
        <v>5540318.0</v>
      </c>
      <c r="G102" s="53">
        <v>267605.0</v>
      </c>
      <c r="H102" s="53">
        <v>804606.0</v>
      </c>
      <c r="I102" s="53">
        <v>679275.0</v>
      </c>
      <c r="J102" s="53"/>
      <c r="K102" s="53">
        <v>0.0</v>
      </c>
      <c r="L102" s="53">
        <v>8845568.0</v>
      </c>
      <c r="M102" s="71"/>
      <c r="N102" s="53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 ht="18.0" customHeight="1" outlineLevel="1">
      <c r="A103" s="21"/>
      <c r="B103" s="51"/>
      <c r="C103" s="54" t="s">
        <v>41</v>
      </c>
      <c r="D103" s="55">
        <v>466129.0</v>
      </c>
      <c r="E103" s="55">
        <v>1087635.0</v>
      </c>
      <c r="F103" s="55">
        <v>5540316.0</v>
      </c>
      <c r="G103" s="55">
        <v>267608.0</v>
      </c>
      <c r="H103" s="55">
        <v>804607.0</v>
      </c>
      <c r="I103" s="55">
        <v>679279.0</v>
      </c>
      <c r="J103" s="55">
        <v>0.0</v>
      </c>
      <c r="K103" s="55">
        <v>0.0</v>
      </c>
      <c r="L103" s="55">
        <v>8845574.0</v>
      </c>
      <c r="M103" s="72"/>
      <c r="N103" s="55">
        <v>1597393.0</v>
      </c>
      <c r="O103" s="21"/>
      <c r="P103" s="21">
        <v>0.0</v>
      </c>
      <c r="Q103" s="21">
        <v>0.0</v>
      </c>
      <c r="R103" s="21">
        <v>-2.0</v>
      </c>
      <c r="S103" s="21">
        <v>3.0</v>
      </c>
      <c r="T103" s="21">
        <v>1.0</v>
      </c>
      <c r="U103" s="21">
        <v>4.0</v>
      </c>
      <c r="V103" s="21">
        <v>0.0</v>
      </c>
      <c r="W103" s="21">
        <v>0.0</v>
      </c>
      <c r="X103" s="21">
        <v>6.0</v>
      </c>
      <c r="Y103" s="21"/>
      <c r="Z103" s="21"/>
      <c r="AA103" s="21"/>
      <c r="AB103" s="21"/>
      <c r="AC103" s="21"/>
      <c r="AD103" s="21"/>
      <c r="AE103" s="21"/>
    </row>
    <row r="104" ht="18.0" customHeight="1" outlineLevel="1">
      <c r="A104" s="21"/>
      <c r="B104" s="51" t="s">
        <v>82</v>
      </c>
      <c r="C104" s="52" t="s">
        <v>46</v>
      </c>
      <c r="D104" s="53">
        <v>0.0</v>
      </c>
      <c r="E104" s="53">
        <v>0.0</v>
      </c>
      <c r="F104" s="53">
        <v>0.0</v>
      </c>
      <c r="G104" s="53">
        <v>0.0</v>
      </c>
      <c r="H104" s="53">
        <v>0.0</v>
      </c>
      <c r="I104" s="53">
        <v>0.0</v>
      </c>
      <c r="J104" s="53"/>
      <c r="K104" s="53">
        <v>0.0</v>
      </c>
      <c r="L104" s="53">
        <v>0.0</v>
      </c>
      <c r="M104" s="71"/>
      <c r="N104" s="53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 ht="18.0" customHeight="1" outlineLevel="1">
      <c r="A105" s="21"/>
      <c r="B105" s="51"/>
      <c r="C105" s="54" t="s">
        <v>41</v>
      </c>
      <c r="D105" s="55">
        <v>0.0</v>
      </c>
      <c r="E105" s="55">
        <v>0.0</v>
      </c>
      <c r="F105" s="55">
        <v>0.0</v>
      </c>
      <c r="G105" s="55">
        <v>0.0</v>
      </c>
      <c r="H105" s="55">
        <v>0.0</v>
      </c>
      <c r="I105" s="55">
        <v>0.0</v>
      </c>
      <c r="J105" s="55">
        <v>0.0</v>
      </c>
      <c r="K105" s="55">
        <v>0.0</v>
      </c>
      <c r="L105" s="55">
        <v>0.0</v>
      </c>
      <c r="M105" s="72"/>
      <c r="N105" s="55">
        <v>30000.0</v>
      </c>
      <c r="O105" s="21"/>
      <c r="P105" s="21">
        <v>0.0</v>
      </c>
      <c r="Q105" s="21">
        <v>0.0</v>
      </c>
      <c r="R105" s="21">
        <v>0.0</v>
      </c>
      <c r="S105" s="21">
        <v>0.0</v>
      </c>
      <c r="T105" s="21">
        <v>0.0</v>
      </c>
      <c r="U105" s="21">
        <v>0.0</v>
      </c>
      <c r="V105" s="21">
        <v>0.0</v>
      </c>
      <c r="W105" s="21">
        <v>0.0</v>
      </c>
      <c r="X105" s="21">
        <v>0.0</v>
      </c>
      <c r="Y105" s="21"/>
      <c r="Z105" s="21"/>
      <c r="AA105" s="21"/>
      <c r="AB105" s="21"/>
      <c r="AC105" s="21"/>
      <c r="AD105" s="21"/>
      <c r="AE105" s="21"/>
    </row>
    <row r="106" ht="18.0" customHeight="1" outlineLevel="1">
      <c r="A106" s="21"/>
      <c r="B106" s="51" t="s">
        <v>83</v>
      </c>
      <c r="C106" s="52" t="s">
        <v>46</v>
      </c>
      <c r="D106" s="53">
        <v>132309.0</v>
      </c>
      <c r="E106" s="53">
        <v>78978.0</v>
      </c>
      <c r="F106" s="53">
        <v>676382.0</v>
      </c>
      <c r="G106" s="53">
        <v>55504.0</v>
      </c>
      <c r="H106" s="53">
        <v>203372.0</v>
      </c>
      <c r="I106" s="53">
        <v>1064.0</v>
      </c>
      <c r="J106" s="53"/>
      <c r="K106" s="53">
        <v>100000.0</v>
      </c>
      <c r="L106" s="53">
        <v>1247609.0</v>
      </c>
      <c r="M106" s="71"/>
      <c r="N106" s="53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 ht="18.0" customHeight="1" outlineLevel="1">
      <c r="A107" s="21"/>
      <c r="B107" s="51"/>
      <c r="C107" s="54" t="s">
        <v>41</v>
      </c>
      <c r="D107" s="55">
        <v>125975.0</v>
      </c>
      <c r="E107" s="55">
        <v>57016.0</v>
      </c>
      <c r="F107" s="55">
        <v>602899.0</v>
      </c>
      <c r="G107" s="55">
        <v>30860.0</v>
      </c>
      <c r="H107" s="55">
        <v>47753.0</v>
      </c>
      <c r="I107" s="55">
        <v>1063.0</v>
      </c>
      <c r="J107" s="55">
        <v>0.0</v>
      </c>
      <c r="K107" s="55">
        <v>50028.0</v>
      </c>
      <c r="L107" s="55">
        <v>915594.0</v>
      </c>
      <c r="M107" s="72"/>
      <c r="N107" s="55">
        <v>88860.0</v>
      </c>
      <c r="O107" s="21"/>
      <c r="P107" s="21">
        <v>-6334.0</v>
      </c>
      <c r="Q107" s="21">
        <v>-21962.0</v>
      </c>
      <c r="R107" s="21">
        <v>-73483.0</v>
      </c>
      <c r="S107" s="21">
        <v>-24644.0</v>
      </c>
      <c r="T107" s="21">
        <v>-155619.0</v>
      </c>
      <c r="U107" s="21">
        <v>-1.0</v>
      </c>
      <c r="V107" s="21">
        <v>0.0</v>
      </c>
      <c r="W107" s="21">
        <v>-49972.0</v>
      </c>
      <c r="X107" s="21">
        <v>-332015.0</v>
      </c>
      <c r="Y107" s="21"/>
      <c r="Z107" s="21"/>
      <c r="AA107" s="21"/>
      <c r="AB107" s="21"/>
      <c r="AC107" s="21"/>
      <c r="AD107" s="21"/>
      <c r="AE107" s="21"/>
    </row>
    <row r="108" ht="18.0" customHeight="1" outlineLevel="1">
      <c r="A108" s="21"/>
      <c r="B108" s="51" t="s">
        <v>84</v>
      </c>
      <c r="C108" s="52" t="s">
        <v>46</v>
      </c>
      <c r="D108" s="53">
        <v>132352.0</v>
      </c>
      <c r="E108" s="53">
        <v>160300.0</v>
      </c>
      <c r="F108" s="53">
        <v>384609.0</v>
      </c>
      <c r="G108" s="53">
        <v>89800.0</v>
      </c>
      <c r="H108" s="53">
        <v>89800.0</v>
      </c>
      <c r="I108" s="53">
        <v>97800.0</v>
      </c>
      <c r="J108" s="53"/>
      <c r="K108" s="53">
        <v>149500.0</v>
      </c>
      <c r="L108" s="53">
        <v>1104161.0</v>
      </c>
      <c r="M108" s="71"/>
      <c r="N108" s="53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 ht="18.0" customHeight="1" outlineLevel="1">
      <c r="A109" s="21"/>
      <c r="B109" s="51"/>
      <c r="C109" s="54" t="s">
        <v>41</v>
      </c>
      <c r="D109" s="55">
        <v>128447.0</v>
      </c>
      <c r="E109" s="55">
        <v>156840.0</v>
      </c>
      <c r="F109" s="55">
        <v>366356.0</v>
      </c>
      <c r="G109" s="55">
        <v>88640.0</v>
      </c>
      <c r="H109" s="55">
        <v>86640.0</v>
      </c>
      <c r="I109" s="55">
        <v>64040.0</v>
      </c>
      <c r="J109" s="55">
        <v>0.0</v>
      </c>
      <c r="K109" s="55">
        <v>185815.0</v>
      </c>
      <c r="L109" s="55">
        <v>1076778.0</v>
      </c>
      <c r="M109" s="72"/>
      <c r="N109" s="55">
        <v>166086.0</v>
      </c>
      <c r="O109" s="21"/>
      <c r="P109" s="21">
        <v>-3905.0</v>
      </c>
      <c r="Q109" s="21">
        <v>-3460.0</v>
      </c>
      <c r="R109" s="21">
        <v>-18253.0</v>
      </c>
      <c r="S109" s="21">
        <v>-1160.0</v>
      </c>
      <c r="T109" s="21">
        <v>-3160.0</v>
      </c>
      <c r="U109" s="21">
        <v>-33760.0</v>
      </c>
      <c r="V109" s="21">
        <v>0.0</v>
      </c>
      <c r="W109" s="21">
        <v>36315.0</v>
      </c>
      <c r="X109" s="21">
        <v>-27383.0</v>
      </c>
      <c r="Y109" s="21"/>
      <c r="Z109" s="21"/>
      <c r="AA109" s="21"/>
      <c r="AB109" s="21"/>
      <c r="AC109" s="21"/>
      <c r="AD109" s="21"/>
      <c r="AE109" s="21"/>
    </row>
    <row r="110" ht="18.0" customHeight="1" outlineLevel="1">
      <c r="A110" s="21"/>
      <c r="B110" s="51" t="s">
        <v>85</v>
      </c>
      <c r="C110" s="52" t="s">
        <v>46</v>
      </c>
      <c r="D110" s="53">
        <v>623676.0</v>
      </c>
      <c r="E110" s="53">
        <v>645926.0</v>
      </c>
      <c r="F110" s="53">
        <v>786897.0</v>
      </c>
      <c r="G110" s="53">
        <v>37900.0</v>
      </c>
      <c r="H110" s="53">
        <v>37255.0</v>
      </c>
      <c r="I110" s="53">
        <v>62600.0</v>
      </c>
      <c r="J110" s="53"/>
      <c r="K110" s="53">
        <v>50000.0</v>
      </c>
      <c r="L110" s="53">
        <v>2244254.0</v>
      </c>
      <c r="M110" s="71"/>
      <c r="N110" s="53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 ht="18.0" customHeight="1" outlineLevel="1">
      <c r="A111" s="21"/>
      <c r="B111" s="51"/>
      <c r="C111" s="54" t="s">
        <v>41</v>
      </c>
      <c r="D111" s="55">
        <v>310281.0</v>
      </c>
      <c r="E111" s="55">
        <v>763451.0</v>
      </c>
      <c r="F111" s="55">
        <v>789897.0</v>
      </c>
      <c r="G111" s="55">
        <v>117060.0</v>
      </c>
      <c r="H111" s="55">
        <v>64335.0</v>
      </c>
      <c r="I111" s="55">
        <v>115420.0</v>
      </c>
      <c r="J111" s="55">
        <v>0.0</v>
      </c>
      <c r="K111" s="55">
        <v>0.0</v>
      </c>
      <c r="L111" s="55">
        <v>2160444.0</v>
      </c>
      <c r="M111" s="72"/>
      <c r="N111" s="55">
        <v>0.0</v>
      </c>
      <c r="O111" s="21"/>
      <c r="P111" s="21">
        <v>-313395.0</v>
      </c>
      <c r="Q111" s="21">
        <v>117525.0</v>
      </c>
      <c r="R111" s="21">
        <v>3000.0</v>
      </c>
      <c r="S111" s="21">
        <v>79160.0</v>
      </c>
      <c r="T111" s="21">
        <v>27080.0</v>
      </c>
      <c r="U111" s="21">
        <v>52820.0</v>
      </c>
      <c r="V111" s="21">
        <v>0.0</v>
      </c>
      <c r="W111" s="21">
        <v>-50000.0</v>
      </c>
      <c r="X111" s="21">
        <v>-83810.0</v>
      </c>
      <c r="Y111" s="21"/>
      <c r="Z111" s="21"/>
      <c r="AA111" s="21"/>
      <c r="AB111" s="21"/>
      <c r="AC111" s="21"/>
      <c r="AD111" s="21"/>
      <c r="AE111" s="21"/>
    </row>
    <row r="112" ht="18.0" customHeight="1" outlineLevel="1">
      <c r="A112" s="21"/>
      <c r="B112" s="51" t="s">
        <v>86</v>
      </c>
      <c r="C112" s="52" t="s">
        <v>46</v>
      </c>
      <c r="D112" s="53">
        <v>0.0</v>
      </c>
      <c r="E112" s="53">
        <v>0.0</v>
      </c>
      <c r="F112" s="53">
        <v>0.0</v>
      </c>
      <c r="G112" s="53">
        <v>0.0</v>
      </c>
      <c r="H112" s="53">
        <v>0.0</v>
      </c>
      <c r="I112" s="53">
        <v>0.0</v>
      </c>
      <c r="J112" s="53"/>
      <c r="K112" s="53">
        <v>0.0</v>
      </c>
      <c r="L112" s="53">
        <v>0.0</v>
      </c>
      <c r="M112" s="71"/>
      <c r="N112" s="53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 ht="18.0" customHeight="1" outlineLevel="1">
      <c r="A113" s="21"/>
      <c r="B113" s="51"/>
      <c r="C113" s="54" t="s">
        <v>41</v>
      </c>
      <c r="D113" s="55">
        <v>8000.0</v>
      </c>
      <c r="E113" s="55">
        <v>8000.0</v>
      </c>
      <c r="F113" s="55">
        <v>0.0</v>
      </c>
      <c r="G113" s="55">
        <v>0.0</v>
      </c>
      <c r="H113" s="55">
        <v>0.0</v>
      </c>
      <c r="I113" s="55">
        <v>0.0</v>
      </c>
      <c r="J113" s="55">
        <v>0.0</v>
      </c>
      <c r="K113" s="55">
        <v>0.0</v>
      </c>
      <c r="L113" s="55">
        <v>16000.0</v>
      </c>
      <c r="M113" s="72"/>
      <c r="N113" s="55">
        <v>75546.0</v>
      </c>
      <c r="O113" s="21"/>
      <c r="P113" s="21">
        <v>8000.0</v>
      </c>
      <c r="Q113" s="21">
        <v>8000.0</v>
      </c>
      <c r="R113" s="21">
        <v>0.0</v>
      </c>
      <c r="S113" s="21">
        <v>0.0</v>
      </c>
      <c r="T113" s="21">
        <v>0.0</v>
      </c>
      <c r="U113" s="21">
        <v>0.0</v>
      </c>
      <c r="V113" s="21">
        <v>0.0</v>
      </c>
      <c r="W113" s="21">
        <v>0.0</v>
      </c>
      <c r="X113" s="21">
        <v>16000.0</v>
      </c>
      <c r="Y113" s="21"/>
      <c r="Z113" s="21"/>
      <c r="AA113" s="21"/>
      <c r="AB113" s="21"/>
      <c r="AC113" s="21"/>
      <c r="AD113" s="21"/>
      <c r="AE113" s="21"/>
    </row>
    <row r="114" ht="18.0" customHeight="1">
      <c r="A114" s="21"/>
      <c r="B114" s="21" t="s">
        <v>31</v>
      </c>
      <c r="C114" s="21" t="s">
        <v>46</v>
      </c>
      <c r="D114" s="24">
        <v>1220883.0</v>
      </c>
      <c r="E114" s="24">
        <v>1239845.0</v>
      </c>
      <c r="F114" s="24">
        <v>4482035.0</v>
      </c>
      <c r="G114" s="24">
        <v>650138.0</v>
      </c>
      <c r="H114" s="24">
        <v>678569.0</v>
      </c>
      <c r="I114" s="24">
        <v>494816.0</v>
      </c>
      <c r="J114" s="24"/>
      <c r="K114" s="24">
        <v>973005.0</v>
      </c>
      <c r="L114" s="24">
        <v>9739291.0</v>
      </c>
      <c r="M114" s="71"/>
      <c r="N114" s="24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 ht="18.0" customHeight="1">
      <c r="A115" s="21"/>
      <c r="B115" s="21"/>
      <c r="C115" s="30" t="s">
        <v>41</v>
      </c>
      <c r="D115" s="39">
        <v>1372326.0</v>
      </c>
      <c r="E115" s="39">
        <v>1393640.0</v>
      </c>
      <c r="F115" s="39">
        <v>5037999.0</v>
      </c>
      <c r="G115" s="39">
        <v>730784.0</v>
      </c>
      <c r="H115" s="39">
        <v>762741.0</v>
      </c>
      <c r="I115" s="39">
        <v>556195.0</v>
      </c>
      <c r="J115" s="39">
        <v>0.0</v>
      </c>
      <c r="K115" s="39">
        <v>1093700.0</v>
      </c>
      <c r="L115" s="39">
        <v>1.0947385E7</v>
      </c>
      <c r="M115" s="72"/>
      <c r="N115" s="39">
        <v>0.0</v>
      </c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 ht="18.0" customHeight="1">
      <c r="A116" s="21"/>
      <c r="B116" s="22" t="s">
        <v>32</v>
      </c>
      <c r="C116" s="35" t="s">
        <v>46</v>
      </c>
      <c r="D116" s="37">
        <v>1.272055025E7</v>
      </c>
      <c r="E116" s="37">
        <v>1.2704764E7</v>
      </c>
      <c r="F116" s="37">
        <v>3.516323096E7</v>
      </c>
      <c r="G116" s="37">
        <v>6102604.0</v>
      </c>
      <c r="H116" s="37">
        <v>7037186.71</v>
      </c>
      <c r="I116" s="37">
        <v>5079383.4812</v>
      </c>
      <c r="J116" s="37">
        <v>0.0</v>
      </c>
      <c r="K116" s="37">
        <v>7678680.26</v>
      </c>
      <c r="L116" s="37">
        <v>8.64863996612E7</v>
      </c>
      <c r="M116" s="69"/>
      <c r="N116" s="37">
        <v>0.0</v>
      </c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 ht="18.0" customHeight="1">
      <c r="A117" s="21"/>
      <c r="B117" s="22"/>
      <c r="C117" s="15" t="s">
        <v>41</v>
      </c>
      <c r="D117" s="23">
        <v>1.2241486E7</v>
      </c>
      <c r="E117" s="23">
        <v>1.282199E7</v>
      </c>
      <c r="F117" s="23">
        <v>3.4096705E7</v>
      </c>
      <c r="G117" s="23">
        <v>5890214.0</v>
      </c>
      <c r="H117" s="23">
        <v>7184572.0</v>
      </c>
      <c r="I117" s="23">
        <v>4559001.0</v>
      </c>
      <c r="J117" s="23">
        <v>0.0</v>
      </c>
      <c r="K117" s="23">
        <v>7958009.0</v>
      </c>
      <c r="L117" s="23">
        <v>8.4751977E7</v>
      </c>
      <c r="M117" s="70"/>
      <c r="N117" s="23">
        <v>1.0947385E7</v>
      </c>
      <c r="O117" s="21"/>
      <c r="P117" s="21">
        <v>-479064.25</v>
      </c>
      <c r="Q117" s="21">
        <v>117226.0</v>
      </c>
      <c r="R117" s="21">
        <v>-1066525.960000001</v>
      </c>
      <c r="S117" s="21">
        <v>-212390.0</v>
      </c>
      <c r="T117" s="21">
        <v>147385.29000000004</v>
      </c>
      <c r="U117" s="21">
        <v>-520382.4812000003</v>
      </c>
      <c r="V117" s="21">
        <v>0.0</v>
      </c>
      <c r="W117" s="21">
        <v>279328.7400000002</v>
      </c>
      <c r="X117" s="21">
        <v>-1734422.6612000018</v>
      </c>
      <c r="Y117" s="21"/>
      <c r="Z117" s="21"/>
      <c r="AA117" s="21"/>
      <c r="AB117" s="21"/>
      <c r="AC117" s="21"/>
      <c r="AD117" s="21"/>
      <c r="AE117" s="21"/>
    </row>
    <row r="118" ht="18.0" customHeight="1">
      <c r="A118" s="21"/>
      <c r="B118" s="25" t="s">
        <v>33</v>
      </c>
      <c r="C118" s="57" t="s">
        <v>46</v>
      </c>
      <c r="D118" s="58">
        <v>-568705.0500000007</v>
      </c>
      <c r="E118" s="58">
        <v>1623743.8000000007</v>
      </c>
      <c r="F118" s="58">
        <v>8360427.332688995</v>
      </c>
      <c r="G118" s="58">
        <v>-941900.0</v>
      </c>
      <c r="H118" s="58">
        <v>1239089.8399999999</v>
      </c>
      <c r="I118" s="58">
        <v>487012.5187999997</v>
      </c>
      <c r="J118" s="58">
        <v>0.0</v>
      </c>
      <c r="K118" s="58">
        <v>2249352.1171199996</v>
      </c>
      <c r="L118" s="58">
        <v>1.2449020558608994E7</v>
      </c>
      <c r="M118" s="69"/>
      <c r="N118" s="58">
        <v>0.0</v>
      </c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 ht="18.0" customHeight="1">
      <c r="A119" s="21"/>
      <c r="B119" s="25"/>
      <c r="C119" s="59" t="s">
        <v>41</v>
      </c>
      <c r="D119" s="26">
        <v>173789.0</v>
      </c>
      <c r="E119" s="26">
        <v>2078044.0</v>
      </c>
      <c r="F119" s="26">
        <v>1.0693329E7</v>
      </c>
      <c r="G119" s="26">
        <v>-378845.0</v>
      </c>
      <c r="H119" s="26">
        <v>1137049.0</v>
      </c>
      <c r="I119" s="26">
        <v>961104.0</v>
      </c>
      <c r="J119" s="26">
        <v>0.0</v>
      </c>
      <c r="K119" s="26">
        <v>2072081.0</v>
      </c>
      <c r="L119" s="26">
        <v>1.6736551E7</v>
      </c>
      <c r="M119" s="70"/>
      <c r="N119" s="26">
        <v>-1.0947385E7</v>
      </c>
      <c r="O119" s="21"/>
      <c r="P119" s="21">
        <v>742494.0500000007</v>
      </c>
      <c r="Q119" s="21">
        <v>454300.19999999925</v>
      </c>
      <c r="R119" s="21">
        <v>2332901.6673110053</v>
      </c>
      <c r="S119" s="21">
        <v>563055.0</v>
      </c>
      <c r="T119" s="21">
        <v>-102040.83999999985</v>
      </c>
      <c r="U119" s="21">
        <v>474091.4812000003</v>
      </c>
      <c r="V119" s="21">
        <v>0.0</v>
      </c>
      <c r="W119" s="21">
        <v>-177271.1171199996</v>
      </c>
      <c r="X119" s="21">
        <v>4287530.441391006</v>
      </c>
      <c r="Y119" s="21"/>
      <c r="Z119" s="21"/>
      <c r="AA119" s="21"/>
      <c r="AB119" s="21"/>
      <c r="AC119" s="21"/>
      <c r="AD119" s="21"/>
      <c r="AE119" s="21"/>
    </row>
    <row r="120" ht="18.0" customHeight="1">
      <c r="A120" s="27"/>
      <c r="B120" s="28" t="s">
        <v>34</v>
      </c>
      <c r="C120" s="28"/>
      <c r="D120" s="29">
        <v>0.01183766684299413</v>
      </c>
      <c r="E120" s="29">
        <v>0.12209209003366568</v>
      </c>
      <c r="F120" s="29">
        <v>0.1940394610009831</v>
      </c>
      <c r="G120" s="29">
        <v>-0.059263239568374586</v>
      </c>
      <c r="H120" s="29">
        <v>0.12168952144259974</v>
      </c>
      <c r="I120" s="29">
        <v>0.17410973160836615</v>
      </c>
      <c r="J120" s="29" t="e">
        <v>#DIV/0!</v>
      </c>
      <c r="K120" s="29">
        <v>0.1962256078234137</v>
      </c>
      <c r="L120" s="29">
        <v>0.1410860041104108</v>
      </c>
      <c r="M120" s="73"/>
      <c r="N120" s="29" t="e">
        <v>#DIV/0!</v>
      </c>
      <c r="O120" s="27"/>
      <c r="P120" s="27"/>
      <c r="Q120" s="60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8.0" customHeight="1">
      <c r="A122" s="4"/>
      <c r="B122" s="25" t="s">
        <v>90</v>
      </c>
      <c r="C122" s="25"/>
      <c r="D122" s="26">
        <v>1432247.0</v>
      </c>
      <c r="E122" s="26">
        <v>2453726.0</v>
      </c>
      <c r="F122" s="26">
        <v>8805596.0</v>
      </c>
      <c r="G122" s="26">
        <v>-135283.0</v>
      </c>
      <c r="H122" s="26">
        <v>1814675.0</v>
      </c>
      <c r="I122" s="26">
        <v>435550.0</v>
      </c>
      <c r="J122" s="26">
        <v>0.0</v>
      </c>
      <c r="K122" s="26">
        <v>3981787.0</v>
      </c>
      <c r="L122" s="26">
        <v>1.8788298E7</v>
      </c>
      <c r="M122" s="70"/>
      <c r="N122" s="26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8.0" customHeight="1">
      <c r="A123" s="4"/>
      <c r="B123" s="25" t="s">
        <v>88</v>
      </c>
      <c r="C123" s="25"/>
      <c r="D123" s="26">
        <v>-1258458.0</v>
      </c>
      <c r="E123" s="26">
        <v>-375682.0</v>
      </c>
      <c r="F123" s="26">
        <v>1887733.0</v>
      </c>
      <c r="G123" s="26">
        <v>-243562.0</v>
      </c>
      <c r="H123" s="26">
        <v>-677626.0</v>
      </c>
      <c r="I123" s="26">
        <v>525554.0</v>
      </c>
      <c r="J123" s="26">
        <v>0.0</v>
      </c>
      <c r="K123" s="26">
        <v>-1909706.0</v>
      </c>
      <c r="L123" s="26">
        <v>-2051747.0</v>
      </c>
      <c r="M123" s="70"/>
      <c r="N123" s="26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8.0" customHeight="1">
      <c r="A124" s="4"/>
      <c r="B124" s="4"/>
      <c r="C124" s="4"/>
      <c r="D124" s="61">
        <v>0.12535645561879197</v>
      </c>
      <c r="E124" s="61">
        <v>0.12730341459147282</v>
      </c>
      <c r="F124" s="61">
        <v>0.46020136373376663</v>
      </c>
      <c r="G124" s="61">
        <v>0.06675414052213863</v>
      </c>
      <c r="H124" s="61">
        <v>0.0696733468586163</v>
      </c>
      <c r="I124" s="61">
        <v>0.05080616237876043</v>
      </c>
      <c r="J124" s="61">
        <v>0.0</v>
      </c>
      <c r="K124" s="61">
        <v>0.0999051162964532</v>
      </c>
      <c r="L124" s="61">
        <v>1.0</v>
      </c>
      <c r="M124" s="6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8.0" hidden="1" customHeight="1" outlineLevel="1">
      <c r="A126" s="4"/>
      <c r="B126" s="4"/>
      <c r="C126" s="4" t="s">
        <v>40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8.0" hidden="1" customHeight="1" outlineLevel="1">
      <c r="A127" s="74"/>
      <c r="B127" s="74" t="s">
        <v>91</v>
      </c>
      <c r="C127" s="74" t="s">
        <v>41</v>
      </c>
      <c r="D127" s="62">
        <v>0.0</v>
      </c>
      <c r="E127" s="62">
        <v>0.0</v>
      </c>
      <c r="F127" s="62">
        <v>0.0</v>
      </c>
      <c r="G127" s="62">
        <v>0.0</v>
      </c>
      <c r="H127" s="62">
        <v>0.0</v>
      </c>
      <c r="I127" s="62">
        <v>0.0</v>
      </c>
      <c r="J127" s="62">
        <v>0.0</v>
      </c>
      <c r="K127" s="62">
        <v>0.0</v>
      </c>
      <c r="L127" s="62">
        <v>0.0</v>
      </c>
      <c r="M127" s="62"/>
      <c r="N127" s="62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</row>
    <row r="128" ht="18.0" hidden="1" customHeight="1" outlineLevel="1">
      <c r="A128" s="74"/>
      <c r="B128" s="74"/>
      <c r="C128" s="74" t="s">
        <v>92</v>
      </c>
      <c r="D128" s="62">
        <v>0.0</v>
      </c>
      <c r="E128" s="62">
        <v>0.0</v>
      </c>
      <c r="F128" s="62">
        <v>0.0</v>
      </c>
      <c r="G128" s="62">
        <v>0.0</v>
      </c>
      <c r="H128" s="62">
        <v>0.0</v>
      </c>
      <c r="I128" s="62">
        <v>0.0</v>
      </c>
      <c r="J128" s="62">
        <v>0.0</v>
      </c>
      <c r="K128" s="62">
        <v>0.0</v>
      </c>
      <c r="L128" s="62">
        <v>0.0</v>
      </c>
      <c r="M128" s="62"/>
      <c r="N128" s="62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</row>
    <row r="129" ht="18.0" hidden="1" customHeight="1" outlineLevel="1">
      <c r="A129" s="74"/>
      <c r="B129" s="74"/>
      <c r="C129" s="75" t="s">
        <v>93</v>
      </c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</row>
    <row r="130" ht="18.0" hidden="1" customHeight="1" outlineLevel="1">
      <c r="A130" s="4"/>
      <c r="B130" s="4"/>
      <c r="C130" s="75" t="s">
        <v>94</v>
      </c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8.0" hidden="1" customHeight="1" outlineLevel="1">
      <c r="A131" s="4"/>
      <c r="B131" s="4"/>
      <c r="C131" s="74" t="s">
        <v>95</v>
      </c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8.0" customHeight="1" collapsed="1">
      <c r="A132" s="4"/>
      <c r="B132" s="4"/>
      <c r="C132" s="4"/>
      <c r="D132" s="4"/>
      <c r="E132" s="4"/>
      <c r="F132" s="4" t="s">
        <v>89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5.75" customHeight="1">
      <c r="M328" s="76"/>
    </row>
    <row r="329" ht="15.75" customHeight="1">
      <c r="M329" s="76"/>
    </row>
    <row r="330" ht="15.75" customHeight="1">
      <c r="M330" s="76"/>
    </row>
    <row r="331" ht="15.75" customHeight="1">
      <c r="M331" s="76"/>
    </row>
    <row r="332" ht="15.75" customHeight="1">
      <c r="M332" s="76"/>
    </row>
    <row r="333" ht="15.75" customHeight="1">
      <c r="M333" s="76"/>
    </row>
    <row r="334" ht="15.75" customHeight="1">
      <c r="M334" s="76"/>
    </row>
    <row r="335" ht="15.75" customHeight="1">
      <c r="M335" s="76"/>
    </row>
    <row r="336" ht="15.75" customHeight="1">
      <c r="M336" s="76"/>
    </row>
    <row r="337" ht="15.75" customHeight="1">
      <c r="M337" s="76"/>
    </row>
    <row r="338" ht="15.75" customHeight="1">
      <c r="M338" s="76"/>
    </row>
    <row r="339" ht="15.75" customHeight="1">
      <c r="M339" s="76"/>
    </row>
    <row r="340" ht="15.75" customHeight="1">
      <c r="M340" s="76"/>
    </row>
    <row r="341" ht="15.75" customHeight="1">
      <c r="M341" s="76"/>
    </row>
    <row r="342" ht="15.75" customHeight="1">
      <c r="M342" s="76"/>
    </row>
    <row r="343" ht="15.75" customHeight="1">
      <c r="M343" s="76"/>
    </row>
    <row r="344" ht="15.75" customHeight="1">
      <c r="M344" s="76"/>
    </row>
    <row r="345" ht="15.75" customHeight="1">
      <c r="M345" s="76"/>
    </row>
    <row r="346" ht="15.75" customHeight="1">
      <c r="M346" s="76"/>
    </row>
    <row r="347" ht="15.75" customHeight="1">
      <c r="M347" s="76"/>
    </row>
    <row r="348" ht="15.75" customHeight="1">
      <c r="M348" s="76"/>
    </row>
    <row r="349" ht="15.75" customHeight="1">
      <c r="M349" s="76"/>
    </row>
    <row r="350" ht="15.75" customHeight="1">
      <c r="M350" s="76"/>
    </row>
    <row r="351" ht="15.75" customHeight="1">
      <c r="M351" s="76"/>
    </row>
    <row r="352" ht="15.75" customHeight="1">
      <c r="M352" s="76"/>
    </row>
    <row r="353" ht="15.75" customHeight="1">
      <c r="M353" s="76"/>
    </row>
    <row r="354" ht="15.75" customHeight="1">
      <c r="M354" s="76"/>
    </row>
    <row r="355" ht="15.75" customHeight="1">
      <c r="M355" s="76"/>
    </row>
    <row r="356" ht="15.75" customHeight="1">
      <c r="M356" s="76"/>
    </row>
    <row r="357" ht="15.75" customHeight="1">
      <c r="M357" s="76"/>
    </row>
    <row r="358" ht="15.75" customHeight="1">
      <c r="M358" s="76"/>
    </row>
    <row r="359" ht="15.75" customHeight="1">
      <c r="M359" s="76"/>
    </row>
    <row r="360" ht="15.75" customHeight="1">
      <c r="M360" s="76"/>
    </row>
    <row r="361" ht="15.75" customHeight="1">
      <c r="M361" s="76"/>
    </row>
    <row r="362" ht="15.75" customHeight="1">
      <c r="M362" s="76"/>
    </row>
    <row r="363" ht="15.75" customHeight="1">
      <c r="M363" s="76"/>
    </row>
    <row r="364" ht="15.75" customHeight="1">
      <c r="M364" s="76"/>
    </row>
    <row r="365" ht="15.75" customHeight="1">
      <c r="M365" s="76"/>
    </row>
    <row r="366" ht="15.75" customHeight="1">
      <c r="M366" s="76"/>
    </row>
    <row r="367" ht="15.75" customHeight="1">
      <c r="M367" s="76"/>
    </row>
    <row r="368" ht="15.75" customHeight="1">
      <c r="M368" s="76"/>
    </row>
    <row r="369" ht="15.75" customHeight="1">
      <c r="M369" s="76"/>
    </row>
    <row r="370" ht="15.75" customHeight="1">
      <c r="M370" s="76"/>
    </row>
    <row r="371" ht="15.75" customHeight="1">
      <c r="M371" s="76"/>
    </row>
    <row r="372" ht="15.75" customHeight="1">
      <c r="M372" s="76"/>
    </row>
    <row r="373" ht="15.75" customHeight="1">
      <c r="M373" s="76"/>
    </row>
    <row r="374" ht="15.75" customHeight="1">
      <c r="M374" s="76"/>
    </row>
    <row r="375" ht="15.75" customHeight="1">
      <c r="M375" s="76"/>
    </row>
    <row r="376" ht="15.75" customHeight="1">
      <c r="M376" s="76"/>
    </row>
    <row r="377" ht="15.75" customHeight="1">
      <c r="M377" s="76"/>
    </row>
    <row r="378" ht="15.75" customHeight="1">
      <c r="M378" s="76"/>
    </row>
    <row r="379" ht="15.75" customHeight="1">
      <c r="M379" s="76"/>
    </row>
    <row r="380" ht="15.75" customHeight="1">
      <c r="M380" s="76"/>
    </row>
    <row r="381" ht="15.75" customHeight="1">
      <c r="M381" s="76"/>
    </row>
    <row r="382" ht="15.75" customHeight="1">
      <c r="M382" s="76"/>
    </row>
    <row r="383" ht="15.75" customHeight="1">
      <c r="M383" s="76"/>
    </row>
    <row r="384" ht="15.75" customHeight="1">
      <c r="M384" s="76"/>
    </row>
    <row r="385" ht="15.75" customHeight="1">
      <c r="M385" s="76"/>
    </row>
    <row r="386" ht="15.75" customHeight="1">
      <c r="M386" s="76"/>
    </row>
    <row r="387" ht="15.75" customHeight="1">
      <c r="M387" s="76"/>
    </row>
    <row r="388" ht="15.75" customHeight="1">
      <c r="M388" s="76"/>
    </row>
    <row r="389" ht="15.75" customHeight="1">
      <c r="M389" s="76"/>
    </row>
    <row r="390" ht="15.75" customHeight="1">
      <c r="M390" s="76"/>
    </row>
    <row r="391" ht="15.75" customHeight="1">
      <c r="M391" s="76"/>
    </row>
    <row r="392" ht="15.75" customHeight="1">
      <c r="M392" s="76"/>
    </row>
    <row r="393" ht="15.75" customHeight="1">
      <c r="M393" s="76"/>
    </row>
    <row r="394" ht="15.75" customHeight="1">
      <c r="M394" s="76"/>
    </row>
    <row r="395" ht="15.75" customHeight="1">
      <c r="M395" s="76"/>
    </row>
    <row r="396" ht="15.75" customHeight="1">
      <c r="M396" s="76"/>
    </row>
    <row r="397" ht="15.75" customHeight="1">
      <c r="M397" s="76"/>
    </row>
    <row r="398" ht="15.75" customHeight="1">
      <c r="M398" s="76"/>
    </row>
    <row r="399" ht="15.75" customHeight="1">
      <c r="M399" s="76"/>
    </row>
    <row r="400" ht="15.75" customHeight="1">
      <c r="M400" s="76"/>
    </row>
    <row r="401" ht="15.75" customHeight="1">
      <c r="M401" s="76"/>
    </row>
    <row r="402" ht="15.75" customHeight="1">
      <c r="M402" s="76"/>
    </row>
    <row r="403" ht="15.75" customHeight="1">
      <c r="M403" s="76"/>
    </row>
    <row r="404" ht="15.75" customHeight="1">
      <c r="M404" s="76"/>
    </row>
    <row r="405" ht="15.75" customHeight="1">
      <c r="M405" s="76"/>
    </row>
    <row r="406" ht="15.75" customHeight="1">
      <c r="M406" s="76"/>
    </row>
    <row r="407" ht="15.75" customHeight="1">
      <c r="M407" s="76"/>
    </row>
    <row r="408" ht="15.75" customHeight="1">
      <c r="M408" s="76"/>
    </row>
    <row r="409" ht="15.75" customHeight="1">
      <c r="M409" s="76"/>
    </row>
    <row r="410" ht="15.75" customHeight="1">
      <c r="M410" s="76"/>
    </row>
    <row r="411" ht="15.75" customHeight="1">
      <c r="M411" s="76"/>
    </row>
    <row r="412" ht="15.75" customHeight="1">
      <c r="M412" s="76"/>
    </row>
    <row r="413" ht="15.75" customHeight="1">
      <c r="M413" s="76"/>
    </row>
    <row r="414" ht="15.75" customHeight="1">
      <c r="M414" s="76"/>
    </row>
    <row r="415" ht="15.75" customHeight="1">
      <c r="M415" s="76"/>
    </row>
    <row r="416" ht="15.75" customHeight="1">
      <c r="M416" s="76"/>
    </row>
    <row r="417" ht="15.75" customHeight="1">
      <c r="M417" s="76"/>
    </row>
    <row r="418" ht="15.75" customHeight="1">
      <c r="M418" s="76"/>
    </row>
    <row r="419" ht="15.75" customHeight="1">
      <c r="M419" s="76"/>
    </row>
    <row r="420" ht="15.75" customHeight="1">
      <c r="M420" s="76"/>
    </row>
    <row r="421" ht="15.75" customHeight="1">
      <c r="M421" s="76"/>
    </row>
    <row r="422" ht="15.75" customHeight="1">
      <c r="M422" s="76"/>
    </row>
    <row r="423" ht="15.75" customHeight="1">
      <c r="M423" s="76"/>
    </row>
    <row r="424" ht="15.75" customHeight="1">
      <c r="M424" s="76"/>
    </row>
    <row r="425" ht="15.75" customHeight="1">
      <c r="M425" s="76"/>
    </row>
    <row r="426" ht="15.75" customHeight="1">
      <c r="M426" s="76"/>
    </row>
    <row r="427" ht="15.75" customHeight="1">
      <c r="M427" s="76"/>
    </row>
    <row r="428" ht="15.75" customHeight="1">
      <c r="M428" s="76"/>
    </row>
    <row r="429" ht="15.75" customHeight="1">
      <c r="M429" s="76"/>
    </row>
    <row r="430" ht="15.75" customHeight="1">
      <c r="M430" s="76"/>
    </row>
    <row r="431" ht="15.75" customHeight="1">
      <c r="M431" s="76"/>
    </row>
    <row r="432" ht="15.75" customHeight="1">
      <c r="M432" s="76"/>
    </row>
    <row r="433" ht="15.75" customHeight="1">
      <c r="M433" s="76"/>
    </row>
    <row r="434" ht="15.75" customHeight="1">
      <c r="M434" s="76"/>
    </row>
    <row r="435" ht="15.75" customHeight="1">
      <c r="M435" s="76"/>
    </row>
    <row r="436" ht="15.75" customHeight="1">
      <c r="M436" s="76"/>
    </row>
    <row r="437" ht="15.75" customHeight="1">
      <c r="M437" s="76"/>
    </row>
    <row r="438" ht="15.75" customHeight="1">
      <c r="M438" s="76"/>
    </row>
    <row r="439" ht="15.75" customHeight="1">
      <c r="M439" s="76"/>
    </row>
    <row r="440" ht="15.75" customHeight="1">
      <c r="M440" s="76"/>
    </row>
    <row r="441" ht="15.75" customHeight="1">
      <c r="M441" s="76"/>
    </row>
    <row r="442" ht="15.75" customHeight="1">
      <c r="M442" s="76"/>
    </row>
    <row r="443" ht="15.75" customHeight="1">
      <c r="M443" s="76"/>
    </row>
    <row r="444" ht="15.75" customHeight="1">
      <c r="M444" s="76"/>
    </row>
    <row r="445" ht="15.75" customHeight="1">
      <c r="M445" s="76"/>
    </row>
    <row r="446" ht="15.75" customHeight="1">
      <c r="M446" s="76"/>
    </row>
    <row r="447" ht="15.75" customHeight="1">
      <c r="M447" s="76"/>
    </row>
    <row r="448" ht="15.75" customHeight="1">
      <c r="M448" s="76"/>
    </row>
    <row r="449" ht="15.75" customHeight="1">
      <c r="M449" s="76"/>
    </row>
    <row r="450" ht="15.75" customHeight="1">
      <c r="M450" s="76"/>
    </row>
    <row r="451" ht="15.75" customHeight="1">
      <c r="M451" s="76"/>
    </row>
    <row r="452" ht="15.75" customHeight="1">
      <c r="M452" s="76"/>
    </row>
    <row r="453" ht="15.75" customHeight="1">
      <c r="M453" s="76"/>
    </row>
    <row r="454" ht="15.75" customHeight="1">
      <c r="M454" s="76"/>
    </row>
    <row r="455" ht="15.75" customHeight="1">
      <c r="M455" s="76"/>
    </row>
    <row r="456" ht="15.75" customHeight="1">
      <c r="M456" s="76"/>
    </row>
    <row r="457" ht="15.75" customHeight="1">
      <c r="M457" s="76"/>
    </row>
    <row r="458" ht="15.75" customHeight="1">
      <c r="M458" s="76"/>
    </row>
    <row r="459" ht="15.75" customHeight="1">
      <c r="M459" s="76"/>
    </row>
    <row r="460" ht="15.75" customHeight="1">
      <c r="M460" s="76"/>
    </row>
    <row r="461" ht="15.75" customHeight="1">
      <c r="M461" s="76"/>
    </row>
    <row r="462" ht="15.75" customHeight="1">
      <c r="M462" s="76"/>
    </row>
    <row r="463" ht="15.75" customHeight="1">
      <c r="M463" s="76"/>
    </row>
    <row r="464" ht="15.75" customHeight="1">
      <c r="M464" s="76"/>
    </row>
    <row r="465" ht="15.75" customHeight="1">
      <c r="M465" s="76"/>
    </row>
    <row r="466" ht="15.75" customHeight="1">
      <c r="M466" s="76"/>
    </row>
    <row r="467" ht="15.75" customHeight="1">
      <c r="M467" s="76"/>
    </row>
    <row r="468" ht="15.75" customHeight="1">
      <c r="M468" s="76"/>
    </row>
    <row r="469" ht="15.75" customHeight="1">
      <c r="M469" s="76"/>
    </row>
    <row r="470" ht="15.75" customHeight="1">
      <c r="M470" s="76"/>
    </row>
    <row r="471" ht="15.75" customHeight="1">
      <c r="M471" s="76"/>
    </row>
    <row r="472" ht="15.75" customHeight="1">
      <c r="M472" s="76"/>
    </row>
    <row r="473" ht="15.75" customHeight="1">
      <c r="M473" s="76"/>
    </row>
    <row r="474" ht="15.75" customHeight="1">
      <c r="M474" s="76"/>
    </row>
    <row r="475" ht="15.75" customHeight="1">
      <c r="M475" s="76"/>
    </row>
    <row r="476" ht="15.75" customHeight="1">
      <c r="M476" s="76"/>
    </row>
    <row r="477" ht="15.75" customHeight="1">
      <c r="M477" s="76"/>
    </row>
    <row r="478" ht="15.75" customHeight="1">
      <c r="M478" s="76"/>
    </row>
    <row r="479" ht="15.75" customHeight="1">
      <c r="M479" s="76"/>
    </row>
    <row r="480" ht="15.75" customHeight="1">
      <c r="M480" s="76"/>
    </row>
    <row r="481" ht="15.75" customHeight="1">
      <c r="M481" s="76"/>
    </row>
    <row r="482" ht="15.75" customHeight="1">
      <c r="M482" s="76"/>
    </row>
    <row r="483" ht="15.75" customHeight="1">
      <c r="M483" s="76"/>
    </row>
    <row r="484" ht="15.75" customHeight="1">
      <c r="M484" s="76"/>
    </row>
    <row r="485" ht="15.75" customHeight="1">
      <c r="M485" s="76"/>
    </row>
    <row r="486" ht="15.75" customHeight="1">
      <c r="M486" s="76"/>
    </row>
    <row r="487" ht="15.75" customHeight="1">
      <c r="M487" s="76"/>
    </row>
    <row r="488" ht="15.75" customHeight="1">
      <c r="M488" s="76"/>
    </row>
    <row r="489" ht="15.75" customHeight="1">
      <c r="M489" s="76"/>
    </row>
    <row r="490" ht="15.75" customHeight="1">
      <c r="M490" s="76"/>
    </row>
    <row r="491" ht="15.75" customHeight="1">
      <c r="M491" s="76"/>
    </row>
    <row r="492" ht="15.75" customHeight="1">
      <c r="M492" s="76"/>
    </row>
    <row r="493" ht="15.75" customHeight="1">
      <c r="M493" s="76"/>
    </row>
    <row r="494" ht="15.75" customHeight="1">
      <c r="M494" s="76"/>
    </row>
    <row r="495" ht="15.75" customHeight="1">
      <c r="M495" s="76"/>
    </row>
    <row r="496" ht="15.75" customHeight="1">
      <c r="M496" s="76"/>
    </row>
    <row r="497" ht="15.75" customHeight="1">
      <c r="M497" s="76"/>
    </row>
    <row r="498" ht="15.75" customHeight="1">
      <c r="M498" s="76"/>
    </row>
    <row r="499" ht="15.75" customHeight="1">
      <c r="M499" s="76"/>
    </row>
    <row r="500" ht="15.75" customHeight="1">
      <c r="M500" s="76"/>
    </row>
    <row r="501" ht="15.75" customHeight="1">
      <c r="M501" s="76"/>
    </row>
    <row r="502" ht="15.75" customHeight="1">
      <c r="M502" s="76"/>
    </row>
    <row r="503" ht="15.75" customHeight="1">
      <c r="M503" s="76"/>
    </row>
    <row r="504" ht="15.75" customHeight="1">
      <c r="M504" s="76"/>
    </row>
    <row r="505" ht="15.75" customHeight="1">
      <c r="M505" s="76"/>
    </row>
    <row r="506" ht="15.75" customHeight="1">
      <c r="M506" s="76"/>
    </row>
    <row r="507" ht="15.75" customHeight="1">
      <c r="M507" s="76"/>
    </row>
    <row r="508" ht="15.75" customHeight="1">
      <c r="M508" s="76"/>
    </row>
    <row r="509" ht="15.75" customHeight="1">
      <c r="M509" s="76"/>
    </row>
    <row r="510" ht="15.75" customHeight="1">
      <c r="M510" s="76"/>
    </row>
    <row r="511" ht="15.75" customHeight="1">
      <c r="M511" s="76"/>
    </row>
    <row r="512" ht="15.75" customHeight="1">
      <c r="M512" s="76"/>
    </row>
    <row r="513" ht="15.75" customHeight="1">
      <c r="M513" s="76"/>
    </row>
    <row r="514" ht="15.75" customHeight="1">
      <c r="M514" s="76"/>
    </row>
    <row r="515" ht="15.75" customHeight="1">
      <c r="M515" s="76"/>
    </row>
    <row r="516" ht="15.75" customHeight="1">
      <c r="M516" s="76"/>
    </row>
    <row r="517" ht="15.75" customHeight="1">
      <c r="M517" s="76"/>
    </row>
    <row r="518" ht="15.75" customHeight="1">
      <c r="M518" s="76"/>
    </row>
    <row r="519" ht="15.75" customHeight="1">
      <c r="M519" s="76"/>
    </row>
    <row r="520" ht="15.75" customHeight="1">
      <c r="M520" s="76"/>
    </row>
    <row r="521" ht="15.75" customHeight="1">
      <c r="M521" s="76"/>
    </row>
    <row r="522" ht="15.75" customHeight="1">
      <c r="M522" s="76"/>
    </row>
    <row r="523" ht="15.75" customHeight="1">
      <c r="M523" s="76"/>
    </row>
    <row r="524" ht="15.75" customHeight="1">
      <c r="M524" s="76"/>
    </row>
    <row r="525" ht="15.75" customHeight="1">
      <c r="M525" s="76"/>
    </row>
    <row r="526" ht="15.75" customHeight="1">
      <c r="M526" s="76"/>
    </row>
    <row r="527" ht="15.75" customHeight="1">
      <c r="M527" s="76"/>
    </row>
    <row r="528" ht="15.75" customHeight="1">
      <c r="M528" s="76"/>
    </row>
    <row r="529" ht="15.75" customHeight="1">
      <c r="M529" s="76"/>
    </row>
    <row r="530" ht="15.75" customHeight="1">
      <c r="M530" s="76"/>
    </row>
    <row r="531" ht="15.75" customHeight="1">
      <c r="M531" s="76"/>
    </row>
    <row r="532" ht="15.75" customHeight="1">
      <c r="M532" s="76"/>
    </row>
    <row r="533" ht="15.75" customHeight="1">
      <c r="M533" s="76"/>
    </row>
    <row r="534" ht="15.75" customHeight="1">
      <c r="M534" s="76"/>
    </row>
    <row r="535" ht="15.75" customHeight="1">
      <c r="M535" s="76"/>
    </row>
    <row r="536" ht="15.75" customHeight="1">
      <c r="M536" s="76"/>
    </row>
    <row r="537" ht="15.75" customHeight="1">
      <c r="M537" s="76"/>
    </row>
    <row r="538" ht="15.75" customHeight="1">
      <c r="M538" s="76"/>
    </row>
    <row r="539" ht="15.75" customHeight="1">
      <c r="M539" s="76"/>
    </row>
    <row r="540" ht="15.75" customHeight="1">
      <c r="M540" s="76"/>
    </row>
    <row r="541" ht="15.75" customHeight="1">
      <c r="M541" s="76"/>
    </row>
    <row r="542" ht="15.75" customHeight="1">
      <c r="M542" s="76"/>
    </row>
    <row r="543" ht="15.75" customHeight="1">
      <c r="M543" s="76"/>
    </row>
    <row r="544" ht="15.75" customHeight="1">
      <c r="M544" s="76"/>
    </row>
    <row r="545" ht="15.75" customHeight="1">
      <c r="M545" s="76"/>
    </row>
    <row r="546" ht="15.75" customHeight="1">
      <c r="M546" s="76"/>
    </row>
    <row r="547" ht="15.75" customHeight="1">
      <c r="M547" s="76"/>
    </row>
    <row r="548" ht="15.75" customHeight="1">
      <c r="M548" s="76"/>
    </row>
    <row r="549" ht="15.75" customHeight="1">
      <c r="M549" s="76"/>
    </row>
    <row r="550" ht="15.75" customHeight="1">
      <c r="M550" s="76"/>
    </row>
    <row r="551" ht="15.75" customHeight="1">
      <c r="M551" s="76"/>
    </row>
    <row r="552" ht="15.75" customHeight="1">
      <c r="M552" s="76"/>
    </row>
    <row r="553" ht="15.75" customHeight="1">
      <c r="M553" s="76"/>
    </row>
    <row r="554" ht="15.75" customHeight="1">
      <c r="M554" s="76"/>
    </row>
    <row r="555" ht="15.75" customHeight="1">
      <c r="M555" s="76"/>
    </row>
    <row r="556" ht="15.75" customHeight="1">
      <c r="M556" s="76"/>
    </row>
    <row r="557" ht="15.75" customHeight="1">
      <c r="M557" s="76"/>
    </row>
    <row r="558" ht="15.75" customHeight="1">
      <c r="M558" s="76"/>
    </row>
    <row r="559" ht="15.75" customHeight="1">
      <c r="M559" s="76"/>
    </row>
    <row r="560" ht="15.75" customHeight="1">
      <c r="M560" s="76"/>
    </row>
    <row r="561" ht="15.75" customHeight="1">
      <c r="M561" s="76"/>
    </row>
    <row r="562" ht="15.75" customHeight="1">
      <c r="M562" s="76"/>
    </row>
    <row r="563" ht="15.75" customHeight="1">
      <c r="M563" s="76"/>
    </row>
    <row r="564" ht="15.75" customHeight="1">
      <c r="M564" s="76"/>
    </row>
    <row r="565" ht="15.75" customHeight="1">
      <c r="M565" s="76"/>
    </row>
    <row r="566" ht="15.75" customHeight="1">
      <c r="M566" s="76"/>
    </row>
    <row r="567" ht="15.75" customHeight="1">
      <c r="M567" s="76"/>
    </row>
    <row r="568" ht="15.75" customHeight="1">
      <c r="M568" s="76"/>
    </row>
    <row r="569" ht="15.75" customHeight="1">
      <c r="M569" s="76"/>
    </row>
    <row r="570" ht="15.75" customHeight="1">
      <c r="M570" s="76"/>
    </row>
    <row r="571" ht="15.75" customHeight="1">
      <c r="M571" s="76"/>
    </row>
    <row r="572" ht="15.75" customHeight="1">
      <c r="M572" s="76"/>
    </row>
    <row r="573" ht="15.75" customHeight="1">
      <c r="M573" s="76"/>
    </row>
    <row r="574" ht="15.75" customHeight="1">
      <c r="M574" s="76"/>
    </row>
    <row r="575" ht="15.75" customHeight="1">
      <c r="M575" s="76"/>
    </row>
    <row r="576" ht="15.75" customHeight="1">
      <c r="M576" s="76"/>
    </row>
    <row r="577" ht="15.75" customHeight="1">
      <c r="M577" s="76"/>
    </row>
    <row r="578" ht="15.75" customHeight="1">
      <c r="M578" s="76"/>
    </row>
    <row r="579" ht="15.75" customHeight="1">
      <c r="M579" s="76"/>
    </row>
    <row r="580" ht="15.75" customHeight="1">
      <c r="M580" s="76"/>
    </row>
    <row r="581" ht="15.75" customHeight="1">
      <c r="M581" s="76"/>
    </row>
    <row r="582" ht="15.75" customHeight="1">
      <c r="M582" s="76"/>
    </row>
    <row r="583" ht="15.75" customHeight="1">
      <c r="M583" s="76"/>
    </row>
    <row r="584" ht="15.75" customHeight="1">
      <c r="M584" s="76"/>
    </row>
    <row r="585" ht="15.75" customHeight="1">
      <c r="M585" s="76"/>
    </row>
    <row r="586" ht="15.75" customHeight="1">
      <c r="M586" s="76"/>
    </row>
    <row r="587" ht="15.75" customHeight="1">
      <c r="M587" s="76"/>
    </row>
    <row r="588" ht="15.75" customHeight="1">
      <c r="M588" s="76"/>
    </row>
    <row r="589" ht="15.75" customHeight="1">
      <c r="M589" s="76"/>
    </row>
    <row r="590" ht="15.75" customHeight="1">
      <c r="M590" s="76"/>
    </row>
    <row r="591" ht="15.75" customHeight="1">
      <c r="M591" s="76"/>
    </row>
    <row r="592" ht="15.75" customHeight="1">
      <c r="M592" s="76"/>
    </row>
    <row r="593" ht="15.75" customHeight="1">
      <c r="M593" s="76"/>
    </row>
    <row r="594" ht="15.75" customHeight="1">
      <c r="M594" s="76"/>
    </row>
    <row r="595" ht="15.75" customHeight="1">
      <c r="M595" s="76"/>
    </row>
    <row r="596" ht="15.75" customHeight="1">
      <c r="M596" s="76"/>
    </row>
    <row r="597" ht="15.75" customHeight="1">
      <c r="M597" s="76"/>
    </row>
    <row r="598" ht="15.75" customHeight="1">
      <c r="M598" s="76"/>
    </row>
    <row r="599" ht="15.75" customHeight="1">
      <c r="M599" s="76"/>
    </row>
    <row r="600" ht="15.75" customHeight="1">
      <c r="M600" s="76"/>
    </row>
    <row r="601" ht="15.75" customHeight="1">
      <c r="M601" s="76"/>
    </row>
    <row r="602" ht="15.75" customHeight="1">
      <c r="M602" s="76"/>
    </row>
    <row r="603" ht="15.75" customHeight="1">
      <c r="M603" s="76"/>
    </row>
    <row r="604" ht="15.75" customHeight="1">
      <c r="M604" s="76"/>
    </row>
    <row r="605" ht="15.75" customHeight="1">
      <c r="M605" s="76"/>
    </row>
    <row r="606" ht="15.75" customHeight="1">
      <c r="M606" s="76"/>
    </row>
    <row r="607" ht="15.75" customHeight="1">
      <c r="M607" s="76"/>
    </row>
    <row r="608" ht="15.75" customHeight="1">
      <c r="M608" s="76"/>
    </row>
    <row r="609" ht="15.75" customHeight="1">
      <c r="M609" s="76"/>
    </row>
    <row r="610" ht="15.75" customHeight="1">
      <c r="M610" s="76"/>
    </row>
    <row r="611" ht="15.75" customHeight="1">
      <c r="M611" s="76"/>
    </row>
    <row r="612" ht="15.75" customHeight="1">
      <c r="M612" s="76"/>
    </row>
    <row r="613" ht="15.75" customHeight="1">
      <c r="M613" s="76"/>
    </row>
    <row r="614" ht="15.75" customHeight="1">
      <c r="M614" s="76"/>
    </row>
    <row r="615" ht="15.75" customHeight="1">
      <c r="M615" s="76"/>
    </row>
    <row r="616" ht="15.75" customHeight="1">
      <c r="M616" s="76"/>
    </row>
    <row r="617" ht="15.75" customHeight="1">
      <c r="M617" s="76"/>
    </row>
    <row r="618" ht="15.75" customHeight="1">
      <c r="M618" s="76"/>
    </row>
    <row r="619" ht="15.75" customHeight="1">
      <c r="M619" s="76"/>
    </row>
    <row r="620" ht="15.75" customHeight="1">
      <c r="M620" s="76"/>
    </row>
    <row r="621" ht="15.75" customHeight="1">
      <c r="M621" s="76"/>
    </row>
    <row r="622" ht="15.75" customHeight="1">
      <c r="M622" s="76"/>
    </row>
    <row r="623" ht="15.75" customHeight="1">
      <c r="M623" s="76"/>
    </row>
    <row r="624" ht="15.75" customHeight="1">
      <c r="M624" s="76"/>
    </row>
    <row r="625" ht="15.75" customHeight="1">
      <c r="M625" s="76"/>
    </row>
    <row r="626" ht="15.75" customHeight="1">
      <c r="M626" s="76"/>
    </row>
    <row r="627" ht="15.75" customHeight="1">
      <c r="M627" s="76"/>
    </row>
    <row r="628" ht="15.75" customHeight="1">
      <c r="M628" s="76"/>
    </row>
    <row r="629" ht="15.75" customHeight="1">
      <c r="M629" s="76"/>
    </row>
    <row r="630" ht="15.75" customHeight="1">
      <c r="M630" s="76"/>
    </row>
    <row r="631" ht="15.75" customHeight="1">
      <c r="M631" s="76"/>
    </row>
    <row r="632" ht="15.75" customHeight="1">
      <c r="M632" s="76"/>
    </row>
    <row r="633" ht="15.75" customHeight="1">
      <c r="M633" s="76"/>
    </row>
    <row r="634" ht="15.75" customHeight="1">
      <c r="M634" s="76"/>
    </row>
    <row r="635" ht="15.75" customHeight="1">
      <c r="M635" s="76"/>
    </row>
    <row r="636" ht="15.75" customHeight="1">
      <c r="M636" s="76"/>
    </row>
    <row r="637" ht="15.75" customHeight="1">
      <c r="M637" s="76"/>
    </row>
    <row r="638" ht="15.75" customHeight="1">
      <c r="M638" s="76"/>
    </row>
    <row r="639" ht="15.75" customHeight="1">
      <c r="M639" s="76"/>
    </row>
    <row r="640" ht="15.75" customHeight="1">
      <c r="M640" s="76"/>
    </row>
    <row r="641" ht="15.75" customHeight="1">
      <c r="M641" s="76"/>
    </row>
    <row r="642" ht="15.75" customHeight="1">
      <c r="M642" s="76"/>
    </row>
    <row r="643" ht="15.75" customHeight="1">
      <c r="M643" s="76"/>
    </row>
    <row r="644" ht="15.75" customHeight="1">
      <c r="M644" s="76"/>
    </row>
    <row r="645" ht="15.75" customHeight="1">
      <c r="M645" s="76"/>
    </row>
    <row r="646" ht="15.75" customHeight="1">
      <c r="M646" s="76"/>
    </row>
    <row r="647" ht="15.75" customHeight="1">
      <c r="M647" s="76"/>
    </row>
    <row r="648" ht="15.75" customHeight="1">
      <c r="M648" s="76"/>
    </row>
    <row r="649" ht="15.75" customHeight="1">
      <c r="M649" s="76"/>
    </row>
    <row r="650" ht="15.75" customHeight="1">
      <c r="M650" s="76"/>
    </row>
    <row r="651" ht="15.75" customHeight="1">
      <c r="M651" s="76"/>
    </row>
    <row r="652" ht="15.75" customHeight="1">
      <c r="M652" s="76"/>
    </row>
    <row r="653" ht="15.75" customHeight="1">
      <c r="M653" s="76"/>
    </row>
    <row r="654" ht="15.75" customHeight="1">
      <c r="M654" s="76"/>
    </row>
    <row r="655" ht="15.75" customHeight="1">
      <c r="M655" s="76"/>
    </row>
    <row r="656" ht="15.75" customHeight="1">
      <c r="M656" s="76"/>
    </row>
    <row r="657" ht="15.75" customHeight="1">
      <c r="M657" s="76"/>
    </row>
    <row r="658" ht="15.75" customHeight="1">
      <c r="M658" s="76"/>
    </row>
    <row r="659" ht="15.75" customHeight="1">
      <c r="M659" s="76"/>
    </row>
    <row r="660" ht="15.75" customHeight="1">
      <c r="M660" s="76"/>
    </row>
    <row r="661" ht="15.75" customHeight="1">
      <c r="M661" s="76"/>
    </row>
    <row r="662" ht="15.75" customHeight="1">
      <c r="M662" s="76"/>
    </row>
    <row r="663" ht="15.75" customHeight="1">
      <c r="M663" s="76"/>
    </row>
    <row r="664" ht="15.75" customHeight="1">
      <c r="M664" s="76"/>
    </row>
    <row r="665" ht="15.75" customHeight="1">
      <c r="M665" s="76"/>
    </row>
    <row r="666" ht="15.75" customHeight="1">
      <c r="M666" s="76"/>
    </row>
    <row r="667" ht="15.75" customHeight="1">
      <c r="M667" s="76"/>
    </row>
    <row r="668" ht="15.75" customHeight="1">
      <c r="M668" s="76"/>
    </row>
    <row r="669" ht="15.75" customHeight="1">
      <c r="M669" s="76"/>
    </row>
    <row r="670" ht="15.75" customHeight="1">
      <c r="M670" s="76"/>
    </row>
    <row r="671" ht="15.75" customHeight="1">
      <c r="M671" s="76"/>
    </row>
    <row r="672" ht="15.75" customHeight="1">
      <c r="M672" s="76"/>
    </row>
    <row r="673" ht="15.75" customHeight="1">
      <c r="M673" s="76"/>
    </row>
    <row r="674" ht="15.75" customHeight="1">
      <c r="M674" s="76"/>
    </row>
    <row r="675" ht="15.75" customHeight="1">
      <c r="M675" s="76"/>
    </row>
    <row r="676" ht="15.75" customHeight="1">
      <c r="M676" s="76"/>
    </row>
    <row r="677" ht="15.75" customHeight="1">
      <c r="M677" s="76"/>
    </row>
    <row r="678" ht="15.75" customHeight="1">
      <c r="M678" s="76"/>
    </row>
    <row r="679" ht="15.75" customHeight="1">
      <c r="M679" s="76"/>
    </row>
    <row r="680" ht="15.75" customHeight="1">
      <c r="M680" s="76"/>
    </row>
    <row r="681" ht="15.75" customHeight="1">
      <c r="M681" s="76"/>
    </row>
    <row r="682" ht="15.75" customHeight="1">
      <c r="M682" s="76"/>
    </row>
    <row r="683" ht="15.75" customHeight="1">
      <c r="M683" s="76"/>
    </row>
    <row r="684" ht="15.75" customHeight="1">
      <c r="M684" s="76"/>
    </row>
    <row r="685" ht="15.75" customHeight="1">
      <c r="M685" s="76"/>
    </row>
    <row r="686" ht="15.75" customHeight="1">
      <c r="M686" s="76"/>
    </row>
    <row r="687" ht="15.75" customHeight="1">
      <c r="M687" s="76"/>
    </row>
    <row r="688" ht="15.75" customHeight="1">
      <c r="M688" s="76"/>
    </row>
    <row r="689" ht="15.75" customHeight="1">
      <c r="M689" s="76"/>
    </row>
    <row r="690" ht="15.75" customHeight="1">
      <c r="M690" s="76"/>
    </row>
    <row r="691" ht="15.75" customHeight="1">
      <c r="M691" s="76"/>
    </row>
    <row r="692" ht="15.75" customHeight="1">
      <c r="M692" s="76"/>
    </row>
    <row r="693" ht="15.75" customHeight="1">
      <c r="M693" s="76"/>
    </row>
    <row r="694" ht="15.75" customHeight="1">
      <c r="M694" s="76"/>
    </row>
    <row r="695" ht="15.75" customHeight="1">
      <c r="M695" s="76"/>
    </row>
    <row r="696" ht="15.75" customHeight="1">
      <c r="M696" s="76"/>
    </row>
    <row r="697" ht="15.75" customHeight="1">
      <c r="M697" s="76"/>
    </row>
    <row r="698" ht="15.75" customHeight="1">
      <c r="M698" s="76"/>
    </row>
    <row r="699" ht="15.75" customHeight="1">
      <c r="M699" s="76"/>
    </row>
    <row r="700" ht="15.75" customHeight="1">
      <c r="M700" s="76"/>
    </row>
    <row r="701" ht="15.75" customHeight="1">
      <c r="M701" s="76"/>
    </row>
    <row r="702" ht="15.75" customHeight="1">
      <c r="M702" s="76"/>
    </row>
    <row r="703" ht="15.75" customHeight="1">
      <c r="M703" s="76"/>
    </row>
    <row r="704" ht="15.75" customHeight="1">
      <c r="M704" s="76"/>
    </row>
    <row r="705" ht="15.75" customHeight="1">
      <c r="M705" s="76"/>
    </row>
    <row r="706" ht="15.75" customHeight="1">
      <c r="M706" s="76"/>
    </row>
    <row r="707" ht="15.75" customHeight="1">
      <c r="M707" s="76"/>
    </row>
    <row r="708" ht="15.75" customHeight="1">
      <c r="M708" s="76"/>
    </row>
    <row r="709" ht="15.75" customHeight="1">
      <c r="M709" s="76"/>
    </row>
    <row r="710" ht="15.75" customHeight="1">
      <c r="M710" s="76"/>
    </row>
    <row r="711" ht="15.75" customHeight="1">
      <c r="M711" s="76"/>
    </row>
    <row r="712" ht="15.75" customHeight="1">
      <c r="M712" s="76"/>
    </row>
    <row r="713" ht="15.75" customHeight="1">
      <c r="M713" s="76"/>
    </row>
    <row r="714" ht="15.75" customHeight="1">
      <c r="M714" s="76"/>
    </row>
    <row r="715" ht="15.75" customHeight="1">
      <c r="M715" s="76"/>
    </row>
    <row r="716" ht="15.75" customHeight="1">
      <c r="M716" s="76"/>
    </row>
    <row r="717" ht="15.75" customHeight="1">
      <c r="M717" s="76"/>
    </row>
    <row r="718" ht="15.75" customHeight="1">
      <c r="M718" s="76"/>
    </row>
    <row r="719" ht="15.75" customHeight="1">
      <c r="M719" s="76"/>
    </row>
    <row r="720" ht="15.75" customHeight="1">
      <c r="M720" s="76"/>
    </row>
    <row r="721" ht="15.75" customHeight="1">
      <c r="M721" s="76"/>
    </row>
    <row r="722" ht="15.75" customHeight="1">
      <c r="M722" s="76"/>
    </row>
    <row r="723" ht="15.75" customHeight="1">
      <c r="M723" s="76"/>
    </row>
    <row r="724" ht="15.75" customHeight="1">
      <c r="M724" s="76"/>
    </row>
    <row r="725" ht="15.75" customHeight="1">
      <c r="M725" s="76"/>
    </row>
    <row r="726" ht="15.75" customHeight="1">
      <c r="M726" s="76"/>
    </row>
    <row r="727" ht="15.75" customHeight="1">
      <c r="M727" s="76"/>
    </row>
    <row r="728" ht="15.75" customHeight="1">
      <c r="M728" s="76"/>
    </row>
    <row r="729" ht="15.75" customHeight="1">
      <c r="M729" s="76"/>
    </row>
    <row r="730" ht="15.75" customHeight="1">
      <c r="M730" s="76"/>
    </row>
    <row r="731" ht="15.75" customHeight="1">
      <c r="M731" s="76"/>
    </row>
    <row r="732" ht="15.75" customHeight="1">
      <c r="M732" s="76"/>
    </row>
    <row r="733" ht="15.75" customHeight="1">
      <c r="M733" s="76"/>
    </row>
    <row r="734" ht="15.75" customHeight="1">
      <c r="M734" s="76"/>
    </row>
    <row r="735" ht="15.75" customHeight="1">
      <c r="M735" s="76"/>
    </row>
    <row r="736" ht="15.75" customHeight="1">
      <c r="M736" s="76"/>
    </row>
    <row r="737" ht="15.75" customHeight="1">
      <c r="M737" s="76"/>
    </row>
    <row r="738" ht="15.75" customHeight="1">
      <c r="M738" s="76"/>
    </row>
    <row r="739" ht="15.75" customHeight="1">
      <c r="M739" s="76"/>
    </row>
    <row r="740" ht="15.75" customHeight="1">
      <c r="M740" s="76"/>
    </row>
    <row r="741" ht="15.75" customHeight="1">
      <c r="M741" s="76"/>
    </row>
    <row r="742" ht="15.75" customHeight="1">
      <c r="M742" s="76"/>
    </row>
    <row r="743" ht="15.75" customHeight="1">
      <c r="M743" s="76"/>
    </row>
    <row r="744" ht="15.75" customHeight="1">
      <c r="M744" s="76"/>
    </row>
    <row r="745" ht="15.75" customHeight="1">
      <c r="M745" s="76"/>
    </row>
    <row r="746" ht="15.75" customHeight="1">
      <c r="M746" s="76"/>
    </row>
    <row r="747" ht="15.75" customHeight="1">
      <c r="M747" s="76"/>
    </row>
    <row r="748" ht="15.75" customHeight="1">
      <c r="M748" s="76"/>
    </row>
    <row r="749" ht="15.75" customHeight="1">
      <c r="M749" s="76"/>
    </row>
    <row r="750" ht="15.75" customHeight="1">
      <c r="M750" s="76"/>
    </row>
    <row r="751" ht="15.75" customHeight="1">
      <c r="M751" s="76"/>
    </row>
    <row r="752" ht="15.75" customHeight="1">
      <c r="M752" s="76"/>
    </row>
    <row r="753" ht="15.75" customHeight="1">
      <c r="M753" s="76"/>
    </row>
    <row r="754" ht="15.75" customHeight="1">
      <c r="M754" s="76"/>
    </row>
    <row r="755" ht="15.75" customHeight="1">
      <c r="M755" s="76"/>
    </row>
    <row r="756" ht="15.75" customHeight="1">
      <c r="M756" s="76"/>
    </row>
    <row r="757" ht="15.75" customHeight="1">
      <c r="M757" s="76"/>
    </row>
    <row r="758" ht="15.75" customHeight="1">
      <c r="M758" s="76"/>
    </row>
    <row r="759" ht="15.75" customHeight="1">
      <c r="M759" s="76"/>
    </row>
    <row r="760" ht="15.75" customHeight="1">
      <c r="M760" s="76"/>
    </row>
    <row r="761" ht="15.75" customHeight="1">
      <c r="M761" s="76"/>
    </row>
    <row r="762" ht="15.75" customHeight="1">
      <c r="M762" s="76"/>
    </row>
    <row r="763" ht="15.75" customHeight="1">
      <c r="M763" s="76"/>
    </row>
    <row r="764" ht="15.75" customHeight="1">
      <c r="M764" s="76"/>
    </row>
    <row r="765" ht="15.75" customHeight="1">
      <c r="M765" s="76"/>
    </row>
    <row r="766" ht="15.75" customHeight="1">
      <c r="M766" s="76"/>
    </row>
    <row r="767" ht="15.75" customHeight="1">
      <c r="M767" s="76"/>
    </row>
    <row r="768" ht="15.75" customHeight="1">
      <c r="M768" s="76"/>
    </row>
    <row r="769" ht="15.75" customHeight="1">
      <c r="M769" s="76"/>
    </row>
    <row r="770" ht="15.75" customHeight="1">
      <c r="M770" s="76"/>
    </row>
    <row r="771" ht="15.75" customHeight="1">
      <c r="M771" s="76"/>
    </row>
    <row r="772" ht="15.75" customHeight="1">
      <c r="M772" s="76"/>
    </row>
    <row r="773" ht="15.75" customHeight="1">
      <c r="M773" s="76"/>
    </row>
    <row r="774" ht="15.75" customHeight="1">
      <c r="M774" s="76"/>
    </row>
    <row r="775" ht="15.75" customHeight="1">
      <c r="M775" s="76"/>
    </row>
    <row r="776" ht="15.75" customHeight="1">
      <c r="M776" s="76"/>
    </row>
    <row r="777" ht="15.75" customHeight="1">
      <c r="M777" s="76"/>
    </row>
    <row r="778" ht="15.75" customHeight="1">
      <c r="M778" s="76"/>
    </row>
    <row r="779" ht="15.75" customHeight="1">
      <c r="M779" s="76"/>
    </row>
    <row r="780" ht="15.75" customHeight="1">
      <c r="M780" s="76"/>
    </row>
    <row r="781" ht="15.75" customHeight="1">
      <c r="M781" s="76"/>
    </row>
    <row r="782" ht="15.75" customHeight="1">
      <c r="M782" s="76"/>
    </row>
    <row r="783" ht="15.75" customHeight="1">
      <c r="M783" s="76"/>
    </row>
    <row r="784" ht="15.75" customHeight="1">
      <c r="M784" s="76"/>
    </row>
    <row r="785" ht="15.75" customHeight="1">
      <c r="M785" s="76"/>
    </row>
    <row r="786" ht="15.75" customHeight="1">
      <c r="M786" s="76"/>
    </row>
    <row r="787" ht="15.75" customHeight="1">
      <c r="M787" s="76"/>
    </row>
    <row r="788" ht="15.75" customHeight="1">
      <c r="M788" s="76"/>
    </row>
    <row r="789" ht="15.75" customHeight="1">
      <c r="M789" s="76"/>
    </row>
    <row r="790" ht="15.75" customHeight="1">
      <c r="M790" s="76"/>
    </row>
    <row r="791" ht="15.75" customHeight="1">
      <c r="M791" s="76"/>
    </row>
    <row r="792" ht="15.75" customHeight="1">
      <c r="M792" s="76"/>
    </row>
    <row r="793" ht="15.75" customHeight="1">
      <c r="M793" s="76"/>
    </row>
    <row r="794" ht="15.75" customHeight="1">
      <c r="M794" s="76"/>
    </row>
    <row r="795" ht="15.75" customHeight="1">
      <c r="M795" s="76"/>
    </row>
    <row r="796" ht="15.75" customHeight="1">
      <c r="M796" s="76"/>
    </row>
    <row r="797" ht="15.75" customHeight="1">
      <c r="M797" s="76"/>
    </row>
    <row r="798" ht="15.75" customHeight="1">
      <c r="M798" s="76"/>
    </row>
    <row r="799" ht="15.75" customHeight="1">
      <c r="M799" s="76"/>
    </row>
    <row r="800" ht="15.75" customHeight="1">
      <c r="M800" s="76"/>
    </row>
    <row r="801" ht="15.75" customHeight="1">
      <c r="M801" s="76"/>
    </row>
    <row r="802" ht="15.75" customHeight="1">
      <c r="M802" s="76"/>
    </row>
    <row r="803" ht="15.75" customHeight="1">
      <c r="M803" s="76"/>
    </row>
    <row r="804" ht="15.75" customHeight="1">
      <c r="M804" s="76"/>
    </row>
    <row r="805" ht="15.75" customHeight="1">
      <c r="M805" s="76"/>
    </row>
    <row r="806" ht="15.75" customHeight="1">
      <c r="M806" s="76"/>
    </row>
    <row r="807" ht="15.75" customHeight="1">
      <c r="M807" s="76"/>
    </row>
    <row r="808" ht="15.75" customHeight="1">
      <c r="M808" s="76"/>
    </row>
    <row r="809" ht="15.75" customHeight="1">
      <c r="M809" s="76"/>
    </row>
    <row r="810" ht="15.75" customHeight="1">
      <c r="M810" s="76"/>
    </row>
    <row r="811" ht="15.75" customHeight="1">
      <c r="M811" s="76"/>
    </row>
    <row r="812" ht="15.75" customHeight="1">
      <c r="M812" s="76"/>
    </row>
    <row r="813" ht="15.75" customHeight="1">
      <c r="M813" s="76"/>
    </row>
    <row r="814" ht="15.75" customHeight="1">
      <c r="M814" s="76"/>
    </row>
    <row r="815" ht="15.75" customHeight="1">
      <c r="M815" s="76"/>
    </row>
    <row r="816" ht="15.75" customHeight="1">
      <c r="M816" s="76"/>
    </row>
    <row r="817" ht="15.75" customHeight="1">
      <c r="M817" s="76"/>
    </row>
    <row r="818" ht="15.75" customHeight="1">
      <c r="M818" s="76"/>
    </row>
    <row r="819" ht="15.75" customHeight="1">
      <c r="M819" s="76"/>
    </row>
    <row r="820" ht="15.75" customHeight="1">
      <c r="M820" s="76"/>
    </row>
    <row r="821" ht="15.75" customHeight="1">
      <c r="M821" s="76"/>
    </row>
    <row r="822" ht="15.75" customHeight="1">
      <c r="M822" s="76"/>
    </row>
    <row r="823" ht="15.75" customHeight="1">
      <c r="M823" s="76"/>
    </row>
    <row r="824" ht="15.75" customHeight="1">
      <c r="M824" s="76"/>
    </row>
    <row r="825" ht="15.75" customHeight="1">
      <c r="M825" s="76"/>
    </row>
    <row r="826" ht="15.75" customHeight="1">
      <c r="M826" s="76"/>
    </row>
    <row r="827" ht="15.75" customHeight="1">
      <c r="M827" s="76"/>
    </row>
    <row r="828" ht="15.75" customHeight="1">
      <c r="M828" s="76"/>
    </row>
    <row r="829" ht="15.75" customHeight="1">
      <c r="M829" s="76"/>
    </row>
    <row r="830" ht="15.75" customHeight="1">
      <c r="M830" s="76"/>
    </row>
    <row r="831" ht="15.75" customHeight="1">
      <c r="M831" s="76"/>
    </row>
    <row r="832" ht="15.75" customHeight="1">
      <c r="M832" s="76"/>
    </row>
    <row r="833" ht="15.75" customHeight="1">
      <c r="M833" s="76"/>
    </row>
    <row r="834" ht="15.75" customHeight="1">
      <c r="M834" s="76"/>
    </row>
    <row r="835" ht="15.75" customHeight="1">
      <c r="M835" s="76"/>
    </row>
    <row r="836" ht="15.75" customHeight="1">
      <c r="M836" s="76"/>
    </row>
    <row r="837" ht="15.75" customHeight="1">
      <c r="M837" s="76"/>
    </row>
    <row r="838" ht="15.75" customHeight="1">
      <c r="M838" s="76"/>
    </row>
    <row r="839" ht="15.75" customHeight="1">
      <c r="M839" s="76"/>
    </row>
    <row r="840" ht="15.75" customHeight="1">
      <c r="M840" s="76"/>
    </row>
    <row r="841" ht="15.75" customHeight="1">
      <c r="M841" s="76"/>
    </row>
    <row r="842" ht="15.75" customHeight="1">
      <c r="M842" s="76"/>
    </row>
    <row r="843" ht="15.75" customHeight="1">
      <c r="M843" s="76"/>
    </row>
    <row r="844" ht="15.75" customHeight="1">
      <c r="M844" s="76"/>
    </row>
    <row r="845" ht="15.75" customHeight="1">
      <c r="M845" s="76"/>
    </row>
    <row r="846" ht="15.75" customHeight="1">
      <c r="M846" s="76"/>
    </row>
    <row r="847" ht="15.75" customHeight="1">
      <c r="M847" s="76"/>
    </row>
    <row r="848" ht="15.75" customHeight="1">
      <c r="M848" s="76"/>
    </row>
    <row r="849" ht="15.75" customHeight="1">
      <c r="M849" s="76"/>
    </row>
    <row r="850" ht="15.75" customHeight="1">
      <c r="M850" s="76"/>
    </row>
    <row r="851" ht="15.75" customHeight="1">
      <c r="M851" s="76"/>
    </row>
    <row r="852" ht="15.75" customHeight="1">
      <c r="M852" s="76"/>
    </row>
    <row r="853" ht="15.75" customHeight="1">
      <c r="M853" s="76"/>
    </row>
    <row r="854" ht="15.75" customHeight="1">
      <c r="M854" s="76"/>
    </row>
    <row r="855" ht="15.75" customHeight="1">
      <c r="M855" s="76"/>
    </row>
    <row r="856" ht="15.75" customHeight="1">
      <c r="M856" s="76"/>
    </row>
    <row r="857" ht="15.75" customHeight="1">
      <c r="M857" s="76"/>
    </row>
    <row r="858" ht="15.75" customHeight="1">
      <c r="M858" s="76"/>
    </row>
    <row r="859" ht="15.75" customHeight="1">
      <c r="M859" s="76"/>
    </row>
    <row r="860" ht="15.75" customHeight="1">
      <c r="M860" s="76"/>
    </row>
    <row r="861" ht="15.75" customHeight="1">
      <c r="M861" s="76"/>
    </row>
    <row r="862" ht="15.75" customHeight="1">
      <c r="M862" s="76"/>
    </row>
    <row r="863" ht="15.75" customHeight="1">
      <c r="M863" s="76"/>
    </row>
    <row r="864" ht="15.75" customHeight="1">
      <c r="M864" s="76"/>
    </row>
    <row r="865" ht="15.75" customHeight="1">
      <c r="M865" s="76"/>
    </row>
    <row r="866" ht="15.75" customHeight="1">
      <c r="M866" s="76"/>
    </row>
    <row r="867" ht="15.75" customHeight="1">
      <c r="M867" s="76"/>
    </row>
    <row r="868" ht="15.75" customHeight="1">
      <c r="M868" s="76"/>
    </row>
    <row r="869" ht="15.75" customHeight="1">
      <c r="M869" s="76"/>
    </row>
    <row r="870" ht="15.75" customHeight="1">
      <c r="M870" s="76"/>
    </row>
    <row r="871" ht="15.75" customHeight="1">
      <c r="M871" s="76"/>
    </row>
    <row r="872" ht="15.75" customHeight="1">
      <c r="M872" s="76"/>
    </row>
    <row r="873" ht="15.75" customHeight="1">
      <c r="M873" s="76"/>
    </row>
    <row r="874" ht="15.75" customHeight="1">
      <c r="M874" s="76"/>
    </row>
    <row r="875" ht="15.75" customHeight="1">
      <c r="M875" s="76"/>
    </row>
    <row r="876" ht="15.75" customHeight="1">
      <c r="M876" s="76"/>
    </row>
    <row r="877" ht="15.75" customHeight="1">
      <c r="M877" s="76"/>
    </row>
    <row r="878" ht="15.75" customHeight="1">
      <c r="M878" s="76"/>
    </row>
    <row r="879" ht="15.75" customHeight="1">
      <c r="M879" s="76"/>
    </row>
    <row r="880" ht="15.75" customHeight="1">
      <c r="M880" s="76"/>
    </row>
    <row r="881" ht="15.75" customHeight="1">
      <c r="M881" s="76"/>
    </row>
    <row r="882" ht="15.75" customHeight="1">
      <c r="M882" s="76"/>
    </row>
    <row r="883" ht="15.75" customHeight="1">
      <c r="M883" s="76"/>
    </row>
    <row r="884" ht="15.75" customHeight="1">
      <c r="M884" s="76"/>
    </row>
    <row r="885" ht="15.75" customHeight="1">
      <c r="M885" s="76"/>
    </row>
    <row r="886" ht="15.75" customHeight="1">
      <c r="M886" s="76"/>
    </row>
    <row r="887" ht="15.75" customHeight="1">
      <c r="M887" s="76"/>
    </row>
    <row r="888" ht="15.75" customHeight="1">
      <c r="M888" s="76"/>
    </row>
    <row r="889" ht="15.75" customHeight="1">
      <c r="M889" s="76"/>
    </row>
    <row r="890" ht="15.75" customHeight="1">
      <c r="M890" s="76"/>
    </row>
    <row r="891" ht="15.75" customHeight="1">
      <c r="M891" s="76"/>
    </row>
    <row r="892" ht="15.75" customHeight="1">
      <c r="M892" s="76"/>
    </row>
    <row r="893" ht="15.75" customHeight="1">
      <c r="M893" s="76"/>
    </row>
    <row r="894" ht="15.75" customHeight="1">
      <c r="M894" s="76"/>
    </row>
    <row r="895" ht="15.75" customHeight="1">
      <c r="M895" s="76"/>
    </row>
    <row r="896" ht="15.75" customHeight="1">
      <c r="M896" s="76"/>
    </row>
    <row r="897" ht="15.75" customHeight="1">
      <c r="M897" s="76"/>
    </row>
    <row r="898" ht="15.75" customHeight="1">
      <c r="M898" s="76"/>
    </row>
    <row r="899" ht="15.75" customHeight="1">
      <c r="M899" s="76"/>
    </row>
    <row r="900" ht="15.75" customHeight="1">
      <c r="M900" s="76"/>
    </row>
    <row r="901" ht="15.75" customHeight="1">
      <c r="M901" s="76"/>
    </row>
    <row r="902" ht="15.75" customHeight="1">
      <c r="M902" s="76"/>
    </row>
    <row r="903" ht="15.75" customHeight="1">
      <c r="M903" s="76"/>
    </row>
    <row r="904" ht="15.75" customHeight="1">
      <c r="M904" s="76"/>
    </row>
    <row r="905" ht="15.75" customHeight="1">
      <c r="M905" s="76"/>
    </row>
    <row r="906" ht="15.75" customHeight="1">
      <c r="M906" s="76"/>
    </row>
    <row r="907" ht="15.75" customHeight="1">
      <c r="M907" s="76"/>
    </row>
    <row r="908" ht="15.75" customHeight="1">
      <c r="M908" s="76"/>
    </row>
    <row r="909" ht="15.75" customHeight="1">
      <c r="M909" s="76"/>
    </row>
    <row r="910" ht="15.75" customHeight="1">
      <c r="M910" s="76"/>
    </row>
    <row r="911" ht="15.75" customHeight="1">
      <c r="M911" s="76"/>
    </row>
    <row r="912" ht="15.75" customHeight="1">
      <c r="M912" s="76"/>
    </row>
    <row r="913" ht="15.75" customHeight="1">
      <c r="M913" s="76"/>
    </row>
    <row r="914" ht="15.75" customHeight="1">
      <c r="M914" s="76"/>
    </row>
    <row r="915" ht="15.75" customHeight="1">
      <c r="M915" s="76"/>
    </row>
    <row r="916" ht="15.75" customHeight="1">
      <c r="M916" s="76"/>
    </row>
    <row r="917" ht="15.75" customHeight="1">
      <c r="M917" s="76"/>
    </row>
    <row r="918" ht="15.75" customHeight="1">
      <c r="M918" s="76"/>
    </row>
    <row r="919" ht="15.75" customHeight="1">
      <c r="M919" s="76"/>
    </row>
    <row r="920" ht="15.75" customHeight="1">
      <c r="M920" s="76"/>
    </row>
    <row r="921" ht="15.75" customHeight="1">
      <c r="M921" s="76"/>
    </row>
    <row r="922" ht="15.75" customHeight="1">
      <c r="M922" s="76"/>
    </row>
    <row r="923" ht="15.75" customHeight="1">
      <c r="M923" s="76"/>
    </row>
    <row r="924" ht="15.75" customHeight="1">
      <c r="M924" s="76"/>
    </row>
    <row r="925" ht="15.75" customHeight="1">
      <c r="M925" s="76"/>
    </row>
    <row r="926" ht="15.75" customHeight="1">
      <c r="M926" s="76"/>
    </row>
    <row r="927" ht="15.75" customHeight="1">
      <c r="M927" s="76"/>
    </row>
    <row r="928" ht="15.75" customHeight="1">
      <c r="M928" s="76"/>
    </row>
    <row r="929" ht="15.75" customHeight="1">
      <c r="M929" s="76"/>
    </row>
    <row r="930" ht="15.75" customHeight="1">
      <c r="M930" s="76"/>
    </row>
    <row r="931" ht="15.75" customHeight="1">
      <c r="M931" s="76"/>
    </row>
    <row r="932" ht="15.75" customHeight="1">
      <c r="M932" s="76"/>
    </row>
    <row r="933" ht="15.75" customHeight="1">
      <c r="M933" s="76"/>
    </row>
    <row r="934" ht="15.75" customHeight="1">
      <c r="M934" s="76"/>
    </row>
    <row r="935" ht="15.75" customHeight="1">
      <c r="M935" s="76"/>
    </row>
    <row r="936" ht="15.75" customHeight="1">
      <c r="M936" s="76"/>
    </row>
    <row r="937" ht="15.75" customHeight="1">
      <c r="M937" s="76"/>
    </row>
    <row r="938" ht="15.75" customHeight="1">
      <c r="M938" s="76"/>
    </row>
    <row r="939" ht="15.75" customHeight="1">
      <c r="M939" s="76"/>
    </row>
    <row r="940" ht="15.75" customHeight="1">
      <c r="M940" s="76"/>
    </row>
    <row r="941" ht="15.75" customHeight="1">
      <c r="M941" s="76"/>
    </row>
    <row r="942" ht="15.75" customHeight="1">
      <c r="M942" s="76"/>
    </row>
    <row r="943" ht="15.75" customHeight="1">
      <c r="M943" s="76"/>
    </row>
    <row r="944" ht="15.75" customHeight="1">
      <c r="M944" s="76"/>
    </row>
    <row r="945" ht="15.75" customHeight="1">
      <c r="M945" s="76"/>
    </row>
    <row r="946" ht="15.75" customHeight="1">
      <c r="M946" s="76"/>
    </row>
    <row r="947" ht="15.75" customHeight="1">
      <c r="M947" s="76"/>
    </row>
    <row r="948" ht="15.75" customHeight="1">
      <c r="M948" s="76"/>
    </row>
    <row r="949" ht="15.75" customHeight="1">
      <c r="M949" s="76"/>
    </row>
    <row r="950" ht="15.75" customHeight="1">
      <c r="M950" s="76"/>
    </row>
    <row r="951" ht="15.75" customHeight="1">
      <c r="M951" s="76"/>
    </row>
    <row r="952" ht="15.75" customHeight="1">
      <c r="M952" s="76"/>
    </row>
    <row r="953" ht="15.75" customHeight="1">
      <c r="M953" s="76"/>
    </row>
    <row r="954" ht="15.75" customHeight="1">
      <c r="M954" s="76"/>
    </row>
    <row r="955" ht="15.75" customHeight="1">
      <c r="M955" s="76"/>
    </row>
    <row r="956" ht="15.75" customHeight="1">
      <c r="M956" s="76"/>
    </row>
    <row r="957" ht="15.75" customHeight="1">
      <c r="M957" s="76"/>
    </row>
    <row r="958" ht="15.75" customHeight="1">
      <c r="M958" s="76"/>
    </row>
    <row r="959" ht="15.75" customHeight="1">
      <c r="M959" s="76"/>
    </row>
    <row r="960" ht="15.75" customHeight="1">
      <c r="M960" s="76"/>
    </row>
    <row r="961" ht="15.75" customHeight="1">
      <c r="M961" s="76"/>
    </row>
    <row r="962" ht="15.75" customHeight="1">
      <c r="M962" s="76"/>
    </row>
    <row r="963" ht="15.75" customHeight="1">
      <c r="M963" s="76"/>
    </row>
    <row r="964" ht="15.75" customHeight="1">
      <c r="M964" s="76"/>
    </row>
    <row r="965" ht="15.75" customHeight="1">
      <c r="M965" s="76"/>
    </row>
    <row r="966" ht="15.75" customHeight="1">
      <c r="M966" s="76"/>
    </row>
    <row r="967" ht="15.75" customHeight="1">
      <c r="M967" s="76"/>
    </row>
    <row r="968" ht="15.75" customHeight="1">
      <c r="M968" s="76"/>
    </row>
    <row r="969" ht="15.75" customHeight="1">
      <c r="M969" s="76"/>
    </row>
    <row r="970" ht="15.75" customHeight="1">
      <c r="M970" s="76"/>
    </row>
    <row r="971" ht="15.75" customHeight="1">
      <c r="M971" s="76"/>
    </row>
    <row r="972" ht="15.75" customHeight="1">
      <c r="M972" s="76"/>
    </row>
    <row r="973" ht="15.75" customHeight="1">
      <c r="M973" s="76"/>
    </row>
    <row r="974" ht="15.75" customHeight="1">
      <c r="M974" s="76"/>
    </row>
    <row r="975" ht="15.75" customHeight="1">
      <c r="M975" s="76"/>
    </row>
    <row r="976" ht="15.75" customHeight="1">
      <c r="M976" s="76"/>
    </row>
    <row r="977" ht="15.75" customHeight="1">
      <c r="M977" s="76"/>
    </row>
    <row r="978" ht="15.75" customHeight="1">
      <c r="M978" s="76"/>
    </row>
    <row r="979" ht="15.75" customHeight="1">
      <c r="M979" s="76"/>
    </row>
    <row r="980" ht="15.75" customHeight="1">
      <c r="M980" s="76"/>
    </row>
    <row r="981" ht="15.75" customHeight="1">
      <c r="M981" s="76"/>
    </row>
    <row r="982" ht="15.75" customHeight="1">
      <c r="M982" s="76"/>
    </row>
    <row r="983" ht="15.75" customHeight="1">
      <c r="M983" s="76"/>
    </row>
    <row r="984" ht="15.75" customHeight="1">
      <c r="M984" s="76"/>
    </row>
    <row r="985" ht="15.75" customHeight="1">
      <c r="M985" s="76"/>
    </row>
    <row r="986" ht="15.75" customHeight="1">
      <c r="M986" s="76"/>
    </row>
    <row r="987" ht="15.75" customHeight="1">
      <c r="M987" s="76"/>
    </row>
    <row r="988" ht="15.75" customHeight="1">
      <c r="M988" s="76"/>
    </row>
    <row r="989" ht="15.75" customHeight="1">
      <c r="M989" s="76"/>
    </row>
    <row r="990" ht="15.75" customHeight="1">
      <c r="M990" s="76"/>
    </row>
    <row r="991" ht="15.75" customHeight="1">
      <c r="M991" s="76"/>
    </row>
    <row r="992" ht="15.75" customHeight="1">
      <c r="M992" s="76"/>
    </row>
    <row r="993" ht="15.75" customHeight="1">
      <c r="M993" s="76"/>
    </row>
    <row r="994" ht="15.75" customHeight="1">
      <c r="M994" s="76"/>
    </row>
    <row r="995" ht="15.75" customHeight="1">
      <c r="M995" s="76"/>
    </row>
    <row r="996" ht="15.75" customHeight="1">
      <c r="M996" s="76"/>
    </row>
    <row r="997" ht="15.75" customHeight="1">
      <c r="M997" s="76"/>
    </row>
    <row r="998" ht="15.75" customHeight="1">
      <c r="M998" s="76"/>
    </row>
    <row r="999" ht="15.75" customHeight="1">
      <c r="M999" s="76"/>
    </row>
    <row r="1000" ht="15.75" customHeight="1">
      <c r="M1000" s="76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Row="2"/>
  <cols>
    <col customWidth="1" min="1" max="1" width="2.0"/>
    <col customWidth="1" min="2" max="2" width="26.57"/>
    <col customWidth="1" min="3" max="3" width="16.57"/>
    <col customWidth="1" min="4" max="8" width="14.86"/>
    <col customWidth="1" min="9" max="9" width="3.43"/>
    <col customWidth="1" min="10" max="10" width="16.57"/>
    <col customWidth="1" min="11" max="13" width="14.57"/>
    <col customWidth="1" min="14" max="17" width="3.86"/>
  </cols>
  <sheetData>
    <row r="1" ht="18.0" customHeight="1">
      <c r="A1" s="1"/>
      <c r="B1" s="2" t="s">
        <v>0</v>
      </c>
      <c r="C1" s="31"/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1"/>
      <c r="J1" s="3" t="s">
        <v>11</v>
      </c>
      <c r="K1" s="3" t="s">
        <v>12</v>
      </c>
      <c r="L1" s="3" t="s">
        <v>13</v>
      </c>
      <c r="M1" s="3" t="s">
        <v>14</v>
      </c>
      <c r="N1" s="77"/>
      <c r="O1" s="78"/>
      <c r="P1" s="78"/>
      <c r="Q1" s="78"/>
    </row>
    <row r="2" ht="18.0" customHeight="1" outlineLevel="2">
      <c r="A2" s="4"/>
      <c r="B2" s="5" t="s">
        <v>17</v>
      </c>
      <c r="C2" s="5"/>
      <c r="D2" s="7">
        <v>1033.0</v>
      </c>
      <c r="E2" s="7">
        <v>842.0</v>
      </c>
      <c r="F2" s="7">
        <v>225.0</v>
      </c>
      <c r="G2" s="7">
        <v>2100.0</v>
      </c>
      <c r="H2" s="7"/>
      <c r="I2" s="4"/>
      <c r="J2" s="21"/>
      <c r="K2" s="21"/>
      <c r="L2" s="21"/>
      <c r="M2" s="21"/>
      <c r="N2" s="33"/>
      <c r="O2" s="4"/>
      <c r="P2" s="76"/>
      <c r="Q2" s="76"/>
    </row>
    <row r="3" ht="18.0" customHeight="1" outlineLevel="2">
      <c r="A3" s="4"/>
      <c r="B3" s="5" t="s">
        <v>18</v>
      </c>
      <c r="C3" s="5"/>
      <c r="D3" s="7">
        <v>3763.0</v>
      </c>
      <c r="E3" s="7">
        <v>3246.0</v>
      </c>
      <c r="F3" s="7">
        <v>4298.0</v>
      </c>
      <c r="G3" s="7">
        <v>11307.0</v>
      </c>
      <c r="H3" s="7"/>
      <c r="I3" s="4"/>
      <c r="J3" s="21"/>
      <c r="K3" s="21"/>
      <c r="L3" s="21"/>
      <c r="M3" s="21"/>
      <c r="N3" s="33"/>
      <c r="O3" s="4"/>
      <c r="P3" s="76"/>
      <c r="Q3" s="76"/>
    </row>
    <row r="4" ht="18.0" customHeight="1" outlineLevel="2">
      <c r="A4" s="4"/>
      <c r="B4" s="5" t="s">
        <v>96</v>
      </c>
      <c r="C4" s="5" t="s">
        <v>46</v>
      </c>
      <c r="D4" s="7">
        <v>4865.0</v>
      </c>
      <c r="E4" s="7">
        <v>4100.0</v>
      </c>
      <c r="F4" s="7">
        <v>4400.0</v>
      </c>
      <c r="G4" s="7">
        <v>13365.0</v>
      </c>
      <c r="H4" s="7"/>
      <c r="I4" s="4"/>
      <c r="J4" s="21"/>
      <c r="K4" s="21"/>
      <c r="L4" s="21"/>
      <c r="M4" s="21"/>
      <c r="N4" s="33"/>
      <c r="O4" s="4"/>
      <c r="P4" s="76"/>
      <c r="Q4" s="76"/>
    </row>
    <row r="5" ht="18.0" customHeight="1" outlineLevel="2">
      <c r="A5" s="4"/>
      <c r="B5" s="5"/>
      <c r="C5" s="79" t="s">
        <v>41</v>
      </c>
      <c r="D5" s="80">
        <v>4796.0</v>
      </c>
      <c r="E5" s="80">
        <v>4088.0</v>
      </c>
      <c r="F5" s="80">
        <v>4523.0</v>
      </c>
      <c r="G5" s="80">
        <v>13407.0</v>
      </c>
      <c r="H5" s="80"/>
      <c r="I5" s="4"/>
      <c r="J5" s="21">
        <v>-69.0</v>
      </c>
      <c r="K5" s="21">
        <v>-12.0</v>
      </c>
      <c r="L5" s="21">
        <v>123.0</v>
      </c>
      <c r="M5" s="21">
        <v>42.0</v>
      </c>
      <c r="N5" s="33"/>
      <c r="O5" s="4"/>
      <c r="P5" s="76"/>
      <c r="Q5" s="76"/>
    </row>
    <row r="6" ht="18.0" customHeight="1" outlineLevel="2">
      <c r="A6" s="4"/>
      <c r="B6" s="5" t="s">
        <v>97</v>
      </c>
      <c r="C6" s="5" t="s">
        <v>46</v>
      </c>
      <c r="D6" s="7">
        <v>1410.0</v>
      </c>
      <c r="E6" s="7">
        <v>1174.0</v>
      </c>
      <c r="F6" s="7">
        <v>1333.0</v>
      </c>
      <c r="G6" s="7">
        <v>3917.0</v>
      </c>
      <c r="H6" s="7"/>
      <c r="I6" s="4"/>
      <c r="J6" s="21"/>
      <c r="K6" s="21"/>
      <c r="L6" s="21"/>
      <c r="M6" s="21"/>
      <c r="N6" s="33"/>
      <c r="O6" s="4"/>
      <c r="P6" s="76"/>
      <c r="Q6" s="76"/>
    </row>
    <row r="7" ht="18.0" customHeight="1" outlineLevel="2">
      <c r="A7" s="4"/>
      <c r="B7" s="5"/>
      <c r="C7" s="79" t="s">
        <v>41</v>
      </c>
      <c r="D7" s="80">
        <v>1390.0</v>
      </c>
      <c r="E7" s="80">
        <v>1175.0</v>
      </c>
      <c r="F7" s="80">
        <v>1329.0</v>
      </c>
      <c r="G7" s="80">
        <v>3894.0</v>
      </c>
      <c r="H7" s="80"/>
      <c r="I7" s="4"/>
      <c r="J7" s="21">
        <v>-20.0</v>
      </c>
      <c r="K7" s="21">
        <v>1.0</v>
      </c>
      <c r="L7" s="21">
        <v>-4.0</v>
      </c>
      <c r="M7" s="21">
        <v>-23.0</v>
      </c>
      <c r="N7" s="33"/>
      <c r="O7" s="4"/>
      <c r="P7" s="76"/>
      <c r="Q7" s="76"/>
    </row>
    <row r="8" ht="18.0" customHeight="1" outlineLevel="2">
      <c r="A8" s="4"/>
      <c r="B8" s="8" t="s">
        <v>98</v>
      </c>
      <c r="C8" s="5" t="s">
        <v>46</v>
      </c>
      <c r="D8" s="9">
        <v>0.8094144661308841</v>
      </c>
      <c r="E8" s="9">
        <v>0.6311827956989248</v>
      </c>
      <c r="F8" s="9">
        <v>0.833125</v>
      </c>
      <c r="G8" s="81">
        <v>0.7703048180924287</v>
      </c>
      <c r="H8" s="7"/>
      <c r="I8" s="4"/>
      <c r="J8" s="21"/>
      <c r="K8" s="21"/>
      <c r="L8" s="21"/>
      <c r="M8" s="21"/>
      <c r="N8" s="33"/>
      <c r="O8" s="4"/>
      <c r="P8" s="76"/>
      <c r="Q8" s="76"/>
    </row>
    <row r="9" ht="18.0" customHeight="1" outlineLevel="2">
      <c r="A9" s="4"/>
      <c r="B9" s="8"/>
      <c r="C9" s="79" t="s">
        <v>41</v>
      </c>
      <c r="D9" s="82">
        <v>0.7979334098737084</v>
      </c>
      <c r="E9" s="82">
        <v>0.6317204301075269</v>
      </c>
      <c r="F9" s="82">
        <v>0.830625</v>
      </c>
      <c r="G9" s="82">
        <v>0.7657817109144542</v>
      </c>
      <c r="H9" s="82"/>
      <c r="I9" s="4"/>
      <c r="J9" s="21">
        <v>-0.01148105625717566</v>
      </c>
      <c r="K9" s="21">
        <v>5.376344086021057E-4</v>
      </c>
      <c r="L9" s="21">
        <v>-0.0025000000000000577</v>
      </c>
      <c r="M9" s="21">
        <v>-0.004523107177974439</v>
      </c>
      <c r="N9" s="33"/>
      <c r="O9" s="4"/>
      <c r="P9" s="76"/>
      <c r="Q9" s="76"/>
    </row>
    <row r="10" ht="18.0" customHeight="1" outlineLevel="2">
      <c r="A10" s="4"/>
      <c r="B10" s="5" t="s">
        <v>99</v>
      </c>
      <c r="C10" s="5" t="s">
        <v>46</v>
      </c>
      <c r="D10" s="83">
        <v>11880.0</v>
      </c>
      <c r="E10" s="83">
        <v>10700.0</v>
      </c>
      <c r="F10" s="83">
        <v>13289.772727272728</v>
      </c>
      <c r="G10" s="83">
        <v>12492.0</v>
      </c>
      <c r="H10" s="9"/>
      <c r="I10" s="4"/>
      <c r="J10" s="21"/>
      <c r="K10" s="21"/>
      <c r="L10" s="21"/>
      <c r="M10" s="21"/>
      <c r="N10" s="33"/>
      <c r="O10" s="4"/>
      <c r="P10" s="76"/>
      <c r="Q10" s="76"/>
    </row>
    <row r="11" ht="18.0" customHeight="1" outlineLevel="2">
      <c r="A11" s="4"/>
      <c r="B11" s="5"/>
      <c r="C11" s="79" t="s">
        <v>41</v>
      </c>
      <c r="D11" s="80">
        <v>11946.0</v>
      </c>
      <c r="E11" s="80">
        <v>10006.0</v>
      </c>
      <c r="F11" s="80">
        <v>13056.0</v>
      </c>
      <c r="G11" s="80">
        <v>12366.0</v>
      </c>
      <c r="H11" s="80"/>
      <c r="I11" s="4"/>
      <c r="J11" s="21">
        <v>66.0</v>
      </c>
      <c r="K11" s="21">
        <v>-694.0</v>
      </c>
      <c r="L11" s="21">
        <v>-233.77272727272793</v>
      </c>
      <c r="M11" s="21">
        <v>-126.0</v>
      </c>
      <c r="N11" s="33"/>
      <c r="O11" s="4"/>
      <c r="P11" s="76"/>
      <c r="Q11" s="76"/>
    </row>
    <row r="12" ht="18.0" customHeight="1" outlineLevel="2">
      <c r="A12" s="4"/>
      <c r="B12" s="84" t="s">
        <v>100</v>
      </c>
      <c r="C12" s="5" t="s">
        <v>46</v>
      </c>
      <c r="D12" s="85">
        <v>3.451</v>
      </c>
      <c r="E12" s="85">
        <v>3.493</v>
      </c>
      <c r="F12" s="85">
        <v>3.3009999999999997</v>
      </c>
      <c r="G12" s="85">
        <v>3.412050038294613</v>
      </c>
      <c r="H12" s="7"/>
      <c r="I12" s="4"/>
      <c r="J12" s="21"/>
      <c r="K12" s="21"/>
      <c r="L12" s="21"/>
      <c r="M12" s="21"/>
      <c r="N12" s="33"/>
      <c r="O12" s="4"/>
      <c r="P12" s="76"/>
      <c r="Q12" s="76"/>
    </row>
    <row r="13" ht="18.0" customHeight="1" outlineLevel="2">
      <c r="A13" s="86"/>
      <c r="B13" s="84"/>
      <c r="C13" s="79" t="s">
        <v>41</v>
      </c>
      <c r="D13" s="87">
        <v>3.450359712230216</v>
      </c>
      <c r="E13" s="87">
        <v>3.479148936170213</v>
      </c>
      <c r="F13" s="87">
        <v>3.4033107599699024</v>
      </c>
      <c r="G13" s="87">
        <v>3.442989214175655</v>
      </c>
      <c r="H13" s="87"/>
      <c r="I13" s="86"/>
      <c r="J13" s="88">
        <v>-6.40287769784198E-4</v>
      </c>
      <c r="K13" s="88">
        <v>-0.01385106382978707</v>
      </c>
      <c r="L13" s="88">
        <v>0.10231075996990269</v>
      </c>
      <c r="M13" s="88">
        <v>0.03093917588104178</v>
      </c>
      <c r="N13" s="89"/>
      <c r="O13" s="86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</row>
    <row r="14" ht="18.0" customHeight="1" outlineLevel="1">
      <c r="A14" s="4"/>
      <c r="B14" s="33" t="s">
        <v>101</v>
      </c>
      <c r="C14" s="4"/>
      <c r="D14" s="34">
        <v>7367813.0</v>
      </c>
      <c r="E14" s="34">
        <v>7657382.0</v>
      </c>
      <c r="F14" s="34">
        <v>1.620982E7</v>
      </c>
      <c r="G14" s="34">
        <v>3.1235015E7</v>
      </c>
      <c r="H14" s="34">
        <v>0.0</v>
      </c>
      <c r="I14" s="4"/>
      <c r="J14" s="21"/>
      <c r="K14" s="21"/>
      <c r="L14" s="21"/>
      <c r="M14" s="21"/>
      <c r="N14" s="33"/>
      <c r="O14" s="4"/>
      <c r="P14" s="76"/>
      <c r="Q14" s="76"/>
    </row>
    <row r="15" ht="18.0" customHeight="1" outlineLevel="1">
      <c r="A15" s="4"/>
      <c r="B15" s="33" t="s">
        <v>102</v>
      </c>
      <c r="C15" s="4"/>
      <c r="D15" s="34">
        <v>4.8573679E7</v>
      </c>
      <c r="E15" s="34">
        <v>4.0737713E7</v>
      </c>
      <c r="F15" s="34">
        <v>2.9202205E7</v>
      </c>
      <c r="G15" s="34">
        <v>1.18513597E8</v>
      </c>
      <c r="H15" s="34">
        <v>0.0</v>
      </c>
      <c r="I15" s="4"/>
      <c r="J15" s="21"/>
      <c r="K15" s="21"/>
      <c r="L15" s="21"/>
      <c r="M15" s="21"/>
      <c r="N15" s="33"/>
      <c r="O15" s="4"/>
      <c r="P15" s="76"/>
      <c r="Q15" s="76"/>
    </row>
    <row r="16" ht="18.0" customHeight="1" outlineLevel="1">
      <c r="A16" s="4"/>
      <c r="B16" s="33" t="s">
        <v>39</v>
      </c>
      <c r="C16" s="4"/>
      <c r="D16" s="34">
        <v>1278875.0</v>
      </c>
      <c r="E16" s="34">
        <v>906626.0</v>
      </c>
      <c r="F16" s="34">
        <v>1936455.0</v>
      </c>
      <c r="G16" s="34">
        <v>4121956.0</v>
      </c>
      <c r="H16" s="34">
        <v>0.0</v>
      </c>
      <c r="I16" s="4"/>
      <c r="J16" s="21"/>
      <c r="K16" s="21"/>
      <c r="L16" s="21"/>
      <c r="M16" s="21"/>
      <c r="N16" s="33"/>
      <c r="O16" s="4"/>
      <c r="P16" s="76"/>
      <c r="Q16" s="76"/>
    </row>
    <row r="17" ht="18.0" customHeight="1" outlineLevel="1">
      <c r="A17" s="4"/>
      <c r="B17" s="33" t="s">
        <v>103</v>
      </c>
      <c r="C17" s="4"/>
      <c r="D17" s="34">
        <v>0.0</v>
      </c>
      <c r="E17" s="34">
        <v>0.0</v>
      </c>
      <c r="F17" s="34">
        <v>1.1669214E7</v>
      </c>
      <c r="G17" s="34">
        <v>1.1669214E7</v>
      </c>
      <c r="H17" s="34">
        <v>0.0</v>
      </c>
      <c r="I17" s="4"/>
      <c r="J17" s="21"/>
      <c r="K17" s="21"/>
      <c r="L17" s="21"/>
      <c r="M17" s="21"/>
      <c r="N17" s="33"/>
      <c r="O17" s="4"/>
      <c r="P17" s="76"/>
      <c r="Q17" s="76"/>
    </row>
    <row r="18" ht="18.0" customHeight="1" outlineLevel="1">
      <c r="A18" s="4"/>
      <c r="B18" s="33" t="s">
        <v>104</v>
      </c>
      <c r="C18" s="4"/>
      <c r="D18" s="34">
        <v>68797.0</v>
      </c>
      <c r="E18" s="34">
        <v>139619.0</v>
      </c>
      <c r="F18" s="34">
        <v>0.0</v>
      </c>
      <c r="G18" s="34">
        <v>208416.0</v>
      </c>
      <c r="H18" s="34">
        <v>0.0</v>
      </c>
      <c r="I18" s="4"/>
      <c r="J18" s="21"/>
      <c r="K18" s="21"/>
      <c r="L18" s="21"/>
      <c r="M18" s="21"/>
      <c r="N18" s="33"/>
      <c r="O18" s="4"/>
      <c r="P18" s="76"/>
      <c r="Q18" s="76"/>
    </row>
    <row r="19" ht="18.0" customHeight="1" outlineLevel="1">
      <c r="A19" s="4"/>
      <c r="B19" s="33" t="s">
        <v>105</v>
      </c>
      <c r="C19" s="4"/>
      <c r="D19" s="34">
        <v>0.0</v>
      </c>
      <c r="E19" s="34">
        <v>0.0</v>
      </c>
      <c r="F19" s="34">
        <v>34480.0</v>
      </c>
      <c r="G19" s="34">
        <v>34480.0</v>
      </c>
      <c r="H19" s="34">
        <v>0.0</v>
      </c>
      <c r="I19" s="4"/>
      <c r="J19" s="21"/>
      <c r="K19" s="21"/>
      <c r="L19" s="21"/>
      <c r="M19" s="21"/>
      <c r="N19" s="33"/>
      <c r="O19" s="4"/>
      <c r="P19" s="76"/>
      <c r="Q19" s="76"/>
    </row>
    <row r="20" ht="18.0" customHeight="1">
      <c r="A20" s="4"/>
      <c r="B20" s="15" t="s">
        <v>24</v>
      </c>
      <c r="C20" s="35" t="s">
        <v>46</v>
      </c>
      <c r="D20" s="36">
        <v>5.77962E7</v>
      </c>
      <c r="E20" s="36">
        <v>5.0678E7</v>
      </c>
      <c r="F20" s="36">
        <v>5.8475E7</v>
      </c>
      <c r="G20" s="36">
        <v>1.669492E8</v>
      </c>
      <c r="H20" s="36">
        <v>0.0</v>
      </c>
      <c r="I20" s="4"/>
      <c r="J20" s="21"/>
      <c r="K20" s="21"/>
      <c r="L20" s="21"/>
      <c r="M20" s="21"/>
      <c r="N20" s="33"/>
      <c r="O20" s="21"/>
      <c r="P20" s="21"/>
      <c r="Q20" s="21"/>
    </row>
    <row r="21" ht="18.0" customHeight="1">
      <c r="A21" s="4"/>
      <c r="B21" s="15"/>
      <c r="C21" s="15" t="s">
        <v>41</v>
      </c>
      <c r="D21" s="16">
        <v>5.7289164E7</v>
      </c>
      <c r="E21" s="16">
        <v>4.944134E7</v>
      </c>
      <c r="F21" s="16">
        <v>5.9052174E7</v>
      </c>
      <c r="G21" s="16">
        <v>1.65782678E8</v>
      </c>
      <c r="H21" s="16">
        <v>0.0</v>
      </c>
      <c r="I21" s="4"/>
      <c r="J21" s="21">
        <v>-507036.0</v>
      </c>
      <c r="K21" s="21">
        <v>-1236660.0</v>
      </c>
      <c r="L21" s="21">
        <v>577174.0</v>
      </c>
      <c r="M21" s="21">
        <v>-1166522.0</v>
      </c>
      <c r="N21" s="33"/>
      <c r="O21" s="21"/>
      <c r="P21" s="21"/>
      <c r="Q21" s="21"/>
    </row>
    <row r="22" ht="18.0" customHeight="1" outlineLevel="1">
      <c r="A22" s="4"/>
      <c r="B22" s="33" t="s">
        <v>106</v>
      </c>
      <c r="C22" s="4"/>
      <c r="D22" s="34">
        <v>2960919.0</v>
      </c>
      <c r="E22" s="34">
        <v>3646402.0</v>
      </c>
      <c r="F22" s="34">
        <v>6975584.0</v>
      </c>
      <c r="G22" s="34">
        <v>1.3582905E7</v>
      </c>
      <c r="H22" s="34">
        <v>0.0</v>
      </c>
      <c r="I22" s="4"/>
      <c r="J22" s="21"/>
      <c r="K22" s="21"/>
      <c r="L22" s="21"/>
      <c r="M22" s="21"/>
      <c r="N22" s="33"/>
      <c r="O22" s="21"/>
      <c r="P22" s="21"/>
      <c r="Q22" s="21"/>
    </row>
    <row r="23" ht="18.0" customHeight="1" outlineLevel="1">
      <c r="A23" s="4"/>
      <c r="B23" s="33" t="s">
        <v>107</v>
      </c>
      <c r="C23" s="4"/>
      <c r="D23" s="34">
        <v>771582.0</v>
      </c>
      <c r="E23" s="34">
        <v>826554.0</v>
      </c>
      <c r="F23" s="34">
        <v>1226269.0</v>
      </c>
      <c r="G23" s="34">
        <v>2824405.0</v>
      </c>
      <c r="H23" s="34">
        <v>0.0</v>
      </c>
      <c r="I23" s="4"/>
      <c r="J23" s="21"/>
      <c r="K23" s="21"/>
      <c r="L23" s="21"/>
      <c r="M23" s="21"/>
      <c r="N23" s="33"/>
      <c r="O23" s="21"/>
      <c r="P23" s="21"/>
      <c r="Q23" s="21"/>
    </row>
    <row r="24" ht="18.0" customHeight="1">
      <c r="A24" s="4"/>
      <c r="B24" s="15" t="s">
        <v>25</v>
      </c>
      <c r="C24" s="35" t="s">
        <v>46</v>
      </c>
      <c r="D24" s="36">
        <v>3981710.0</v>
      </c>
      <c r="E24" s="36">
        <v>4490000.0</v>
      </c>
      <c r="F24" s="36">
        <v>6180749.0</v>
      </c>
      <c r="G24" s="36">
        <v>1.4652459E7</v>
      </c>
      <c r="H24" s="36">
        <v>0.0</v>
      </c>
      <c r="I24" s="4"/>
      <c r="J24" s="21"/>
      <c r="K24" s="21"/>
      <c r="L24" s="21"/>
      <c r="M24" s="21"/>
      <c r="N24" s="33"/>
      <c r="O24" s="21"/>
      <c r="P24" s="21"/>
      <c r="Q24" s="21"/>
    </row>
    <row r="25" ht="18.0" customHeight="1">
      <c r="A25" s="4"/>
      <c r="B25" s="15"/>
      <c r="C25" s="15" t="s">
        <v>41</v>
      </c>
      <c r="D25" s="16">
        <v>3732501.0</v>
      </c>
      <c r="E25" s="16">
        <v>4472956.0</v>
      </c>
      <c r="F25" s="16">
        <v>8201853.0</v>
      </c>
      <c r="G25" s="16">
        <v>1.640731E7</v>
      </c>
      <c r="H25" s="16">
        <v>0.0</v>
      </c>
      <c r="I25" s="4"/>
      <c r="J25" s="21">
        <v>-249209.0</v>
      </c>
      <c r="K25" s="21">
        <v>-17044.0</v>
      </c>
      <c r="L25" s="21">
        <v>2021104.0</v>
      </c>
      <c r="M25" s="21">
        <v>1754851.0</v>
      </c>
      <c r="N25" s="33"/>
      <c r="O25" s="21"/>
      <c r="P25" s="21"/>
      <c r="Q25" s="21"/>
    </row>
    <row r="26" ht="18.0" hidden="1" customHeight="1">
      <c r="A26" s="17"/>
      <c r="B26" s="18" t="s">
        <v>26</v>
      </c>
      <c r="C26" s="18"/>
      <c r="D26" s="16"/>
      <c r="E26" s="16"/>
      <c r="F26" s="16"/>
      <c r="G26" s="16"/>
      <c r="H26" s="16"/>
      <c r="I26" s="17"/>
      <c r="J26" s="21"/>
      <c r="K26" s="21"/>
      <c r="L26" s="21"/>
      <c r="M26" s="21"/>
      <c r="N26" s="91"/>
      <c r="O26" s="21"/>
      <c r="P26" s="21"/>
      <c r="Q26" s="21"/>
      <c r="R26" s="92"/>
    </row>
    <row r="27" ht="18.0" customHeight="1">
      <c r="A27" s="21"/>
      <c r="B27" s="22" t="s">
        <v>27</v>
      </c>
      <c r="C27" s="35" t="s">
        <v>46</v>
      </c>
      <c r="D27" s="37">
        <v>5.381449E7</v>
      </c>
      <c r="E27" s="37">
        <v>4.6188E7</v>
      </c>
      <c r="F27" s="37">
        <v>5.2294251E7</v>
      </c>
      <c r="G27" s="37">
        <v>1.52296741E8</v>
      </c>
      <c r="H27" s="37">
        <v>0.0</v>
      </c>
      <c r="I27" s="21"/>
      <c r="J27" s="21"/>
      <c r="K27" s="21"/>
      <c r="L27" s="21"/>
      <c r="M27" s="21"/>
      <c r="N27" s="93"/>
      <c r="O27" s="21"/>
      <c r="P27" s="21"/>
      <c r="Q27" s="21"/>
      <c r="R27" s="94"/>
    </row>
    <row r="28" ht="18.0" customHeight="1">
      <c r="A28" s="21"/>
      <c r="B28" s="22"/>
      <c r="C28" s="15" t="s">
        <v>41</v>
      </c>
      <c r="D28" s="23">
        <v>5.3556663E7</v>
      </c>
      <c r="E28" s="23">
        <v>4.4968384E7</v>
      </c>
      <c r="F28" s="23">
        <v>5.0850321E7</v>
      </c>
      <c r="G28" s="23">
        <v>1.49375368E8</v>
      </c>
      <c r="H28" s="23">
        <v>0.0</v>
      </c>
      <c r="I28" s="21"/>
      <c r="J28" s="21">
        <v>-257827.0</v>
      </c>
      <c r="K28" s="21">
        <v>-1219616.0</v>
      </c>
      <c r="L28" s="21">
        <v>-1443930.0</v>
      </c>
      <c r="M28" s="21">
        <v>-2921373.0</v>
      </c>
      <c r="N28" s="93"/>
      <c r="O28" s="21"/>
      <c r="P28" s="21"/>
      <c r="Q28" s="21"/>
      <c r="R28" s="94"/>
    </row>
    <row r="29" ht="18.0" customHeight="1">
      <c r="A29" s="21"/>
      <c r="B29" s="21" t="s">
        <v>28</v>
      </c>
      <c r="C29" s="4" t="s">
        <v>46</v>
      </c>
      <c r="D29" s="24">
        <v>1.6016995E7</v>
      </c>
      <c r="E29" s="24">
        <v>1.5009818E7</v>
      </c>
      <c r="F29" s="24">
        <v>1.5886938E7</v>
      </c>
      <c r="G29" s="24">
        <v>4.6913751E7</v>
      </c>
      <c r="H29" s="24">
        <v>0.0</v>
      </c>
      <c r="I29" s="21"/>
      <c r="J29" s="21"/>
      <c r="K29" s="21"/>
      <c r="L29" s="21"/>
      <c r="M29" s="21"/>
      <c r="N29" s="93"/>
      <c r="O29" s="21"/>
      <c r="P29" s="21"/>
      <c r="Q29" s="21"/>
    </row>
    <row r="30" ht="18.0" customHeight="1">
      <c r="A30" s="21"/>
      <c r="B30" s="21"/>
      <c r="C30" s="38" t="s">
        <v>41</v>
      </c>
      <c r="D30" s="39">
        <v>1.6291987E7</v>
      </c>
      <c r="E30" s="39">
        <v>1.6813696E7</v>
      </c>
      <c r="F30" s="39">
        <v>1.739892E7</v>
      </c>
      <c r="G30" s="39">
        <v>5.0504603E7</v>
      </c>
      <c r="H30" s="39">
        <v>9449342.0</v>
      </c>
      <c r="I30" s="21"/>
      <c r="J30" s="21">
        <v>274992.0</v>
      </c>
      <c r="K30" s="21">
        <v>1803878.0</v>
      </c>
      <c r="L30" s="21">
        <v>1511982.0</v>
      </c>
      <c r="M30" s="21">
        <v>3590852.0</v>
      </c>
      <c r="N30" s="93"/>
      <c r="O30" s="21"/>
      <c r="P30" s="21"/>
      <c r="Q30" s="21"/>
    </row>
    <row r="31" ht="18.0" hidden="1" customHeight="1" outlineLevel="1">
      <c r="A31" s="21"/>
      <c r="B31" s="40" t="s">
        <v>42</v>
      </c>
      <c r="C31" s="41" t="s">
        <v>46</v>
      </c>
      <c r="D31" s="42">
        <v>0.0</v>
      </c>
      <c r="E31" s="42">
        <v>0.0</v>
      </c>
      <c r="F31" s="42">
        <v>0.0</v>
      </c>
      <c r="G31" s="42">
        <v>0.0</v>
      </c>
      <c r="H31" s="42"/>
      <c r="I31" s="21"/>
      <c r="J31" s="21"/>
      <c r="K31" s="21"/>
      <c r="L31" s="21"/>
      <c r="M31" s="21"/>
      <c r="N31" s="93"/>
      <c r="O31" s="21"/>
      <c r="P31" s="21"/>
      <c r="Q31" s="21"/>
    </row>
    <row r="32" ht="18.0" hidden="1" customHeight="1" outlineLevel="1">
      <c r="A32" s="21"/>
      <c r="B32" s="40"/>
      <c r="C32" s="43" t="s">
        <v>41</v>
      </c>
      <c r="D32" s="44">
        <v>0.0</v>
      </c>
      <c r="E32" s="44">
        <v>0.0</v>
      </c>
      <c r="F32" s="44">
        <v>0.0</v>
      </c>
      <c r="G32" s="44">
        <v>0.0</v>
      </c>
      <c r="H32" s="44">
        <v>0.0</v>
      </c>
      <c r="I32" s="21"/>
      <c r="J32" s="21">
        <v>0.0</v>
      </c>
      <c r="K32" s="21">
        <v>0.0</v>
      </c>
      <c r="L32" s="21">
        <v>0.0</v>
      </c>
      <c r="M32" s="21">
        <v>0.0</v>
      </c>
      <c r="N32" s="93"/>
      <c r="O32" s="21"/>
      <c r="P32" s="21"/>
      <c r="Q32" s="21"/>
    </row>
    <row r="33" ht="18.0" hidden="1" customHeight="1" outlineLevel="1">
      <c r="A33" s="21"/>
      <c r="B33" s="40" t="s">
        <v>43</v>
      </c>
      <c r="C33" s="41" t="s">
        <v>46</v>
      </c>
      <c r="D33" s="42">
        <v>6340949.0</v>
      </c>
      <c r="E33" s="42">
        <v>6834762.0</v>
      </c>
      <c r="F33" s="42">
        <v>6779742.0</v>
      </c>
      <c r="G33" s="42">
        <v>1.9955453E7</v>
      </c>
      <c r="H33" s="42"/>
      <c r="I33" s="21"/>
      <c r="J33" s="21"/>
      <c r="K33" s="21"/>
      <c r="L33" s="21"/>
      <c r="M33" s="21"/>
      <c r="N33" s="93"/>
      <c r="O33" s="21"/>
      <c r="P33" s="21"/>
      <c r="Q33" s="21"/>
    </row>
    <row r="34" ht="18.0" hidden="1" customHeight="1" outlineLevel="1">
      <c r="A34" s="21"/>
      <c r="B34" s="40"/>
      <c r="C34" s="43" t="s">
        <v>41</v>
      </c>
      <c r="D34" s="44">
        <v>6340949.0</v>
      </c>
      <c r="E34" s="44">
        <v>6834762.0</v>
      </c>
      <c r="F34" s="44">
        <v>6779742.0</v>
      </c>
      <c r="G34" s="44">
        <v>1.9955453E7</v>
      </c>
      <c r="H34" s="44">
        <v>3879398.0</v>
      </c>
      <c r="I34" s="21"/>
      <c r="J34" s="21">
        <v>0.0</v>
      </c>
      <c r="K34" s="21">
        <v>0.0</v>
      </c>
      <c r="L34" s="21">
        <v>0.0</v>
      </c>
      <c r="M34" s="21">
        <v>0.0</v>
      </c>
      <c r="N34" s="93"/>
      <c r="O34" s="21"/>
      <c r="P34" s="21"/>
      <c r="Q34" s="21"/>
      <c r="R34" s="95"/>
    </row>
    <row r="35" ht="18.0" hidden="1" customHeight="1" outlineLevel="1">
      <c r="A35" s="21"/>
      <c r="B35" s="40" t="s">
        <v>44</v>
      </c>
      <c r="C35" s="41" t="s">
        <v>46</v>
      </c>
      <c r="D35" s="42">
        <v>6659209.0</v>
      </c>
      <c r="E35" s="42">
        <v>5273249.0</v>
      </c>
      <c r="F35" s="42">
        <v>5495844.0</v>
      </c>
      <c r="G35" s="42">
        <v>1.7428302E7</v>
      </c>
      <c r="H35" s="42"/>
      <c r="I35" s="21"/>
      <c r="J35" s="21"/>
      <c r="K35" s="21"/>
      <c r="L35" s="21"/>
      <c r="M35" s="21"/>
      <c r="N35" s="93"/>
      <c r="O35" s="21"/>
      <c r="P35" s="21"/>
      <c r="Q35" s="21"/>
    </row>
    <row r="36" ht="18.0" hidden="1" customHeight="1" outlineLevel="1">
      <c r="A36" s="21"/>
      <c r="B36" s="40"/>
      <c r="C36" s="43" t="s">
        <v>41</v>
      </c>
      <c r="D36" s="44">
        <v>6473006.0</v>
      </c>
      <c r="E36" s="44">
        <v>6512867.0</v>
      </c>
      <c r="F36" s="44">
        <v>6288440.0</v>
      </c>
      <c r="G36" s="44">
        <v>1.9274313E7</v>
      </c>
      <c r="H36" s="44">
        <v>432841.0</v>
      </c>
      <c r="I36" s="21"/>
      <c r="J36" s="21">
        <v>-186203.0</v>
      </c>
      <c r="K36" s="21">
        <v>1239618.0</v>
      </c>
      <c r="L36" s="21">
        <v>792596.0</v>
      </c>
      <c r="M36" s="21">
        <v>1846011.0</v>
      </c>
      <c r="N36" s="93"/>
      <c r="O36" s="21"/>
      <c r="P36" s="21"/>
      <c r="Q36" s="21"/>
      <c r="R36" s="95"/>
    </row>
    <row r="37" ht="18.0" hidden="1" customHeight="1" outlineLevel="1">
      <c r="A37" s="21"/>
      <c r="B37" s="40" t="s">
        <v>45</v>
      </c>
      <c r="C37" s="41" t="s">
        <v>46</v>
      </c>
      <c r="D37" s="42">
        <v>0.0</v>
      </c>
      <c r="E37" s="42">
        <v>0.0</v>
      </c>
      <c r="F37" s="42">
        <v>0.0</v>
      </c>
      <c r="G37" s="42">
        <v>0.0</v>
      </c>
      <c r="H37" s="42"/>
      <c r="I37" s="21"/>
      <c r="J37" s="21"/>
      <c r="K37" s="21"/>
      <c r="L37" s="21"/>
      <c r="M37" s="21"/>
      <c r="N37" s="93"/>
      <c r="O37" s="21"/>
      <c r="P37" s="21"/>
      <c r="Q37" s="21"/>
    </row>
    <row r="38" ht="18.0" hidden="1" customHeight="1" outlineLevel="1">
      <c r="A38" s="21"/>
      <c r="B38" s="40"/>
      <c r="C38" s="43" t="s">
        <v>41</v>
      </c>
      <c r="D38" s="44">
        <v>0.0</v>
      </c>
      <c r="E38" s="44">
        <v>0.0</v>
      </c>
      <c r="F38" s="44">
        <v>0.0</v>
      </c>
      <c r="G38" s="44">
        <v>0.0</v>
      </c>
      <c r="H38" s="44">
        <v>0.0</v>
      </c>
      <c r="I38" s="21"/>
      <c r="J38" s="21">
        <v>0.0</v>
      </c>
      <c r="K38" s="21">
        <v>0.0</v>
      </c>
      <c r="L38" s="21">
        <v>0.0</v>
      </c>
      <c r="M38" s="21">
        <v>0.0</v>
      </c>
      <c r="N38" s="93"/>
      <c r="O38" s="21"/>
      <c r="P38" s="21"/>
      <c r="Q38" s="21"/>
    </row>
    <row r="39" ht="18.0" hidden="1" customHeight="1" outlineLevel="1">
      <c r="A39" s="21"/>
      <c r="B39" s="40" t="s">
        <v>48</v>
      </c>
      <c r="C39" s="41" t="s">
        <v>46</v>
      </c>
      <c r="D39" s="42">
        <v>2016391.0</v>
      </c>
      <c r="E39" s="42">
        <v>2005591.0</v>
      </c>
      <c r="F39" s="42">
        <v>2202296.0</v>
      </c>
      <c r="G39" s="42">
        <v>6224278.0</v>
      </c>
      <c r="H39" s="42"/>
      <c r="I39" s="21"/>
      <c r="J39" s="21"/>
      <c r="K39" s="21"/>
      <c r="L39" s="21"/>
      <c r="M39" s="21"/>
      <c r="N39" s="93"/>
      <c r="O39" s="21"/>
      <c r="P39" s="21"/>
      <c r="Q39" s="21"/>
    </row>
    <row r="40" ht="18.0" hidden="1" customHeight="1" outlineLevel="1">
      <c r="A40" s="21"/>
      <c r="B40" s="40"/>
      <c r="C40" s="43" t="s">
        <v>41</v>
      </c>
      <c r="D40" s="44">
        <v>1856493.0</v>
      </c>
      <c r="E40" s="44">
        <v>2371179.0</v>
      </c>
      <c r="F40" s="44">
        <v>2228084.0</v>
      </c>
      <c r="G40" s="44">
        <v>6455756.0</v>
      </c>
      <c r="H40" s="44">
        <v>843739.0</v>
      </c>
      <c r="I40" s="21"/>
      <c r="J40" s="21">
        <v>-159898.0</v>
      </c>
      <c r="K40" s="21">
        <v>365588.0</v>
      </c>
      <c r="L40" s="21">
        <v>25788.0</v>
      </c>
      <c r="M40" s="21">
        <v>231478.0</v>
      </c>
      <c r="N40" s="93"/>
      <c r="O40" s="21"/>
      <c r="P40" s="21"/>
      <c r="Q40" s="21"/>
    </row>
    <row r="41" ht="18.0" hidden="1" customHeight="1" outlineLevel="1">
      <c r="A41" s="21"/>
      <c r="B41" s="40" t="s">
        <v>47</v>
      </c>
      <c r="C41" s="41" t="s">
        <v>46</v>
      </c>
      <c r="D41" s="42">
        <v>442446.0</v>
      </c>
      <c r="E41" s="42">
        <v>576216.0</v>
      </c>
      <c r="F41" s="42">
        <v>613661.0</v>
      </c>
      <c r="G41" s="42">
        <v>1632323.0</v>
      </c>
      <c r="H41" s="42"/>
      <c r="I41" s="21"/>
      <c r="J41" s="21"/>
      <c r="K41" s="21"/>
      <c r="L41" s="21"/>
      <c r="M41" s="21"/>
      <c r="N41" s="93"/>
      <c r="O41" s="21"/>
      <c r="P41" s="21"/>
      <c r="Q41" s="21"/>
    </row>
    <row r="42" ht="18.0" hidden="1" customHeight="1" outlineLevel="1">
      <c r="A42" s="21"/>
      <c r="B42" s="40"/>
      <c r="C42" s="43" t="s">
        <v>41</v>
      </c>
      <c r="D42" s="44">
        <v>442446.0</v>
      </c>
      <c r="E42" s="44">
        <v>505914.0</v>
      </c>
      <c r="F42" s="44">
        <v>548750.0</v>
      </c>
      <c r="G42" s="44">
        <v>1497110.0</v>
      </c>
      <c r="H42" s="44">
        <v>454260.0</v>
      </c>
      <c r="I42" s="21"/>
      <c r="J42" s="21">
        <v>0.0</v>
      </c>
      <c r="K42" s="21">
        <v>-70302.0</v>
      </c>
      <c r="L42" s="21">
        <v>-64911.0</v>
      </c>
      <c r="M42" s="21">
        <v>-135213.0</v>
      </c>
      <c r="N42" s="93"/>
      <c r="O42" s="21"/>
      <c r="P42" s="21"/>
      <c r="Q42" s="21"/>
    </row>
    <row r="43" ht="18.0" hidden="1" customHeight="1" outlineLevel="1">
      <c r="A43" s="21"/>
      <c r="B43" s="40" t="s">
        <v>49</v>
      </c>
      <c r="C43" s="41" t="s">
        <v>46</v>
      </c>
      <c r="D43" s="42">
        <v>78000.0</v>
      </c>
      <c r="E43" s="42">
        <v>20000.0</v>
      </c>
      <c r="F43" s="42">
        <v>143334.0</v>
      </c>
      <c r="G43" s="42">
        <v>241334.0</v>
      </c>
      <c r="H43" s="42"/>
      <c r="I43" s="21"/>
      <c r="J43" s="21"/>
      <c r="K43" s="21"/>
      <c r="L43" s="21"/>
      <c r="M43" s="21"/>
      <c r="N43" s="93"/>
      <c r="O43" s="21"/>
      <c r="P43" s="21"/>
      <c r="Q43" s="21"/>
    </row>
    <row r="44" ht="18.0" hidden="1" customHeight="1" outlineLevel="1">
      <c r="A44" s="21"/>
      <c r="B44" s="40"/>
      <c r="C44" s="43" t="s">
        <v>41</v>
      </c>
      <c r="D44" s="44">
        <v>96891.0</v>
      </c>
      <c r="E44" s="44">
        <v>351706.0</v>
      </c>
      <c r="F44" s="44">
        <v>182181.0</v>
      </c>
      <c r="G44" s="44">
        <v>630778.0</v>
      </c>
      <c r="H44" s="44">
        <v>348682.0</v>
      </c>
      <c r="I44" s="21"/>
      <c r="J44" s="21">
        <v>18891.0</v>
      </c>
      <c r="K44" s="21">
        <v>331706.0</v>
      </c>
      <c r="L44" s="21">
        <v>38847.0</v>
      </c>
      <c r="M44" s="21">
        <v>389444.0</v>
      </c>
      <c r="N44" s="93"/>
      <c r="O44" s="21"/>
      <c r="P44" s="21"/>
      <c r="Q44" s="21"/>
    </row>
    <row r="45" ht="18.0" hidden="1" customHeight="1" outlineLevel="1">
      <c r="A45" s="21"/>
      <c r="B45" s="40" t="s">
        <v>108</v>
      </c>
      <c r="C45" s="41" t="s">
        <v>46</v>
      </c>
      <c r="D45" s="42">
        <v>0.0</v>
      </c>
      <c r="E45" s="42">
        <v>0.0</v>
      </c>
      <c r="F45" s="42">
        <v>0.0</v>
      </c>
      <c r="G45" s="42">
        <v>0.0</v>
      </c>
      <c r="H45" s="42"/>
      <c r="I45" s="21"/>
      <c r="J45" s="21"/>
      <c r="K45" s="21"/>
      <c r="L45" s="21"/>
      <c r="M45" s="21"/>
      <c r="N45" s="93"/>
      <c r="O45" s="21"/>
      <c r="P45" s="21"/>
      <c r="Q45" s="21"/>
    </row>
    <row r="46" ht="18.0" hidden="1" customHeight="1" outlineLevel="1">
      <c r="A46" s="21"/>
      <c r="B46" s="40"/>
      <c r="C46" s="43" t="s">
        <v>41</v>
      </c>
      <c r="D46" s="44">
        <v>0.0</v>
      </c>
      <c r="E46" s="44">
        <v>0.0</v>
      </c>
      <c r="F46" s="44">
        <v>0.0</v>
      </c>
      <c r="G46" s="44">
        <v>0.0</v>
      </c>
      <c r="H46" s="44">
        <v>0.0</v>
      </c>
      <c r="I46" s="21"/>
      <c r="J46" s="21">
        <v>0.0</v>
      </c>
      <c r="K46" s="21">
        <v>0.0</v>
      </c>
      <c r="L46" s="21">
        <v>0.0</v>
      </c>
      <c r="M46" s="21">
        <v>0.0</v>
      </c>
      <c r="N46" s="93"/>
      <c r="O46" s="21"/>
      <c r="P46" s="21"/>
      <c r="Q46" s="21"/>
    </row>
    <row r="47" ht="18.0" hidden="1" customHeight="1" outlineLevel="1">
      <c r="A47" s="21"/>
      <c r="B47" s="40" t="s">
        <v>50</v>
      </c>
      <c r="C47" s="41" t="s">
        <v>46</v>
      </c>
      <c r="D47" s="42">
        <v>480000.0</v>
      </c>
      <c r="E47" s="42">
        <v>300000.0</v>
      </c>
      <c r="F47" s="42">
        <v>652061.0</v>
      </c>
      <c r="G47" s="42">
        <v>1432061.0</v>
      </c>
      <c r="H47" s="42"/>
      <c r="I47" s="21"/>
      <c r="J47" s="21"/>
      <c r="K47" s="21"/>
      <c r="L47" s="21"/>
      <c r="M47" s="21"/>
      <c r="N47" s="93"/>
      <c r="O47" s="21"/>
      <c r="P47" s="21"/>
      <c r="Q47" s="21"/>
    </row>
    <row r="48" ht="18.0" hidden="1" customHeight="1" outlineLevel="1">
      <c r="A48" s="21"/>
      <c r="B48" s="40"/>
      <c r="C48" s="43" t="s">
        <v>41</v>
      </c>
      <c r="D48" s="44">
        <v>1079322.0</v>
      </c>
      <c r="E48" s="44">
        <v>237268.0</v>
      </c>
      <c r="F48" s="44">
        <v>1371723.0</v>
      </c>
      <c r="G48" s="44">
        <v>2688313.0</v>
      </c>
      <c r="H48" s="44">
        <v>1797591.0</v>
      </c>
      <c r="I48" s="21"/>
      <c r="J48" s="21">
        <v>599322.0</v>
      </c>
      <c r="K48" s="21">
        <v>-62732.0</v>
      </c>
      <c r="L48" s="21">
        <v>719662.0</v>
      </c>
      <c r="M48" s="21">
        <v>1256252.0</v>
      </c>
      <c r="N48" s="93"/>
      <c r="O48" s="21"/>
      <c r="P48" s="21"/>
      <c r="Q48" s="21"/>
    </row>
    <row r="49" ht="18.0" hidden="1" customHeight="1" outlineLevel="1">
      <c r="A49" s="21"/>
      <c r="B49" s="40" t="s">
        <v>51</v>
      </c>
      <c r="C49" s="41" t="s">
        <v>46</v>
      </c>
      <c r="D49" s="42">
        <v>0.0</v>
      </c>
      <c r="E49" s="42">
        <v>0.0</v>
      </c>
      <c r="F49" s="42">
        <v>0.0</v>
      </c>
      <c r="G49" s="42">
        <v>0.0</v>
      </c>
      <c r="H49" s="42"/>
      <c r="I49" s="21"/>
      <c r="J49" s="21"/>
      <c r="K49" s="21"/>
      <c r="L49" s="21"/>
      <c r="M49" s="21"/>
      <c r="N49" s="93"/>
      <c r="O49" s="21"/>
      <c r="P49" s="21"/>
      <c r="Q49" s="21"/>
    </row>
    <row r="50" ht="18.0" hidden="1" customHeight="1" outlineLevel="1">
      <c r="A50" s="21"/>
      <c r="B50" s="40"/>
      <c r="C50" s="43" t="s">
        <v>41</v>
      </c>
      <c r="D50" s="44">
        <v>2880.0</v>
      </c>
      <c r="E50" s="44">
        <v>0.0</v>
      </c>
      <c r="F50" s="44">
        <v>0.0</v>
      </c>
      <c r="G50" s="44">
        <v>2880.0</v>
      </c>
      <c r="H50" s="44">
        <v>1192831.0</v>
      </c>
      <c r="I50" s="21"/>
      <c r="J50" s="21">
        <v>2880.0</v>
      </c>
      <c r="K50" s="21">
        <v>0.0</v>
      </c>
      <c r="L50" s="21">
        <v>0.0</v>
      </c>
      <c r="M50" s="21">
        <v>2880.0</v>
      </c>
      <c r="N50" s="93"/>
      <c r="O50" s="21"/>
      <c r="P50" s="21"/>
      <c r="Q50" s="21"/>
    </row>
    <row r="51" ht="18.0" hidden="1" customHeight="1" outlineLevel="1">
      <c r="A51" s="21"/>
      <c r="B51" s="40" t="s">
        <v>54</v>
      </c>
      <c r="C51" s="41" t="s">
        <v>46</v>
      </c>
      <c r="D51" s="42">
        <v>0.0</v>
      </c>
      <c r="E51" s="42">
        <v>0.0</v>
      </c>
      <c r="F51" s="42">
        <v>0.0</v>
      </c>
      <c r="G51" s="42">
        <v>0.0</v>
      </c>
      <c r="H51" s="42"/>
      <c r="I51" s="21"/>
      <c r="J51" s="21"/>
      <c r="K51" s="21"/>
      <c r="L51" s="21"/>
      <c r="M51" s="21"/>
      <c r="N51" s="93"/>
      <c r="O51" s="21"/>
      <c r="P51" s="21"/>
      <c r="Q51" s="21"/>
    </row>
    <row r="52" ht="18.0" hidden="1" customHeight="1" outlineLevel="1">
      <c r="A52" s="21"/>
      <c r="B52" s="40"/>
      <c r="C52" s="43" t="s">
        <v>41</v>
      </c>
      <c r="D52" s="44">
        <v>0.0</v>
      </c>
      <c r="E52" s="44">
        <v>0.0</v>
      </c>
      <c r="F52" s="44">
        <v>0.0</v>
      </c>
      <c r="G52" s="44">
        <v>0.0</v>
      </c>
      <c r="H52" s="44">
        <v>500000.0</v>
      </c>
      <c r="I52" s="21"/>
      <c r="J52" s="21">
        <v>0.0</v>
      </c>
      <c r="K52" s="21">
        <v>0.0</v>
      </c>
      <c r="L52" s="21">
        <v>0.0</v>
      </c>
      <c r="M52" s="21">
        <v>0.0</v>
      </c>
      <c r="N52" s="93"/>
      <c r="O52" s="21"/>
      <c r="P52" s="21"/>
      <c r="Q52" s="21"/>
    </row>
    <row r="53" ht="18.0" customHeight="1" collapsed="1">
      <c r="A53" s="21"/>
      <c r="B53" s="21" t="s">
        <v>29</v>
      </c>
      <c r="C53" s="4" t="s">
        <v>46</v>
      </c>
      <c r="D53" s="24">
        <v>1.2401915E7</v>
      </c>
      <c r="E53" s="24">
        <v>2.3283255E7</v>
      </c>
      <c r="F53" s="24">
        <v>1.7454399E7</v>
      </c>
      <c r="G53" s="24">
        <v>5.3139569E7</v>
      </c>
      <c r="H53" s="24">
        <v>0.0</v>
      </c>
      <c r="I53" s="21"/>
      <c r="J53" s="21"/>
      <c r="K53" s="21"/>
      <c r="L53" s="21"/>
      <c r="M53" s="21"/>
      <c r="N53" s="93"/>
      <c r="O53" s="21"/>
      <c r="P53" s="21"/>
      <c r="Q53" s="21"/>
    </row>
    <row r="54" ht="18.0" customHeight="1">
      <c r="A54" s="21"/>
      <c r="B54" s="21"/>
      <c r="C54" s="38" t="s">
        <v>41</v>
      </c>
      <c r="D54" s="39">
        <v>1.2562412E7</v>
      </c>
      <c r="E54" s="39">
        <v>2.2310447E7</v>
      </c>
      <c r="F54" s="39">
        <v>1.5287451E7</v>
      </c>
      <c r="G54" s="39">
        <v>5.016031E7</v>
      </c>
      <c r="H54" s="39">
        <v>105247.0</v>
      </c>
      <c r="I54" s="21"/>
      <c r="J54" s="21">
        <v>160497.0</v>
      </c>
      <c r="K54" s="21">
        <v>-972808.0</v>
      </c>
      <c r="L54" s="21">
        <v>-2166948.0</v>
      </c>
      <c r="M54" s="21">
        <v>-2979259.0</v>
      </c>
      <c r="N54" s="93"/>
      <c r="O54" s="21"/>
      <c r="P54" s="21"/>
      <c r="Q54" s="21"/>
    </row>
    <row r="55" ht="18.0" hidden="1" customHeight="1" outlineLevel="1">
      <c r="A55" s="45"/>
      <c r="B55" s="46" t="s">
        <v>55</v>
      </c>
      <c r="C55" s="47" t="s">
        <v>46</v>
      </c>
      <c r="D55" s="48">
        <v>90000.0</v>
      </c>
      <c r="E55" s="48">
        <v>80000.0</v>
      </c>
      <c r="F55" s="48">
        <v>90000.0</v>
      </c>
      <c r="G55" s="48">
        <v>260000.0</v>
      </c>
      <c r="H55" s="48"/>
      <c r="I55" s="21"/>
      <c r="J55" s="21"/>
      <c r="K55" s="21"/>
      <c r="L55" s="21"/>
      <c r="M55" s="21"/>
      <c r="N55" s="93"/>
      <c r="O55" s="21"/>
      <c r="P55" s="21"/>
      <c r="Q55" s="21"/>
    </row>
    <row r="56" ht="18.0" hidden="1" customHeight="1" outlineLevel="1">
      <c r="A56" s="45"/>
      <c r="B56" s="46"/>
      <c r="C56" s="49" t="s">
        <v>41</v>
      </c>
      <c r="D56" s="50">
        <v>90000.0</v>
      </c>
      <c r="E56" s="50">
        <v>80000.0</v>
      </c>
      <c r="F56" s="50">
        <v>90000.0</v>
      </c>
      <c r="G56" s="50">
        <v>260000.0</v>
      </c>
      <c r="H56" s="50">
        <v>0.0</v>
      </c>
      <c r="I56" s="21"/>
      <c r="J56" s="21">
        <v>0.0</v>
      </c>
      <c r="K56" s="21">
        <v>0.0</v>
      </c>
      <c r="L56" s="21">
        <v>0.0</v>
      </c>
      <c r="M56" s="21">
        <v>0.0</v>
      </c>
      <c r="N56" s="93"/>
      <c r="O56" s="21"/>
      <c r="P56" s="21"/>
      <c r="Q56" s="21"/>
    </row>
    <row r="57" ht="18.0" hidden="1" customHeight="1" outlineLevel="1">
      <c r="A57" s="45"/>
      <c r="B57" s="46" t="s">
        <v>56</v>
      </c>
      <c r="C57" s="47" t="s">
        <v>46</v>
      </c>
      <c r="D57" s="48">
        <v>2469750.0</v>
      </c>
      <c r="E57" s="48">
        <v>1.0821E7</v>
      </c>
      <c r="F57" s="48">
        <v>880000.0</v>
      </c>
      <c r="G57" s="48">
        <v>1.417075E7</v>
      </c>
      <c r="H57" s="48"/>
      <c r="I57" s="21"/>
      <c r="J57" s="21"/>
      <c r="K57" s="21"/>
      <c r="L57" s="21"/>
      <c r="M57" s="21"/>
      <c r="N57" s="93"/>
      <c r="O57" s="21"/>
      <c r="P57" s="21"/>
      <c r="Q57" s="21"/>
    </row>
    <row r="58" ht="18.0" hidden="1" customHeight="1" outlineLevel="1">
      <c r="A58" s="45"/>
      <c r="B58" s="46"/>
      <c r="C58" s="49" t="s">
        <v>41</v>
      </c>
      <c r="D58" s="50">
        <v>1729096.0</v>
      </c>
      <c r="E58" s="50">
        <v>1.0415356E7</v>
      </c>
      <c r="F58" s="50">
        <v>571576.0</v>
      </c>
      <c r="G58" s="50">
        <v>1.2716028E7</v>
      </c>
      <c r="H58" s="50">
        <v>0.0</v>
      </c>
      <c r="I58" s="21"/>
      <c r="J58" s="21">
        <v>-740654.0</v>
      </c>
      <c r="K58" s="21">
        <v>-405644.0</v>
      </c>
      <c r="L58" s="21">
        <v>-308424.0</v>
      </c>
      <c r="M58" s="21">
        <v>-1454722.0</v>
      </c>
      <c r="N58" s="93"/>
      <c r="O58" s="21"/>
      <c r="P58" s="21"/>
      <c r="Q58" s="21"/>
    </row>
    <row r="59" ht="18.0" hidden="1" customHeight="1" outlineLevel="1">
      <c r="A59" s="21"/>
      <c r="B59" s="46" t="s">
        <v>57</v>
      </c>
      <c r="C59" s="47" t="s">
        <v>46</v>
      </c>
      <c r="D59" s="48">
        <v>973000.0</v>
      </c>
      <c r="E59" s="48">
        <v>1062720.0</v>
      </c>
      <c r="F59" s="48">
        <v>2472770.0</v>
      </c>
      <c r="G59" s="48">
        <v>4508490.0</v>
      </c>
      <c r="H59" s="48"/>
      <c r="I59" s="21"/>
      <c r="J59" s="21"/>
      <c r="K59" s="21"/>
      <c r="L59" s="21"/>
      <c r="M59" s="21"/>
      <c r="N59" s="93"/>
      <c r="O59" s="21"/>
      <c r="P59" s="21"/>
      <c r="Q59" s="21"/>
    </row>
    <row r="60" ht="18.0" hidden="1" customHeight="1" outlineLevel="1">
      <c r="A60" s="21"/>
      <c r="B60" s="46"/>
      <c r="C60" s="49" t="s">
        <v>41</v>
      </c>
      <c r="D60" s="50">
        <v>1117546.0</v>
      </c>
      <c r="E60" s="50">
        <v>962543.0</v>
      </c>
      <c r="F60" s="50">
        <v>3301284.0</v>
      </c>
      <c r="G60" s="50">
        <v>5381373.0</v>
      </c>
      <c r="H60" s="50">
        <v>0.0</v>
      </c>
      <c r="I60" s="21"/>
      <c r="J60" s="21">
        <v>144546.0</v>
      </c>
      <c r="K60" s="21">
        <v>-100177.0</v>
      </c>
      <c r="L60" s="21">
        <v>828514.0</v>
      </c>
      <c r="M60" s="21">
        <v>872883.0</v>
      </c>
      <c r="N60" s="93"/>
      <c r="O60" s="21"/>
      <c r="P60" s="21"/>
      <c r="Q60" s="21"/>
    </row>
    <row r="61" ht="18.0" hidden="1" customHeight="1" outlineLevel="1">
      <c r="A61" s="21"/>
      <c r="B61" s="46" t="s">
        <v>59</v>
      </c>
      <c r="C61" s="47" t="s">
        <v>46</v>
      </c>
      <c r="D61" s="48">
        <v>716269.0</v>
      </c>
      <c r="E61" s="48">
        <v>361928.0</v>
      </c>
      <c r="F61" s="48">
        <v>555015.0</v>
      </c>
      <c r="G61" s="48">
        <v>1633212.0</v>
      </c>
      <c r="H61" s="48"/>
      <c r="I61" s="21"/>
      <c r="J61" s="21"/>
      <c r="K61" s="21"/>
      <c r="L61" s="21"/>
      <c r="M61" s="21"/>
      <c r="N61" s="93"/>
      <c r="O61" s="21"/>
      <c r="P61" s="21"/>
      <c r="Q61" s="21"/>
    </row>
    <row r="62" ht="18.0" hidden="1" customHeight="1" outlineLevel="1">
      <c r="A62" s="21"/>
      <c r="B62" s="46"/>
      <c r="C62" s="49" t="s">
        <v>41</v>
      </c>
      <c r="D62" s="50">
        <v>560446.0</v>
      </c>
      <c r="E62" s="50">
        <v>384365.0</v>
      </c>
      <c r="F62" s="50">
        <v>355710.0</v>
      </c>
      <c r="G62" s="50">
        <v>1300521.0</v>
      </c>
      <c r="H62" s="50">
        <v>0.0</v>
      </c>
      <c r="I62" s="21"/>
      <c r="J62" s="21">
        <v>-155823.0</v>
      </c>
      <c r="K62" s="21">
        <v>22437.0</v>
      </c>
      <c r="L62" s="21">
        <v>-199305.0</v>
      </c>
      <c r="M62" s="21">
        <v>-332691.0</v>
      </c>
      <c r="N62" s="93"/>
      <c r="O62" s="21"/>
      <c r="P62" s="21"/>
      <c r="Q62" s="21"/>
    </row>
    <row r="63" ht="18.0" hidden="1" customHeight="1" outlineLevel="1">
      <c r="A63" s="21"/>
      <c r="B63" s="46" t="s">
        <v>60</v>
      </c>
      <c r="C63" s="47" t="s">
        <v>46</v>
      </c>
      <c r="D63" s="48">
        <v>1656000.0</v>
      </c>
      <c r="E63" s="48">
        <v>1684005.0</v>
      </c>
      <c r="F63" s="48">
        <v>2528965.0</v>
      </c>
      <c r="G63" s="48">
        <v>5868970.0</v>
      </c>
      <c r="H63" s="48"/>
      <c r="I63" s="21"/>
      <c r="J63" s="21"/>
      <c r="K63" s="21"/>
      <c r="L63" s="21"/>
      <c r="M63" s="21"/>
      <c r="N63" s="93"/>
      <c r="O63" s="21"/>
      <c r="P63" s="21"/>
      <c r="Q63" s="21"/>
    </row>
    <row r="64" ht="18.0" hidden="1" customHeight="1" outlineLevel="1">
      <c r="A64" s="21"/>
      <c r="B64" s="46"/>
      <c r="C64" s="49" t="s">
        <v>41</v>
      </c>
      <c r="D64" s="50">
        <v>1694678.0</v>
      </c>
      <c r="E64" s="50">
        <v>1497133.0</v>
      </c>
      <c r="F64" s="50">
        <v>2503147.0</v>
      </c>
      <c r="G64" s="50">
        <v>5694958.0</v>
      </c>
      <c r="H64" s="50">
        <v>0.0</v>
      </c>
      <c r="I64" s="21"/>
      <c r="J64" s="21">
        <v>38678.0</v>
      </c>
      <c r="K64" s="21">
        <v>-186872.0</v>
      </c>
      <c r="L64" s="21">
        <v>-25818.0</v>
      </c>
      <c r="M64" s="21">
        <v>-174012.0</v>
      </c>
      <c r="N64" s="93"/>
      <c r="O64" s="21"/>
      <c r="P64" s="21"/>
      <c r="Q64" s="21"/>
    </row>
    <row r="65" ht="18.0" hidden="1" customHeight="1" outlineLevel="1">
      <c r="A65" s="21"/>
      <c r="B65" s="46" t="s">
        <v>61</v>
      </c>
      <c r="C65" s="47" t="s">
        <v>46</v>
      </c>
      <c r="D65" s="48">
        <v>500000.0</v>
      </c>
      <c r="E65" s="48">
        <v>500000.0</v>
      </c>
      <c r="F65" s="48">
        <v>500000.0</v>
      </c>
      <c r="G65" s="48">
        <v>1500000.0</v>
      </c>
      <c r="H65" s="48"/>
      <c r="I65" s="21"/>
      <c r="J65" s="21"/>
      <c r="K65" s="21"/>
      <c r="L65" s="21"/>
      <c r="M65" s="21"/>
      <c r="N65" s="93"/>
      <c r="O65" s="21"/>
      <c r="P65" s="21"/>
      <c r="Q65" s="21"/>
    </row>
    <row r="66" ht="18.0" hidden="1" customHeight="1" outlineLevel="1">
      <c r="A66" s="21"/>
      <c r="B66" s="46"/>
      <c r="C66" s="49" t="s">
        <v>41</v>
      </c>
      <c r="D66" s="50">
        <v>500000.0</v>
      </c>
      <c r="E66" s="50">
        <v>500000.0</v>
      </c>
      <c r="F66" s="50">
        <v>500000.0</v>
      </c>
      <c r="G66" s="50">
        <v>1500000.0</v>
      </c>
      <c r="H66" s="50">
        <v>0.0</v>
      </c>
      <c r="I66" s="21"/>
      <c r="J66" s="21">
        <v>0.0</v>
      </c>
      <c r="K66" s="21">
        <v>0.0</v>
      </c>
      <c r="L66" s="21">
        <v>0.0</v>
      </c>
      <c r="M66" s="21">
        <v>0.0</v>
      </c>
      <c r="N66" s="93"/>
      <c r="O66" s="21"/>
      <c r="P66" s="21"/>
      <c r="Q66" s="21"/>
    </row>
    <row r="67" ht="18.0" hidden="1" customHeight="1" outlineLevel="1">
      <c r="A67" s="21"/>
      <c r="B67" s="46" t="s">
        <v>62</v>
      </c>
      <c r="C67" s="47" t="s">
        <v>46</v>
      </c>
      <c r="D67" s="48">
        <v>0.0</v>
      </c>
      <c r="E67" s="48">
        <v>0.0</v>
      </c>
      <c r="F67" s="48">
        <v>0.0</v>
      </c>
      <c r="G67" s="48">
        <v>0.0</v>
      </c>
      <c r="H67" s="48"/>
      <c r="I67" s="21"/>
      <c r="J67" s="21"/>
      <c r="K67" s="21"/>
      <c r="L67" s="21"/>
      <c r="M67" s="21"/>
      <c r="N67" s="93"/>
      <c r="O67" s="21"/>
      <c r="P67" s="21"/>
      <c r="Q67" s="21"/>
    </row>
    <row r="68" ht="18.0" hidden="1" customHeight="1" outlineLevel="1">
      <c r="A68" s="21"/>
      <c r="B68" s="46"/>
      <c r="C68" s="49" t="s">
        <v>41</v>
      </c>
      <c r="D68" s="50">
        <v>0.0</v>
      </c>
      <c r="E68" s="50">
        <v>0.0</v>
      </c>
      <c r="F68" s="50">
        <v>0.0</v>
      </c>
      <c r="G68" s="50">
        <v>0.0</v>
      </c>
      <c r="H68" s="50">
        <v>0.0</v>
      </c>
      <c r="I68" s="21"/>
      <c r="J68" s="21">
        <v>0.0</v>
      </c>
      <c r="K68" s="21">
        <v>0.0</v>
      </c>
      <c r="L68" s="21">
        <v>0.0</v>
      </c>
      <c r="M68" s="21">
        <v>0.0</v>
      </c>
      <c r="N68" s="93"/>
      <c r="O68" s="21"/>
      <c r="P68" s="21"/>
      <c r="Q68" s="21"/>
    </row>
    <row r="69" ht="18.0" hidden="1" customHeight="1" outlineLevel="1">
      <c r="A69" s="21"/>
      <c r="B69" s="46" t="s">
        <v>63</v>
      </c>
      <c r="C69" s="47" t="s">
        <v>46</v>
      </c>
      <c r="D69" s="48">
        <v>0.0</v>
      </c>
      <c r="E69" s="48">
        <v>0.0</v>
      </c>
      <c r="F69" s="48">
        <v>83334.0</v>
      </c>
      <c r="G69" s="48">
        <v>83334.0</v>
      </c>
      <c r="H69" s="48"/>
      <c r="I69" s="21"/>
      <c r="J69" s="21"/>
      <c r="K69" s="21"/>
      <c r="L69" s="21"/>
      <c r="M69" s="21"/>
      <c r="N69" s="93"/>
      <c r="O69" s="21"/>
      <c r="P69" s="21"/>
      <c r="Q69" s="21"/>
    </row>
    <row r="70" ht="18.0" hidden="1" customHeight="1" outlineLevel="1">
      <c r="A70" s="21"/>
      <c r="B70" s="46"/>
      <c r="C70" s="49" t="s">
        <v>41</v>
      </c>
      <c r="D70" s="50">
        <v>0.0</v>
      </c>
      <c r="E70" s="50">
        <v>0.0</v>
      </c>
      <c r="F70" s="50">
        <v>83334.0</v>
      </c>
      <c r="G70" s="50">
        <v>83334.0</v>
      </c>
      <c r="H70" s="50">
        <v>0.0</v>
      </c>
      <c r="I70" s="21"/>
      <c r="J70" s="21">
        <v>0.0</v>
      </c>
      <c r="K70" s="21">
        <v>0.0</v>
      </c>
      <c r="L70" s="21">
        <v>0.0</v>
      </c>
      <c r="M70" s="21">
        <v>0.0</v>
      </c>
      <c r="N70" s="93"/>
      <c r="O70" s="21"/>
      <c r="P70" s="21"/>
      <c r="Q70" s="21"/>
    </row>
    <row r="71" ht="18.0" hidden="1" customHeight="1" outlineLevel="1">
      <c r="A71" s="21"/>
      <c r="B71" s="46" t="s">
        <v>65</v>
      </c>
      <c r="C71" s="47" t="s">
        <v>46</v>
      </c>
      <c r="D71" s="48">
        <v>0.0</v>
      </c>
      <c r="E71" s="48">
        <v>0.0</v>
      </c>
      <c r="F71" s="48">
        <v>0.0</v>
      </c>
      <c r="G71" s="48">
        <v>0.0</v>
      </c>
      <c r="H71" s="48"/>
      <c r="I71" s="21"/>
      <c r="J71" s="21"/>
      <c r="K71" s="21"/>
      <c r="L71" s="21"/>
      <c r="M71" s="21"/>
      <c r="N71" s="93"/>
      <c r="O71" s="21"/>
      <c r="P71" s="21"/>
      <c r="Q71" s="21"/>
    </row>
    <row r="72" ht="18.0" hidden="1" customHeight="1" outlineLevel="1">
      <c r="A72" s="21"/>
      <c r="B72" s="46"/>
      <c r="C72" s="49" t="s">
        <v>41</v>
      </c>
      <c r="D72" s="50">
        <v>0.0</v>
      </c>
      <c r="E72" s="50">
        <v>0.0</v>
      </c>
      <c r="F72" s="50">
        <v>0.0</v>
      </c>
      <c r="G72" s="50">
        <v>0.0</v>
      </c>
      <c r="H72" s="50">
        <v>0.0</v>
      </c>
      <c r="I72" s="21"/>
      <c r="J72" s="21">
        <v>0.0</v>
      </c>
      <c r="K72" s="21">
        <v>0.0</v>
      </c>
      <c r="L72" s="21">
        <v>0.0</v>
      </c>
      <c r="M72" s="21">
        <v>0.0</v>
      </c>
      <c r="N72" s="93"/>
      <c r="O72" s="21"/>
      <c r="P72" s="21"/>
      <c r="Q72" s="21"/>
    </row>
    <row r="73" ht="18.0" hidden="1" customHeight="1" outlineLevel="1">
      <c r="A73" s="21"/>
      <c r="B73" s="46" t="s">
        <v>64</v>
      </c>
      <c r="C73" s="47" t="s">
        <v>46</v>
      </c>
      <c r="D73" s="48">
        <v>600000.0</v>
      </c>
      <c r="E73" s="48">
        <v>210000.0</v>
      </c>
      <c r="F73" s="48">
        <v>1238318.0</v>
      </c>
      <c r="G73" s="48">
        <v>2048318.0</v>
      </c>
      <c r="H73" s="48"/>
      <c r="I73" s="21"/>
      <c r="J73" s="21"/>
      <c r="K73" s="21"/>
      <c r="L73" s="21"/>
      <c r="M73" s="21"/>
      <c r="N73" s="93"/>
      <c r="O73" s="21"/>
      <c r="P73" s="21"/>
      <c r="Q73" s="21"/>
    </row>
    <row r="74" ht="18.0" hidden="1" customHeight="1" outlineLevel="1">
      <c r="A74" s="21"/>
      <c r="B74" s="46"/>
      <c r="C74" s="49" t="s">
        <v>41</v>
      </c>
      <c r="D74" s="50">
        <v>800601.0</v>
      </c>
      <c r="E74" s="50">
        <v>744574.0</v>
      </c>
      <c r="F74" s="50">
        <v>910548.0</v>
      </c>
      <c r="G74" s="50">
        <v>2455723.0</v>
      </c>
      <c r="H74" s="50">
        <v>22260.0</v>
      </c>
      <c r="I74" s="21"/>
      <c r="J74" s="21">
        <v>200601.0</v>
      </c>
      <c r="K74" s="21">
        <v>534574.0</v>
      </c>
      <c r="L74" s="21">
        <v>-327770.0</v>
      </c>
      <c r="M74" s="21">
        <v>407405.0</v>
      </c>
      <c r="N74" s="93"/>
      <c r="O74" s="21"/>
      <c r="P74" s="21"/>
      <c r="Q74" s="21"/>
    </row>
    <row r="75" ht="18.0" hidden="1" customHeight="1" outlineLevel="1">
      <c r="A75" s="21"/>
      <c r="B75" s="46" t="s">
        <v>66</v>
      </c>
      <c r="C75" s="47" t="s">
        <v>46</v>
      </c>
      <c r="D75" s="48">
        <v>400000.0</v>
      </c>
      <c r="E75" s="48">
        <v>10000.0</v>
      </c>
      <c r="F75" s="48">
        <v>1002861.0</v>
      </c>
      <c r="G75" s="48">
        <v>1412861.0</v>
      </c>
      <c r="H75" s="48"/>
      <c r="I75" s="21"/>
      <c r="J75" s="21"/>
      <c r="K75" s="21"/>
      <c r="L75" s="21"/>
      <c r="M75" s="21"/>
      <c r="N75" s="93"/>
      <c r="O75" s="21"/>
      <c r="P75" s="21"/>
      <c r="Q75" s="21"/>
    </row>
    <row r="76" ht="18.0" hidden="1" customHeight="1" outlineLevel="1">
      <c r="A76" s="21"/>
      <c r="B76" s="46"/>
      <c r="C76" s="49" t="s">
        <v>41</v>
      </c>
      <c r="D76" s="50">
        <v>509495.0</v>
      </c>
      <c r="E76" s="50">
        <v>0.0</v>
      </c>
      <c r="F76" s="50">
        <v>984544.0</v>
      </c>
      <c r="G76" s="50">
        <v>1494039.0</v>
      </c>
      <c r="H76" s="50">
        <v>0.0</v>
      </c>
      <c r="I76" s="21"/>
      <c r="J76" s="21">
        <v>109495.0</v>
      </c>
      <c r="K76" s="21">
        <v>-10000.0</v>
      </c>
      <c r="L76" s="21">
        <v>-18317.0</v>
      </c>
      <c r="M76" s="21">
        <v>81178.0</v>
      </c>
      <c r="N76" s="93"/>
      <c r="O76" s="21"/>
      <c r="P76" s="21"/>
      <c r="Q76" s="21"/>
    </row>
    <row r="77" ht="18.0" hidden="1" customHeight="1" outlineLevel="1">
      <c r="A77" s="21"/>
      <c r="B77" s="46" t="s">
        <v>67</v>
      </c>
      <c r="C77" s="47" t="s">
        <v>46</v>
      </c>
      <c r="D77" s="48">
        <v>10000.0</v>
      </c>
      <c r="E77" s="48">
        <v>5000.0</v>
      </c>
      <c r="F77" s="48">
        <v>5000.0</v>
      </c>
      <c r="G77" s="48">
        <v>20000.0</v>
      </c>
      <c r="H77" s="48"/>
      <c r="I77" s="21"/>
      <c r="J77" s="21"/>
      <c r="K77" s="21"/>
      <c r="L77" s="21"/>
      <c r="M77" s="21"/>
      <c r="N77" s="93"/>
      <c r="O77" s="21"/>
      <c r="P77" s="21"/>
      <c r="Q77" s="21"/>
    </row>
    <row r="78" ht="18.0" hidden="1" customHeight="1" outlineLevel="1">
      <c r="A78" s="21"/>
      <c r="B78" s="46"/>
      <c r="C78" s="49" t="s">
        <v>41</v>
      </c>
      <c r="D78" s="50">
        <v>9899.0</v>
      </c>
      <c r="E78" s="50">
        <v>281047.0</v>
      </c>
      <c r="F78" s="50">
        <v>335.0</v>
      </c>
      <c r="G78" s="50">
        <v>291281.0</v>
      </c>
      <c r="H78" s="50">
        <v>0.0</v>
      </c>
      <c r="I78" s="21"/>
      <c r="J78" s="21">
        <v>-101.0</v>
      </c>
      <c r="K78" s="21">
        <v>276047.0</v>
      </c>
      <c r="L78" s="21">
        <v>-4665.0</v>
      </c>
      <c r="M78" s="21">
        <v>271281.0</v>
      </c>
      <c r="N78" s="93"/>
      <c r="O78" s="21"/>
      <c r="P78" s="21"/>
      <c r="Q78" s="21"/>
    </row>
    <row r="79" ht="18.0" hidden="1" customHeight="1" outlineLevel="1">
      <c r="A79" s="21"/>
      <c r="B79" s="46" t="s">
        <v>68</v>
      </c>
      <c r="C79" s="47" t="s">
        <v>46</v>
      </c>
      <c r="D79" s="48">
        <v>0.0</v>
      </c>
      <c r="E79" s="48">
        <v>0.0</v>
      </c>
      <c r="F79" s="48">
        <v>0.0</v>
      </c>
      <c r="G79" s="48">
        <v>0.0</v>
      </c>
      <c r="H79" s="48"/>
      <c r="I79" s="21"/>
      <c r="J79" s="21"/>
      <c r="K79" s="21"/>
      <c r="L79" s="21"/>
      <c r="M79" s="21"/>
      <c r="N79" s="93"/>
      <c r="O79" s="21"/>
      <c r="P79" s="21"/>
      <c r="Q79" s="21"/>
    </row>
    <row r="80" ht="18.0" hidden="1" customHeight="1" outlineLevel="1">
      <c r="A80" s="21"/>
      <c r="B80" s="46"/>
      <c r="C80" s="49" t="s">
        <v>41</v>
      </c>
      <c r="D80" s="50">
        <v>0.0</v>
      </c>
      <c r="E80" s="50">
        <v>0.0</v>
      </c>
      <c r="F80" s="50">
        <v>2955.0</v>
      </c>
      <c r="G80" s="50">
        <v>2955.0</v>
      </c>
      <c r="H80" s="50">
        <v>0.0</v>
      </c>
      <c r="I80" s="21"/>
      <c r="J80" s="21">
        <v>0.0</v>
      </c>
      <c r="K80" s="21">
        <v>0.0</v>
      </c>
      <c r="L80" s="21">
        <v>2955.0</v>
      </c>
      <c r="M80" s="21">
        <v>2955.0</v>
      </c>
      <c r="N80" s="93"/>
      <c r="O80" s="21"/>
      <c r="P80" s="21"/>
      <c r="Q80" s="21"/>
    </row>
    <row r="81" ht="18.0" hidden="1" customHeight="1" outlineLevel="1">
      <c r="A81" s="21"/>
      <c r="B81" s="46" t="s">
        <v>69</v>
      </c>
      <c r="C81" s="47" t="s">
        <v>46</v>
      </c>
      <c r="D81" s="48">
        <v>115000.0</v>
      </c>
      <c r="E81" s="48">
        <v>150000.0</v>
      </c>
      <c r="F81" s="48">
        <v>149920.0</v>
      </c>
      <c r="G81" s="48">
        <v>414920.0</v>
      </c>
      <c r="H81" s="48"/>
      <c r="I81" s="21"/>
      <c r="J81" s="21"/>
      <c r="K81" s="21"/>
      <c r="L81" s="21"/>
      <c r="M81" s="21"/>
      <c r="N81" s="93"/>
      <c r="O81" s="21"/>
      <c r="P81" s="21"/>
      <c r="Q81" s="21"/>
    </row>
    <row r="82" ht="18.0" hidden="1" customHeight="1" outlineLevel="1">
      <c r="A82" s="21"/>
      <c r="B82" s="46"/>
      <c r="C82" s="49" t="s">
        <v>41</v>
      </c>
      <c r="D82" s="50">
        <v>210267.0</v>
      </c>
      <c r="E82" s="50">
        <v>212203.0</v>
      </c>
      <c r="F82" s="50">
        <v>154273.0</v>
      </c>
      <c r="G82" s="50">
        <v>576743.0</v>
      </c>
      <c r="H82" s="50">
        <v>477.0</v>
      </c>
      <c r="I82" s="21"/>
      <c r="J82" s="21">
        <v>95267.0</v>
      </c>
      <c r="K82" s="21">
        <v>62203.0</v>
      </c>
      <c r="L82" s="21">
        <v>4353.0</v>
      </c>
      <c r="M82" s="21">
        <v>161823.0</v>
      </c>
      <c r="N82" s="93"/>
      <c r="O82" s="21"/>
      <c r="P82" s="21"/>
      <c r="Q82" s="21"/>
    </row>
    <row r="83" ht="18.0" hidden="1" customHeight="1" outlineLevel="1">
      <c r="A83" s="21"/>
      <c r="B83" s="46" t="s">
        <v>70</v>
      </c>
      <c r="C83" s="47" t="s">
        <v>46</v>
      </c>
      <c r="D83" s="48">
        <v>657177.0</v>
      </c>
      <c r="E83" s="48">
        <v>791167.0</v>
      </c>
      <c r="F83" s="48">
        <v>1192342.0</v>
      </c>
      <c r="G83" s="48">
        <v>2640686.0</v>
      </c>
      <c r="H83" s="48"/>
      <c r="I83" s="21"/>
      <c r="J83" s="21"/>
      <c r="K83" s="21"/>
      <c r="L83" s="21"/>
      <c r="M83" s="21"/>
      <c r="N83" s="93"/>
      <c r="O83" s="21"/>
      <c r="P83" s="21"/>
      <c r="Q83" s="21"/>
    </row>
    <row r="84" ht="18.0" hidden="1" customHeight="1" outlineLevel="1">
      <c r="A84" s="21"/>
      <c r="B84" s="46"/>
      <c r="C84" s="49" t="s">
        <v>41</v>
      </c>
      <c r="D84" s="50">
        <v>657375.0</v>
      </c>
      <c r="E84" s="50">
        <v>732241.0</v>
      </c>
      <c r="F84" s="50">
        <v>1208907.0</v>
      </c>
      <c r="G84" s="50">
        <v>2598523.0</v>
      </c>
      <c r="H84" s="50">
        <v>0.0</v>
      </c>
      <c r="I84" s="21"/>
      <c r="J84" s="21">
        <v>198.0</v>
      </c>
      <c r="K84" s="21">
        <v>-58926.0</v>
      </c>
      <c r="L84" s="21">
        <v>16565.0</v>
      </c>
      <c r="M84" s="21">
        <v>-42163.0</v>
      </c>
      <c r="N84" s="93"/>
      <c r="O84" s="21"/>
      <c r="P84" s="21"/>
      <c r="Q84" s="21"/>
    </row>
    <row r="85" ht="18.0" hidden="1" customHeight="1" outlineLevel="1">
      <c r="A85" s="21"/>
      <c r="B85" s="46" t="s">
        <v>71</v>
      </c>
      <c r="C85" s="47" t="s">
        <v>46</v>
      </c>
      <c r="D85" s="48">
        <v>10000.0</v>
      </c>
      <c r="E85" s="48">
        <v>10000.0</v>
      </c>
      <c r="F85" s="48">
        <v>105000.0</v>
      </c>
      <c r="G85" s="48">
        <v>125000.0</v>
      </c>
      <c r="H85" s="48"/>
      <c r="I85" s="21"/>
      <c r="J85" s="21"/>
      <c r="K85" s="21"/>
      <c r="L85" s="21"/>
      <c r="M85" s="21"/>
      <c r="N85" s="93"/>
      <c r="O85" s="21"/>
      <c r="P85" s="21"/>
      <c r="Q85" s="21"/>
    </row>
    <row r="86" ht="18.0" hidden="1" customHeight="1" outlineLevel="1">
      <c r="A86" s="21"/>
      <c r="B86" s="46"/>
      <c r="C86" s="49" t="s">
        <v>41</v>
      </c>
      <c r="D86" s="50">
        <v>27673.0</v>
      </c>
      <c r="E86" s="50">
        <v>2700.0</v>
      </c>
      <c r="F86" s="50">
        <v>42630.0</v>
      </c>
      <c r="G86" s="50">
        <v>73003.0</v>
      </c>
      <c r="H86" s="50">
        <v>7610.0</v>
      </c>
      <c r="I86" s="21"/>
      <c r="J86" s="21">
        <v>17673.0</v>
      </c>
      <c r="K86" s="21">
        <v>-7300.0</v>
      </c>
      <c r="L86" s="21">
        <v>-62370.0</v>
      </c>
      <c r="M86" s="21">
        <v>-51997.0</v>
      </c>
      <c r="N86" s="93"/>
      <c r="O86" s="21"/>
      <c r="P86" s="21"/>
      <c r="Q86" s="21"/>
    </row>
    <row r="87" ht="18.0" hidden="1" customHeight="1" outlineLevel="1">
      <c r="A87" s="21"/>
      <c r="B87" s="46" t="s">
        <v>72</v>
      </c>
      <c r="C87" s="47" t="s">
        <v>46</v>
      </c>
      <c r="D87" s="48">
        <v>550000.0</v>
      </c>
      <c r="E87" s="48">
        <v>550000.0</v>
      </c>
      <c r="F87" s="48">
        <v>500000.0</v>
      </c>
      <c r="G87" s="48">
        <v>1600000.0</v>
      </c>
      <c r="H87" s="48"/>
      <c r="I87" s="21"/>
      <c r="J87" s="21"/>
      <c r="K87" s="21"/>
      <c r="L87" s="21"/>
      <c r="M87" s="21"/>
      <c r="N87" s="93"/>
      <c r="O87" s="21"/>
      <c r="P87" s="21"/>
      <c r="Q87" s="21"/>
    </row>
    <row r="88" ht="18.0" hidden="1" customHeight="1" outlineLevel="1">
      <c r="A88" s="21"/>
      <c r="B88" s="46"/>
      <c r="C88" s="49" t="s">
        <v>41</v>
      </c>
      <c r="D88" s="50">
        <v>159479.0</v>
      </c>
      <c r="E88" s="50">
        <v>309106.0</v>
      </c>
      <c r="F88" s="50">
        <v>414366.0</v>
      </c>
      <c r="G88" s="50">
        <v>882951.0</v>
      </c>
      <c r="H88" s="50">
        <v>46797.0</v>
      </c>
      <c r="I88" s="21"/>
      <c r="J88" s="21">
        <v>-390521.0</v>
      </c>
      <c r="K88" s="21">
        <v>-240894.0</v>
      </c>
      <c r="L88" s="21">
        <v>-85634.0</v>
      </c>
      <c r="M88" s="21">
        <v>-717049.0</v>
      </c>
      <c r="N88" s="93"/>
      <c r="O88" s="21"/>
      <c r="P88" s="21"/>
      <c r="Q88" s="21"/>
    </row>
    <row r="89" ht="18.0" hidden="1" customHeight="1" outlineLevel="1">
      <c r="A89" s="21"/>
      <c r="B89" s="46" t="s">
        <v>73</v>
      </c>
      <c r="C89" s="47" t="s">
        <v>46</v>
      </c>
      <c r="D89" s="48">
        <v>94696.0</v>
      </c>
      <c r="E89" s="48">
        <v>70310.0</v>
      </c>
      <c r="F89" s="48">
        <v>101170.0</v>
      </c>
      <c r="G89" s="48">
        <v>266176.0</v>
      </c>
      <c r="H89" s="48"/>
      <c r="I89" s="21"/>
      <c r="J89" s="21"/>
      <c r="K89" s="21"/>
      <c r="L89" s="21"/>
      <c r="M89" s="21"/>
      <c r="N89" s="93"/>
      <c r="O89" s="21"/>
      <c r="P89" s="21"/>
      <c r="Q89" s="21"/>
    </row>
    <row r="90" ht="18.0" hidden="1" customHeight="1" outlineLevel="1">
      <c r="A90" s="21"/>
      <c r="B90" s="46"/>
      <c r="C90" s="49" t="s">
        <v>41</v>
      </c>
      <c r="D90" s="50">
        <v>120485.0</v>
      </c>
      <c r="E90" s="50">
        <v>156745.0</v>
      </c>
      <c r="F90" s="50">
        <v>203003.0</v>
      </c>
      <c r="G90" s="50">
        <v>480233.0</v>
      </c>
      <c r="H90" s="50">
        <v>0.0</v>
      </c>
      <c r="I90" s="21"/>
      <c r="J90" s="21">
        <v>25789.0</v>
      </c>
      <c r="K90" s="21">
        <v>86435.0</v>
      </c>
      <c r="L90" s="21">
        <v>101833.0</v>
      </c>
      <c r="M90" s="21">
        <v>214057.0</v>
      </c>
      <c r="N90" s="93"/>
      <c r="O90" s="21"/>
      <c r="P90" s="21"/>
      <c r="Q90" s="21"/>
    </row>
    <row r="91" ht="18.0" hidden="1" customHeight="1" outlineLevel="1">
      <c r="A91" s="21"/>
      <c r="B91" s="46" t="s">
        <v>74</v>
      </c>
      <c r="C91" s="47" t="s">
        <v>46</v>
      </c>
      <c r="D91" s="48">
        <v>220800.0</v>
      </c>
      <c r="E91" s="48">
        <v>40000.0</v>
      </c>
      <c r="F91" s="48">
        <v>0.0</v>
      </c>
      <c r="G91" s="48">
        <v>260800.0</v>
      </c>
      <c r="H91" s="48"/>
      <c r="I91" s="21"/>
      <c r="J91" s="21"/>
      <c r="K91" s="21"/>
      <c r="L91" s="21"/>
      <c r="M91" s="21"/>
      <c r="N91" s="93"/>
      <c r="O91" s="21"/>
      <c r="P91" s="21"/>
      <c r="Q91" s="21"/>
    </row>
    <row r="92" ht="18.0" hidden="1" customHeight="1" outlineLevel="1">
      <c r="A92" s="21"/>
      <c r="B92" s="46"/>
      <c r="C92" s="49" t="s">
        <v>41</v>
      </c>
      <c r="D92" s="50">
        <v>229800.0</v>
      </c>
      <c r="E92" s="50">
        <v>40000.0</v>
      </c>
      <c r="F92" s="50">
        <v>0.0</v>
      </c>
      <c r="G92" s="50">
        <v>269800.0</v>
      </c>
      <c r="H92" s="50">
        <v>0.0</v>
      </c>
      <c r="I92" s="21"/>
      <c r="J92" s="21">
        <v>9000.0</v>
      </c>
      <c r="K92" s="21">
        <v>0.0</v>
      </c>
      <c r="L92" s="21">
        <v>0.0</v>
      </c>
      <c r="M92" s="21">
        <v>9000.0</v>
      </c>
      <c r="N92" s="93"/>
      <c r="O92" s="21"/>
      <c r="P92" s="21"/>
      <c r="Q92" s="21"/>
    </row>
    <row r="93" ht="18.0" hidden="1" customHeight="1" outlineLevel="1">
      <c r="A93" s="21"/>
      <c r="B93" s="46" t="s">
        <v>109</v>
      </c>
      <c r="C93" s="47" t="s">
        <v>46</v>
      </c>
      <c r="D93" s="48">
        <v>7223.0</v>
      </c>
      <c r="E93" s="48">
        <v>5275.0</v>
      </c>
      <c r="F93" s="48">
        <v>21704.0</v>
      </c>
      <c r="G93" s="48">
        <v>34202.0</v>
      </c>
      <c r="H93" s="48"/>
      <c r="I93" s="21"/>
      <c r="J93" s="21"/>
      <c r="K93" s="21"/>
      <c r="L93" s="21"/>
      <c r="M93" s="21"/>
      <c r="N93" s="93"/>
      <c r="O93" s="21"/>
      <c r="P93" s="21"/>
      <c r="Q93" s="21"/>
    </row>
    <row r="94" ht="18.0" hidden="1" customHeight="1" outlineLevel="1">
      <c r="A94" s="21"/>
      <c r="B94" s="46"/>
      <c r="C94" s="49" t="s">
        <v>41</v>
      </c>
      <c r="D94" s="50">
        <v>7223.0</v>
      </c>
      <c r="E94" s="50">
        <v>3704.0</v>
      </c>
      <c r="F94" s="50">
        <v>22704.0</v>
      </c>
      <c r="G94" s="50">
        <v>33631.0</v>
      </c>
      <c r="H94" s="50">
        <v>0.0</v>
      </c>
      <c r="I94" s="21"/>
      <c r="J94" s="21">
        <v>0.0</v>
      </c>
      <c r="K94" s="21">
        <v>-1571.0</v>
      </c>
      <c r="L94" s="21">
        <v>1000.0</v>
      </c>
      <c r="M94" s="21">
        <v>-571.0</v>
      </c>
      <c r="N94" s="93"/>
      <c r="O94" s="21"/>
      <c r="P94" s="21"/>
      <c r="Q94" s="21"/>
    </row>
    <row r="95" ht="18.0" hidden="1" customHeight="1" outlineLevel="1">
      <c r="A95" s="21"/>
      <c r="B95" s="46" t="s">
        <v>77</v>
      </c>
      <c r="C95" s="47" t="s">
        <v>46</v>
      </c>
      <c r="D95" s="48">
        <v>10000.0</v>
      </c>
      <c r="E95" s="48">
        <v>50000.0</v>
      </c>
      <c r="F95" s="48">
        <v>50000.0</v>
      </c>
      <c r="G95" s="48">
        <v>110000.0</v>
      </c>
      <c r="H95" s="48"/>
      <c r="I95" s="21"/>
      <c r="J95" s="21"/>
      <c r="K95" s="21"/>
      <c r="L95" s="21"/>
      <c r="M95" s="21"/>
      <c r="N95" s="93"/>
      <c r="O95" s="21"/>
      <c r="P95" s="21"/>
      <c r="Q95" s="21"/>
    </row>
    <row r="96" ht="18.0" hidden="1" customHeight="1" outlineLevel="1">
      <c r="A96" s="21"/>
      <c r="B96" s="46"/>
      <c r="C96" s="49" t="s">
        <v>41</v>
      </c>
      <c r="D96" s="50">
        <v>800.0</v>
      </c>
      <c r="E96" s="50">
        <v>69818.0</v>
      </c>
      <c r="F96" s="50">
        <v>25408.0</v>
      </c>
      <c r="G96" s="50">
        <v>96026.0</v>
      </c>
      <c r="H96" s="50">
        <v>0.0</v>
      </c>
      <c r="I96" s="21"/>
      <c r="J96" s="21">
        <v>-9200.0</v>
      </c>
      <c r="K96" s="21">
        <v>19818.0</v>
      </c>
      <c r="L96" s="21">
        <v>-24592.0</v>
      </c>
      <c r="M96" s="21">
        <v>-13974.0</v>
      </c>
      <c r="N96" s="93"/>
      <c r="O96" s="21"/>
      <c r="P96" s="21"/>
      <c r="Q96" s="21"/>
    </row>
    <row r="97" ht="18.0" hidden="1" customHeight="1" outlineLevel="1">
      <c r="A97" s="21"/>
      <c r="B97" s="46" t="s">
        <v>110</v>
      </c>
      <c r="C97" s="47" t="s">
        <v>46</v>
      </c>
      <c r="D97" s="48">
        <v>3322000.0</v>
      </c>
      <c r="E97" s="48">
        <v>6435600.0</v>
      </c>
      <c r="F97" s="48">
        <v>5610000.0</v>
      </c>
      <c r="G97" s="48">
        <v>1.53676E7</v>
      </c>
      <c r="H97" s="48"/>
      <c r="I97" s="21"/>
      <c r="J97" s="21"/>
      <c r="K97" s="21"/>
      <c r="L97" s="21"/>
      <c r="M97" s="21"/>
      <c r="N97" s="93"/>
      <c r="O97" s="21"/>
      <c r="P97" s="21"/>
      <c r="Q97" s="21"/>
    </row>
    <row r="98" ht="18.0" hidden="1" customHeight="1" outlineLevel="1">
      <c r="A98" s="21"/>
      <c r="B98" s="46"/>
      <c r="C98" s="49" t="s">
        <v>41</v>
      </c>
      <c r="D98" s="50">
        <v>4106949.0</v>
      </c>
      <c r="E98" s="50">
        <v>5633036.0</v>
      </c>
      <c r="F98" s="50">
        <v>3594238.0</v>
      </c>
      <c r="G98" s="50">
        <v>1.3334223E7</v>
      </c>
      <c r="H98" s="50">
        <v>0.0</v>
      </c>
      <c r="I98" s="21"/>
      <c r="J98" s="21">
        <v>784949.0</v>
      </c>
      <c r="K98" s="21">
        <v>-802564.0</v>
      </c>
      <c r="L98" s="21">
        <v>-2015762.0</v>
      </c>
      <c r="M98" s="21">
        <v>-2033377.0</v>
      </c>
      <c r="N98" s="93"/>
      <c r="O98" s="21"/>
      <c r="P98" s="21"/>
      <c r="Q98" s="21"/>
    </row>
    <row r="99" ht="18.0" hidden="1" customHeight="1" outlineLevel="1">
      <c r="A99" s="21"/>
      <c r="B99" s="46" t="s">
        <v>111</v>
      </c>
      <c r="C99" s="47" t="s">
        <v>46</v>
      </c>
      <c r="D99" s="48">
        <v>0.0</v>
      </c>
      <c r="E99" s="48">
        <v>446250.0</v>
      </c>
      <c r="F99" s="48">
        <v>368000.0</v>
      </c>
      <c r="G99" s="48">
        <v>814250.0</v>
      </c>
      <c r="H99" s="48"/>
      <c r="I99" s="21"/>
      <c r="J99" s="21"/>
      <c r="K99" s="21"/>
      <c r="L99" s="21"/>
      <c r="M99" s="21"/>
      <c r="N99" s="93"/>
      <c r="O99" s="21"/>
      <c r="P99" s="21"/>
      <c r="Q99" s="21"/>
    </row>
    <row r="100" ht="18.0" hidden="1" customHeight="1" outlineLevel="1">
      <c r="A100" s="21"/>
      <c r="B100" s="46"/>
      <c r="C100" s="49" t="s">
        <v>41</v>
      </c>
      <c r="D100" s="50">
        <v>30600.0</v>
      </c>
      <c r="E100" s="50">
        <v>205840.0</v>
      </c>
      <c r="F100" s="50">
        <v>318489.0</v>
      </c>
      <c r="G100" s="50">
        <v>554929.0</v>
      </c>
      <c r="H100" s="50">
        <v>0.0</v>
      </c>
      <c r="I100" s="21"/>
      <c r="J100" s="21">
        <v>30600.0</v>
      </c>
      <c r="K100" s="21">
        <v>-240410.0</v>
      </c>
      <c r="L100" s="21">
        <v>-49511.0</v>
      </c>
      <c r="M100" s="21">
        <v>-259321.0</v>
      </c>
      <c r="N100" s="93"/>
      <c r="O100" s="21"/>
      <c r="P100" s="21"/>
      <c r="Q100" s="21"/>
    </row>
    <row r="101" ht="18.0" hidden="1" customHeight="1" outlineLevel="1">
      <c r="A101" s="21"/>
      <c r="B101" s="46" t="s">
        <v>112</v>
      </c>
      <c r="C101" s="47" t="s">
        <v>46</v>
      </c>
      <c r="D101" s="48">
        <v>0.0</v>
      </c>
      <c r="E101" s="48">
        <v>0.0</v>
      </c>
      <c r="F101" s="48">
        <v>0.0</v>
      </c>
      <c r="G101" s="48">
        <v>0.0</v>
      </c>
      <c r="H101" s="48"/>
      <c r="I101" s="21"/>
      <c r="J101" s="21"/>
      <c r="K101" s="21"/>
      <c r="L101" s="21"/>
      <c r="M101" s="21"/>
      <c r="N101" s="93"/>
      <c r="O101" s="21"/>
      <c r="P101" s="21"/>
      <c r="Q101" s="21"/>
    </row>
    <row r="102" ht="18.0" hidden="1" customHeight="1" outlineLevel="1">
      <c r="A102" s="21"/>
      <c r="B102" s="46"/>
      <c r="C102" s="49" t="s">
        <v>41</v>
      </c>
      <c r="D102" s="50">
        <v>0.0</v>
      </c>
      <c r="E102" s="50">
        <v>3074.0</v>
      </c>
      <c r="F102" s="50">
        <v>0.0</v>
      </c>
      <c r="G102" s="50">
        <v>3074.0</v>
      </c>
      <c r="H102" s="50">
        <v>0.0</v>
      </c>
      <c r="I102" s="21"/>
      <c r="J102" s="21">
        <v>0.0</v>
      </c>
      <c r="K102" s="21">
        <v>3074.0</v>
      </c>
      <c r="L102" s="21">
        <v>0.0</v>
      </c>
      <c r="M102" s="21">
        <v>3074.0</v>
      </c>
      <c r="N102" s="93"/>
      <c r="O102" s="21"/>
      <c r="P102" s="21"/>
      <c r="Q102" s="21"/>
    </row>
    <row r="103" ht="18.0" hidden="1" customHeight="1" outlineLevel="1">
      <c r="A103" s="21"/>
      <c r="B103" s="46" t="s">
        <v>75</v>
      </c>
      <c r="C103" s="47" t="s">
        <v>46</v>
      </c>
      <c r="D103" s="48">
        <v>0.0</v>
      </c>
      <c r="E103" s="48">
        <v>0.0</v>
      </c>
      <c r="F103" s="48">
        <v>0.0</v>
      </c>
      <c r="G103" s="48">
        <v>0.0</v>
      </c>
      <c r="H103" s="48"/>
      <c r="I103" s="21"/>
      <c r="J103" s="21"/>
      <c r="K103" s="21"/>
      <c r="L103" s="21"/>
      <c r="M103" s="21"/>
      <c r="N103" s="93"/>
      <c r="O103" s="21"/>
      <c r="P103" s="21"/>
      <c r="Q103" s="21"/>
    </row>
    <row r="104" ht="18.0" hidden="1" customHeight="1" outlineLevel="1">
      <c r="A104" s="21"/>
      <c r="B104" s="46"/>
      <c r="C104" s="49" t="s">
        <v>41</v>
      </c>
      <c r="D104" s="50">
        <v>0.0</v>
      </c>
      <c r="E104" s="50">
        <v>0.0</v>
      </c>
      <c r="F104" s="50">
        <v>0.0</v>
      </c>
      <c r="G104" s="50">
        <v>0.0</v>
      </c>
      <c r="H104" s="50">
        <v>0.0</v>
      </c>
      <c r="I104" s="21"/>
      <c r="J104" s="21">
        <v>0.0</v>
      </c>
      <c r="K104" s="21">
        <v>0.0</v>
      </c>
      <c r="L104" s="21">
        <v>0.0</v>
      </c>
      <c r="M104" s="21">
        <v>0.0</v>
      </c>
      <c r="N104" s="93"/>
      <c r="O104" s="21"/>
      <c r="P104" s="21"/>
      <c r="Q104" s="21"/>
    </row>
    <row r="105" ht="18.0" hidden="1" customHeight="1" outlineLevel="1">
      <c r="A105" s="21"/>
      <c r="B105" s="46" t="s">
        <v>80</v>
      </c>
      <c r="C105" s="47" t="s">
        <v>46</v>
      </c>
      <c r="D105" s="48">
        <v>0.0</v>
      </c>
      <c r="E105" s="48">
        <v>0.0</v>
      </c>
      <c r="F105" s="48">
        <v>0.0</v>
      </c>
      <c r="G105" s="48">
        <v>0.0</v>
      </c>
      <c r="H105" s="48"/>
      <c r="I105" s="21"/>
      <c r="J105" s="21"/>
      <c r="K105" s="21"/>
      <c r="L105" s="21"/>
      <c r="M105" s="21"/>
      <c r="N105" s="93"/>
      <c r="O105" s="21"/>
      <c r="P105" s="21"/>
      <c r="Q105" s="21"/>
    </row>
    <row r="106" ht="18.0" hidden="1" customHeight="1" outlineLevel="1">
      <c r="A106" s="21"/>
      <c r="B106" s="46"/>
      <c r="C106" s="49" t="s">
        <v>41</v>
      </c>
      <c r="D106" s="50">
        <v>0.0</v>
      </c>
      <c r="E106" s="50">
        <v>0.0</v>
      </c>
      <c r="F106" s="50">
        <v>0.0</v>
      </c>
      <c r="G106" s="50">
        <v>0.0</v>
      </c>
      <c r="H106" s="50">
        <v>0.0</v>
      </c>
      <c r="I106" s="21"/>
      <c r="J106" s="21">
        <v>0.0</v>
      </c>
      <c r="K106" s="21">
        <v>0.0</v>
      </c>
      <c r="L106" s="21">
        <v>0.0</v>
      </c>
      <c r="M106" s="21">
        <v>0.0</v>
      </c>
      <c r="N106" s="93"/>
      <c r="O106" s="21"/>
      <c r="P106" s="21"/>
      <c r="Q106" s="21"/>
    </row>
    <row r="107" ht="18.0" hidden="1" customHeight="1" outlineLevel="1">
      <c r="A107" s="21"/>
      <c r="B107" s="46" t="s">
        <v>79</v>
      </c>
      <c r="C107" s="47" t="s">
        <v>46</v>
      </c>
      <c r="D107" s="48">
        <v>0.0</v>
      </c>
      <c r="E107" s="48">
        <v>0.0</v>
      </c>
      <c r="F107" s="48">
        <v>0.0</v>
      </c>
      <c r="G107" s="48">
        <v>0.0</v>
      </c>
      <c r="H107" s="48"/>
      <c r="I107" s="21"/>
      <c r="J107" s="21"/>
      <c r="K107" s="21"/>
      <c r="L107" s="21"/>
      <c r="M107" s="21"/>
      <c r="N107" s="93"/>
      <c r="O107" s="21"/>
      <c r="P107" s="21"/>
      <c r="Q107" s="21"/>
    </row>
    <row r="108" ht="18.0" hidden="1" customHeight="1" outlineLevel="1">
      <c r="A108" s="21"/>
      <c r="B108" s="46"/>
      <c r="C108" s="49" t="s">
        <v>41</v>
      </c>
      <c r="D108" s="50">
        <v>0.0</v>
      </c>
      <c r="E108" s="50">
        <v>0.0</v>
      </c>
      <c r="F108" s="50">
        <v>0.0</v>
      </c>
      <c r="G108" s="50">
        <v>0.0</v>
      </c>
      <c r="H108" s="50">
        <v>28103.0</v>
      </c>
      <c r="I108" s="21"/>
      <c r="J108" s="21">
        <v>0.0</v>
      </c>
      <c r="K108" s="21">
        <v>0.0</v>
      </c>
      <c r="L108" s="21">
        <v>0.0</v>
      </c>
      <c r="M108" s="21">
        <v>0.0</v>
      </c>
      <c r="N108" s="93"/>
      <c r="O108" s="21"/>
      <c r="P108" s="21"/>
      <c r="Q108" s="21"/>
    </row>
    <row r="109" ht="18.0" hidden="1" customHeight="1" outlineLevel="1">
      <c r="A109" s="21"/>
      <c r="B109" s="46" t="s">
        <v>78</v>
      </c>
      <c r="C109" s="47" t="s">
        <v>46</v>
      </c>
      <c r="D109" s="48">
        <v>0.0</v>
      </c>
      <c r="E109" s="48">
        <v>0.0</v>
      </c>
      <c r="F109" s="48">
        <v>0.0</v>
      </c>
      <c r="G109" s="48">
        <v>0.0</v>
      </c>
      <c r="H109" s="50"/>
      <c r="I109" s="21"/>
      <c r="J109" s="21"/>
      <c r="K109" s="21"/>
      <c r="L109" s="21"/>
      <c r="M109" s="21"/>
      <c r="N109" s="93"/>
      <c r="O109" s="21"/>
      <c r="P109" s="21"/>
      <c r="Q109" s="21"/>
    </row>
    <row r="110" ht="18.0" hidden="1" customHeight="1" outlineLevel="1">
      <c r="A110" s="21"/>
      <c r="B110" s="46"/>
      <c r="C110" s="49" t="s">
        <v>41</v>
      </c>
      <c r="D110" s="50">
        <v>0.0</v>
      </c>
      <c r="E110" s="50">
        <v>76962.0</v>
      </c>
      <c r="F110" s="50">
        <v>0.0</v>
      </c>
      <c r="G110" s="50">
        <v>76962.0</v>
      </c>
      <c r="H110" s="50">
        <v>0.0</v>
      </c>
      <c r="I110" s="21"/>
      <c r="J110" s="21">
        <v>0.0</v>
      </c>
      <c r="K110" s="21">
        <v>76962.0</v>
      </c>
      <c r="L110" s="21">
        <v>0.0</v>
      </c>
      <c r="M110" s="21">
        <v>76962.0</v>
      </c>
      <c r="N110" s="93"/>
      <c r="O110" s="21"/>
      <c r="P110" s="21"/>
      <c r="Q110" s="21"/>
    </row>
    <row r="111" ht="18.0" hidden="1" customHeight="1" outlineLevel="1">
      <c r="A111" s="21"/>
      <c r="B111" s="46" t="s">
        <v>113</v>
      </c>
      <c r="C111" s="47" t="s">
        <v>46</v>
      </c>
      <c r="D111" s="48">
        <v>0.0</v>
      </c>
      <c r="E111" s="48">
        <v>0.0</v>
      </c>
      <c r="F111" s="48">
        <v>0.0</v>
      </c>
      <c r="G111" s="48">
        <v>0.0</v>
      </c>
      <c r="H111" s="48"/>
      <c r="I111" s="21"/>
      <c r="J111" s="21"/>
      <c r="K111" s="21"/>
      <c r="L111" s="21"/>
      <c r="M111" s="21"/>
      <c r="N111" s="93"/>
      <c r="O111" s="21"/>
      <c r="P111" s="21"/>
      <c r="Q111" s="21"/>
    </row>
    <row r="112" ht="18.0" hidden="1" customHeight="1" outlineLevel="1">
      <c r="A112" s="21"/>
      <c r="B112" s="46"/>
      <c r="C112" s="49" t="s">
        <v>41</v>
      </c>
      <c r="D112" s="50">
        <v>0.0</v>
      </c>
      <c r="E112" s="50">
        <v>0.0</v>
      </c>
      <c r="F112" s="50">
        <v>0.0</v>
      </c>
      <c r="G112" s="50">
        <v>0.0</v>
      </c>
      <c r="H112" s="50">
        <v>0.0</v>
      </c>
      <c r="I112" s="21"/>
      <c r="J112" s="21">
        <v>0.0</v>
      </c>
      <c r="K112" s="21">
        <v>0.0</v>
      </c>
      <c r="L112" s="21">
        <v>0.0</v>
      </c>
      <c r="M112" s="21">
        <v>0.0</v>
      </c>
      <c r="N112" s="93"/>
      <c r="O112" s="21"/>
      <c r="P112" s="21"/>
      <c r="Q112" s="21"/>
    </row>
    <row r="113" ht="18.0" customHeight="1" collapsed="1">
      <c r="A113" s="21"/>
      <c r="B113" s="21" t="s">
        <v>30</v>
      </c>
      <c r="C113" s="4" t="s">
        <v>46</v>
      </c>
      <c r="D113" s="24">
        <v>4507124.0</v>
      </c>
      <c r="E113" s="24">
        <v>4342601.0</v>
      </c>
      <c r="F113" s="24">
        <v>7257115.0</v>
      </c>
      <c r="G113" s="24">
        <v>1.610684E7</v>
      </c>
      <c r="H113" s="24">
        <v>0.0</v>
      </c>
      <c r="I113" s="21"/>
      <c r="J113" s="21"/>
      <c r="K113" s="21"/>
      <c r="L113" s="21"/>
      <c r="M113" s="21"/>
      <c r="N113" s="93"/>
      <c r="O113" s="21"/>
      <c r="P113" s="21"/>
      <c r="Q113" s="21"/>
    </row>
    <row r="114" ht="18.0" customHeight="1">
      <c r="A114" s="21"/>
      <c r="B114" s="21"/>
      <c r="C114" s="38" t="s">
        <v>41</v>
      </c>
      <c r="D114" s="39">
        <v>4635781.0</v>
      </c>
      <c r="E114" s="39">
        <v>3913775.0</v>
      </c>
      <c r="F114" s="39">
        <v>7174847.0</v>
      </c>
      <c r="G114" s="39">
        <v>1.5724403E7</v>
      </c>
      <c r="H114" s="39">
        <v>211860.0</v>
      </c>
      <c r="I114" s="21"/>
      <c r="J114" s="21">
        <v>128657.0</v>
      </c>
      <c r="K114" s="21">
        <v>-428826.0</v>
      </c>
      <c r="L114" s="21">
        <v>-82268.0</v>
      </c>
      <c r="M114" s="21">
        <v>-382437.0</v>
      </c>
      <c r="N114" s="93"/>
      <c r="O114" s="21"/>
      <c r="P114" s="21"/>
      <c r="Q114" s="21"/>
    </row>
    <row r="115" ht="18.0" hidden="1" customHeight="1" outlineLevel="1">
      <c r="A115" s="21"/>
      <c r="B115" s="51" t="s">
        <v>35</v>
      </c>
      <c r="C115" s="52" t="s">
        <v>46</v>
      </c>
      <c r="D115" s="53">
        <v>2084896.0</v>
      </c>
      <c r="E115" s="53">
        <v>2927449.0</v>
      </c>
      <c r="F115" s="53">
        <v>5025106.0</v>
      </c>
      <c r="G115" s="53">
        <v>1.0037451E7</v>
      </c>
      <c r="H115" s="53"/>
      <c r="I115" s="21"/>
      <c r="J115" s="21"/>
      <c r="K115" s="21"/>
      <c r="L115" s="21"/>
      <c r="M115" s="21"/>
      <c r="N115" s="93"/>
      <c r="O115" s="21"/>
      <c r="P115" s="21"/>
      <c r="Q115" s="21"/>
    </row>
    <row r="116" ht="18.0" hidden="1" customHeight="1" outlineLevel="1">
      <c r="A116" s="21"/>
      <c r="B116" s="51"/>
      <c r="C116" s="54" t="s">
        <v>41</v>
      </c>
      <c r="D116" s="55">
        <v>2084941.0</v>
      </c>
      <c r="E116" s="55">
        <v>2799672.0</v>
      </c>
      <c r="F116" s="55">
        <v>4940560.0</v>
      </c>
      <c r="G116" s="55">
        <v>9825173.0</v>
      </c>
      <c r="H116" s="55">
        <v>0.0</v>
      </c>
      <c r="I116" s="21"/>
      <c r="J116" s="21">
        <v>45.0</v>
      </c>
      <c r="K116" s="21">
        <v>-127777.0</v>
      </c>
      <c r="L116" s="21">
        <v>-84546.0</v>
      </c>
      <c r="M116" s="21">
        <v>-212278.0</v>
      </c>
      <c r="N116" s="93"/>
      <c r="O116" s="21"/>
      <c r="P116" s="21"/>
      <c r="Q116" s="21"/>
    </row>
    <row r="117" ht="18.0" hidden="1" customHeight="1" outlineLevel="1">
      <c r="A117" s="21"/>
      <c r="B117" s="51" t="s">
        <v>114</v>
      </c>
      <c r="C117" s="52" t="s">
        <v>46</v>
      </c>
      <c r="D117" s="53">
        <v>0.0</v>
      </c>
      <c r="E117" s="53">
        <v>0.0</v>
      </c>
      <c r="F117" s="53">
        <v>391650.0</v>
      </c>
      <c r="G117" s="53">
        <v>391650.0</v>
      </c>
      <c r="H117" s="53"/>
      <c r="I117" s="21"/>
      <c r="J117" s="21"/>
      <c r="K117" s="21"/>
      <c r="L117" s="21"/>
      <c r="M117" s="21"/>
      <c r="N117" s="93"/>
      <c r="O117" s="21"/>
      <c r="P117" s="21"/>
      <c r="Q117" s="21"/>
    </row>
    <row r="118" ht="18.0" hidden="1" customHeight="1" outlineLevel="1">
      <c r="A118" s="21"/>
      <c r="B118" s="51"/>
      <c r="C118" s="54" t="s">
        <v>41</v>
      </c>
      <c r="D118" s="55">
        <v>0.0</v>
      </c>
      <c r="E118" s="55">
        <v>0.0</v>
      </c>
      <c r="F118" s="55">
        <v>391651.0</v>
      </c>
      <c r="G118" s="55">
        <v>391651.0</v>
      </c>
      <c r="H118" s="55">
        <v>0.0</v>
      </c>
      <c r="I118" s="21"/>
      <c r="J118" s="21">
        <v>0.0</v>
      </c>
      <c r="K118" s="21">
        <v>0.0</v>
      </c>
      <c r="L118" s="21">
        <v>1.0</v>
      </c>
      <c r="M118" s="21">
        <v>1.0</v>
      </c>
      <c r="N118" s="93"/>
      <c r="O118" s="21"/>
      <c r="P118" s="21"/>
      <c r="Q118" s="21"/>
    </row>
    <row r="119" ht="18.0" hidden="1" customHeight="1" outlineLevel="1">
      <c r="A119" s="21"/>
      <c r="B119" s="51" t="s">
        <v>82</v>
      </c>
      <c r="C119" s="52" t="s">
        <v>46</v>
      </c>
      <c r="D119" s="53">
        <v>1129238.0</v>
      </c>
      <c r="E119" s="53">
        <v>11136.0</v>
      </c>
      <c r="F119" s="53">
        <v>309812.0</v>
      </c>
      <c r="G119" s="53">
        <v>1450186.0</v>
      </c>
      <c r="H119" s="53"/>
      <c r="I119" s="21"/>
      <c r="J119" s="21"/>
      <c r="K119" s="21"/>
      <c r="L119" s="21"/>
      <c r="M119" s="21"/>
      <c r="N119" s="93"/>
      <c r="O119" s="21"/>
      <c r="P119" s="21"/>
      <c r="Q119" s="21"/>
    </row>
    <row r="120" ht="18.0" hidden="1" customHeight="1" outlineLevel="1">
      <c r="A120" s="21"/>
      <c r="B120" s="51"/>
      <c r="C120" s="54" t="s">
        <v>41</v>
      </c>
      <c r="D120" s="55">
        <v>1267232.0</v>
      </c>
      <c r="E120" s="55">
        <v>11144.0</v>
      </c>
      <c r="F120" s="55">
        <v>309811.0</v>
      </c>
      <c r="G120" s="55">
        <v>1588187.0</v>
      </c>
      <c r="H120" s="55">
        <v>30000.0</v>
      </c>
      <c r="I120" s="21"/>
      <c r="J120" s="21">
        <v>137994.0</v>
      </c>
      <c r="K120" s="21">
        <v>8.0</v>
      </c>
      <c r="L120" s="21">
        <v>-1.0</v>
      </c>
      <c r="M120" s="21">
        <v>138001.0</v>
      </c>
      <c r="N120" s="93"/>
      <c r="O120" s="21"/>
      <c r="P120" s="21"/>
      <c r="Q120" s="21"/>
    </row>
    <row r="121" ht="18.0" hidden="1" customHeight="1" outlineLevel="1">
      <c r="A121" s="21"/>
      <c r="B121" s="51" t="s">
        <v>83</v>
      </c>
      <c r="C121" s="52" t="s">
        <v>46</v>
      </c>
      <c r="D121" s="53">
        <v>527370.0</v>
      </c>
      <c r="E121" s="53">
        <v>352527.0</v>
      </c>
      <c r="F121" s="53">
        <v>205540.0</v>
      </c>
      <c r="G121" s="53">
        <v>1085437.0</v>
      </c>
      <c r="H121" s="53"/>
      <c r="I121" s="21"/>
      <c r="J121" s="21"/>
      <c r="K121" s="21"/>
      <c r="L121" s="21"/>
      <c r="M121" s="21"/>
      <c r="N121" s="93"/>
      <c r="O121" s="21"/>
      <c r="P121" s="21"/>
      <c r="Q121" s="21"/>
    </row>
    <row r="122" ht="18.0" hidden="1" customHeight="1" outlineLevel="1">
      <c r="A122" s="21"/>
      <c r="B122" s="51"/>
      <c r="C122" s="54" t="s">
        <v>41</v>
      </c>
      <c r="D122" s="55">
        <v>396206.0</v>
      </c>
      <c r="E122" s="55">
        <v>354335.0</v>
      </c>
      <c r="F122" s="55">
        <v>225847.0</v>
      </c>
      <c r="G122" s="55">
        <v>976388.0</v>
      </c>
      <c r="H122" s="55">
        <v>0.0</v>
      </c>
      <c r="I122" s="21"/>
      <c r="J122" s="21">
        <v>-131164.0</v>
      </c>
      <c r="K122" s="21">
        <v>1808.0</v>
      </c>
      <c r="L122" s="21">
        <v>20307.0</v>
      </c>
      <c r="M122" s="21">
        <v>-109049.0</v>
      </c>
      <c r="N122" s="93"/>
      <c r="O122" s="21"/>
      <c r="P122" s="21"/>
      <c r="Q122" s="21"/>
    </row>
    <row r="123" ht="18.0" hidden="1" customHeight="1" outlineLevel="1">
      <c r="A123" s="21"/>
      <c r="B123" s="51" t="s">
        <v>84</v>
      </c>
      <c r="C123" s="52" t="s">
        <v>46</v>
      </c>
      <c r="D123" s="53">
        <v>267500.0</v>
      </c>
      <c r="E123" s="53">
        <v>465006.0</v>
      </c>
      <c r="F123" s="53">
        <v>709573.0</v>
      </c>
      <c r="G123" s="53">
        <v>1442079.0</v>
      </c>
      <c r="H123" s="53"/>
      <c r="I123" s="21"/>
      <c r="J123" s="21"/>
      <c r="K123" s="21"/>
      <c r="L123" s="21"/>
      <c r="M123" s="21"/>
      <c r="N123" s="93"/>
      <c r="O123" s="21"/>
      <c r="P123" s="21"/>
      <c r="Q123" s="21"/>
    </row>
    <row r="124" ht="18.0" hidden="1" customHeight="1" outlineLevel="1">
      <c r="A124" s="21"/>
      <c r="B124" s="51"/>
      <c r="C124" s="54" t="s">
        <v>41</v>
      </c>
      <c r="D124" s="55">
        <v>300170.0</v>
      </c>
      <c r="E124" s="55">
        <v>207103.0</v>
      </c>
      <c r="F124" s="55">
        <v>732651.0</v>
      </c>
      <c r="G124" s="55">
        <v>1239924.0</v>
      </c>
      <c r="H124" s="55">
        <v>106860.0</v>
      </c>
      <c r="I124" s="21"/>
      <c r="J124" s="21">
        <v>32670.0</v>
      </c>
      <c r="K124" s="21">
        <v>-257903.0</v>
      </c>
      <c r="L124" s="21">
        <v>23078.0</v>
      </c>
      <c r="M124" s="21">
        <v>-202155.0</v>
      </c>
      <c r="N124" s="93"/>
      <c r="O124" s="21"/>
      <c r="P124" s="21"/>
      <c r="Q124" s="21"/>
    </row>
    <row r="125" ht="18.0" hidden="1" customHeight="1" outlineLevel="1">
      <c r="A125" s="21"/>
      <c r="B125" s="51" t="s">
        <v>85</v>
      </c>
      <c r="C125" s="52" t="s">
        <v>46</v>
      </c>
      <c r="D125" s="53">
        <v>459300.0</v>
      </c>
      <c r="E125" s="53">
        <v>569775.0</v>
      </c>
      <c r="F125" s="53">
        <v>485433.0</v>
      </c>
      <c r="G125" s="53">
        <v>1514508.0</v>
      </c>
      <c r="H125" s="53"/>
      <c r="I125" s="21"/>
      <c r="J125" s="21"/>
      <c r="K125" s="21"/>
      <c r="L125" s="21"/>
      <c r="M125" s="21"/>
      <c r="N125" s="93"/>
      <c r="O125" s="21"/>
      <c r="P125" s="21"/>
      <c r="Q125" s="21"/>
    </row>
    <row r="126" ht="18.0" hidden="1" customHeight="1" outlineLevel="1">
      <c r="A126" s="21"/>
      <c r="B126" s="51"/>
      <c r="C126" s="54" t="s">
        <v>41</v>
      </c>
      <c r="D126" s="55">
        <v>426594.0</v>
      </c>
      <c r="E126" s="55">
        <v>492851.0</v>
      </c>
      <c r="F126" s="55">
        <v>460574.0</v>
      </c>
      <c r="G126" s="55">
        <v>1380019.0</v>
      </c>
      <c r="H126" s="55">
        <v>0.0</v>
      </c>
      <c r="I126" s="21"/>
      <c r="J126" s="21">
        <v>-32706.0</v>
      </c>
      <c r="K126" s="21">
        <v>-76924.0</v>
      </c>
      <c r="L126" s="21">
        <v>-24859.0</v>
      </c>
      <c r="M126" s="21">
        <v>-134489.0</v>
      </c>
      <c r="N126" s="93"/>
      <c r="O126" s="21"/>
      <c r="P126" s="21"/>
      <c r="Q126" s="21"/>
    </row>
    <row r="127" ht="18.0" hidden="1" customHeight="1" outlineLevel="1">
      <c r="A127" s="21"/>
      <c r="B127" s="51" t="s">
        <v>86</v>
      </c>
      <c r="C127" s="52" t="s">
        <v>46</v>
      </c>
      <c r="D127" s="53">
        <v>38820.0</v>
      </c>
      <c r="E127" s="53">
        <v>16708.0</v>
      </c>
      <c r="F127" s="53">
        <v>130001.0</v>
      </c>
      <c r="G127" s="53">
        <v>185529.0</v>
      </c>
      <c r="H127" s="53"/>
      <c r="I127" s="21"/>
      <c r="J127" s="21"/>
      <c r="K127" s="21"/>
      <c r="L127" s="21"/>
      <c r="M127" s="21"/>
      <c r="N127" s="93"/>
      <c r="O127" s="21"/>
      <c r="P127" s="21"/>
      <c r="Q127" s="21"/>
    </row>
    <row r="128" ht="18.0" hidden="1" customHeight="1" outlineLevel="1">
      <c r="A128" s="21"/>
      <c r="B128" s="51"/>
      <c r="C128" s="54" t="s">
        <v>41</v>
      </c>
      <c r="D128" s="55">
        <v>160638.0</v>
      </c>
      <c r="E128" s="55">
        <v>48670.0</v>
      </c>
      <c r="F128" s="55">
        <v>113753.0</v>
      </c>
      <c r="G128" s="55">
        <v>323061.0</v>
      </c>
      <c r="H128" s="55">
        <v>75000.0</v>
      </c>
      <c r="I128" s="21"/>
      <c r="J128" s="21">
        <v>121818.0</v>
      </c>
      <c r="K128" s="21">
        <v>31962.0</v>
      </c>
      <c r="L128" s="21">
        <v>-16248.0</v>
      </c>
      <c r="M128" s="21">
        <v>137532.0</v>
      </c>
      <c r="N128" s="93"/>
      <c r="O128" s="21"/>
      <c r="P128" s="21"/>
      <c r="Q128" s="21"/>
    </row>
    <row r="129" ht="18.0" customHeight="1" collapsed="1">
      <c r="A129" s="21"/>
      <c r="B129" s="21" t="s">
        <v>31</v>
      </c>
      <c r="C129" s="21" t="s">
        <v>46</v>
      </c>
      <c r="D129" s="24">
        <v>2975591.0</v>
      </c>
      <c r="E129" s="24">
        <v>2975591.0</v>
      </c>
      <c r="F129" s="24">
        <v>2975591.0</v>
      </c>
      <c r="G129" s="24">
        <v>8926773.0</v>
      </c>
      <c r="H129" s="24">
        <v>0.0</v>
      </c>
      <c r="I129" s="21"/>
      <c r="J129" s="21"/>
      <c r="K129" s="21"/>
      <c r="L129" s="21"/>
      <c r="M129" s="21"/>
      <c r="N129" s="93"/>
      <c r="O129" s="21"/>
      <c r="P129" s="21"/>
      <c r="Q129" s="21"/>
    </row>
    <row r="130" ht="18.0" customHeight="1">
      <c r="A130" s="21"/>
      <c r="B130" s="21"/>
      <c r="C130" s="30" t="s">
        <v>41</v>
      </c>
      <c r="D130" s="39">
        <v>3255483.0</v>
      </c>
      <c r="E130" s="39">
        <v>3255483.0</v>
      </c>
      <c r="F130" s="39">
        <v>3255483.0</v>
      </c>
      <c r="G130" s="39">
        <v>9766449.0</v>
      </c>
      <c r="H130" s="39">
        <v>0.0</v>
      </c>
      <c r="I130" s="21"/>
      <c r="J130" s="21">
        <v>279892.0</v>
      </c>
      <c r="K130" s="21">
        <v>279892.0</v>
      </c>
      <c r="L130" s="21">
        <v>279892.0</v>
      </c>
      <c r="M130" s="21">
        <v>839676.0</v>
      </c>
      <c r="N130" s="93"/>
      <c r="O130" s="21"/>
      <c r="P130" s="21"/>
      <c r="Q130" s="21"/>
    </row>
    <row r="131" ht="18.0" customHeight="1">
      <c r="A131" s="21"/>
      <c r="B131" s="22" t="s">
        <v>32</v>
      </c>
      <c r="C131" s="35" t="s">
        <v>46</v>
      </c>
      <c r="D131" s="37">
        <v>3.5901625E7</v>
      </c>
      <c r="E131" s="37">
        <v>4.5611265E7</v>
      </c>
      <c r="F131" s="37">
        <v>4.3574043E7</v>
      </c>
      <c r="G131" s="37">
        <v>1.25086933E8</v>
      </c>
      <c r="H131" s="37">
        <v>0.0</v>
      </c>
      <c r="I131" s="21"/>
      <c r="J131" s="21"/>
      <c r="K131" s="21"/>
      <c r="L131" s="21"/>
      <c r="M131" s="21"/>
      <c r="N131" s="93"/>
      <c r="O131" s="21"/>
      <c r="P131" s="21"/>
      <c r="Q131" s="21"/>
    </row>
    <row r="132" ht="18.0" customHeight="1">
      <c r="A132" s="21"/>
      <c r="B132" s="22"/>
      <c r="C132" s="15" t="s">
        <v>41</v>
      </c>
      <c r="D132" s="23">
        <v>3.6745663E7</v>
      </c>
      <c r="E132" s="23">
        <v>4.6293401E7</v>
      </c>
      <c r="F132" s="23">
        <v>4.3116701E7</v>
      </c>
      <c r="G132" s="23">
        <v>1.26155765E8</v>
      </c>
      <c r="H132" s="23">
        <v>9766449.0</v>
      </c>
      <c r="I132" s="21"/>
      <c r="J132" s="21">
        <v>844038.0</v>
      </c>
      <c r="K132" s="21">
        <v>682136.0</v>
      </c>
      <c r="L132" s="21">
        <v>-457342.0</v>
      </c>
      <c r="M132" s="21">
        <v>1068832.0</v>
      </c>
      <c r="N132" s="93"/>
      <c r="O132" s="21"/>
      <c r="P132" s="21"/>
      <c r="Q132" s="21"/>
    </row>
    <row r="133" ht="18.0" customHeight="1">
      <c r="A133" s="21"/>
      <c r="B133" s="25" t="s">
        <v>33</v>
      </c>
      <c r="C133" s="57" t="s">
        <v>46</v>
      </c>
      <c r="D133" s="58">
        <v>1.7912865E7</v>
      </c>
      <c r="E133" s="58">
        <v>576735.0</v>
      </c>
      <c r="F133" s="58">
        <v>8720208.0</v>
      </c>
      <c r="G133" s="58">
        <v>2.7209808E7</v>
      </c>
      <c r="H133" s="58">
        <v>0.0</v>
      </c>
      <c r="I133" s="21"/>
      <c r="J133" s="21"/>
      <c r="K133" s="21"/>
      <c r="L133" s="21"/>
      <c r="M133" s="21"/>
      <c r="N133" s="93"/>
      <c r="O133" s="21"/>
      <c r="P133" s="21"/>
      <c r="Q133" s="21"/>
    </row>
    <row r="134" ht="18.0" customHeight="1">
      <c r="A134" s="21"/>
      <c r="B134" s="25"/>
      <c r="C134" s="59" t="s">
        <v>41</v>
      </c>
      <c r="D134" s="26">
        <v>1.6811E7</v>
      </c>
      <c r="E134" s="26">
        <v>-1325017.0</v>
      </c>
      <c r="F134" s="26">
        <v>7733620.0</v>
      </c>
      <c r="G134" s="26">
        <v>2.3219603E7</v>
      </c>
      <c r="H134" s="26">
        <v>-9766449.0</v>
      </c>
      <c r="I134" s="21"/>
      <c r="J134" s="21">
        <v>-1101865.0</v>
      </c>
      <c r="K134" s="21">
        <v>-1901752.0</v>
      </c>
      <c r="L134" s="21">
        <v>-986588.0</v>
      </c>
      <c r="M134" s="21">
        <v>-3990205.0</v>
      </c>
      <c r="N134" s="93"/>
      <c r="O134" s="21"/>
      <c r="P134" s="21"/>
      <c r="Q134" s="21"/>
    </row>
    <row r="135" ht="18.0" customHeight="1">
      <c r="A135" s="27"/>
      <c r="B135" s="28" t="s">
        <v>34</v>
      </c>
      <c r="C135" s="28"/>
      <c r="D135" s="29">
        <v>0.2934411820008405</v>
      </c>
      <c r="E135" s="29">
        <v>-0.026799779294007807</v>
      </c>
      <c r="F135" s="29">
        <v>0.13096249428513843</v>
      </c>
      <c r="G135" s="29">
        <v>0.1400604893111933</v>
      </c>
      <c r="H135" s="29" t="e">
        <v>#DIV/0!</v>
      </c>
      <c r="I135" s="27"/>
      <c r="J135" s="21"/>
      <c r="K135" s="21"/>
      <c r="L135" s="21"/>
      <c r="M135" s="21"/>
      <c r="N135" s="96"/>
      <c r="O135" s="21"/>
      <c r="P135" s="21"/>
      <c r="Q135" s="21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21"/>
      <c r="K136" s="21"/>
      <c r="L136" s="21"/>
      <c r="M136" s="21"/>
      <c r="N136" s="33"/>
      <c r="O136" s="21"/>
      <c r="P136" s="21"/>
      <c r="Q136" s="21"/>
    </row>
    <row r="137" ht="18.0" customHeight="1">
      <c r="A137" s="4"/>
      <c r="B137" s="25" t="s">
        <v>90</v>
      </c>
      <c r="C137" s="25"/>
      <c r="D137" s="26">
        <v>1.7819934E7</v>
      </c>
      <c r="E137" s="26">
        <v>6977049.0</v>
      </c>
      <c r="F137" s="26">
        <v>4963016.0</v>
      </c>
      <c r="G137" s="26">
        <v>2.9759999E7</v>
      </c>
      <c r="H137" s="26"/>
      <c r="I137" s="4"/>
      <c r="J137" s="21"/>
      <c r="K137" s="21"/>
      <c r="L137" s="21"/>
      <c r="M137" s="21"/>
      <c r="N137" s="33"/>
      <c r="O137" s="21"/>
      <c r="P137" s="21"/>
      <c r="Q137" s="21"/>
    </row>
    <row r="138" ht="18.0" customHeight="1">
      <c r="A138" s="4"/>
      <c r="B138" s="25" t="s">
        <v>88</v>
      </c>
      <c r="C138" s="25"/>
      <c r="D138" s="26">
        <v>-1008934.0</v>
      </c>
      <c r="E138" s="26">
        <v>-8302066.0</v>
      </c>
      <c r="F138" s="26">
        <v>2770604.0</v>
      </c>
      <c r="G138" s="26">
        <v>-6540396.0</v>
      </c>
      <c r="H138" s="26"/>
      <c r="I138" s="4"/>
      <c r="J138" s="21"/>
      <c r="K138" s="21"/>
      <c r="L138" s="21"/>
      <c r="M138" s="21"/>
      <c r="N138" s="33"/>
      <c r="O138" s="21"/>
      <c r="P138" s="21"/>
      <c r="Q138" s="21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21"/>
      <c r="L139" s="21"/>
      <c r="M139" s="21"/>
      <c r="N139" s="33"/>
      <c r="O139" s="21"/>
      <c r="P139" s="21"/>
      <c r="Q139" s="21"/>
    </row>
    <row r="140" ht="18.0" hidden="1" customHeight="1" outlineLevel="1">
      <c r="A140" s="4"/>
      <c r="B140" s="74" t="s">
        <v>91</v>
      </c>
      <c r="C140" s="4" t="s">
        <v>40</v>
      </c>
      <c r="D140" s="62">
        <v>0.0</v>
      </c>
      <c r="E140" s="62">
        <v>0.0</v>
      </c>
      <c r="F140" s="62">
        <v>0.0</v>
      </c>
      <c r="G140" s="62">
        <v>0.0</v>
      </c>
      <c r="H140" s="6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8.0" hidden="1" customHeight="1" outlineLevel="1">
      <c r="A141" s="4"/>
      <c r="B141" s="4"/>
      <c r="C141" s="75" t="s">
        <v>92</v>
      </c>
      <c r="D141" s="62">
        <v>0.0</v>
      </c>
      <c r="E141" s="62">
        <v>0.0</v>
      </c>
      <c r="F141" s="62">
        <v>0.0</v>
      </c>
      <c r="G141" s="62">
        <v>0.0</v>
      </c>
      <c r="H141" s="6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8.0" hidden="1" customHeight="1" outlineLevel="1">
      <c r="A142" s="4"/>
      <c r="B142" s="4"/>
      <c r="C142" s="75" t="s">
        <v>93</v>
      </c>
      <c r="D142" s="62"/>
      <c r="E142" s="62"/>
      <c r="F142" s="62"/>
      <c r="G142" s="62">
        <v>0.0</v>
      </c>
      <c r="H142" s="6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8.0" hidden="1" customHeight="1" outlineLevel="1">
      <c r="A143" s="4"/>
      <c r="B143" s="4"/>
      <c r="C143" s="75" t="s">
        <v>94</v>
      </c>
      <c r="D143" s="62"/>
      <c r="E143" s="62"/>
      <c r="F143" s="62"/>
      <c r="G143" s="62">
        <v>0.0</v>
      </c>
      <c r="H143" s="6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8.0" hidden="1" customHeight="1" outlineLevel="1">
      <c r="A144" s="4"/>
      <c r="B144" s="4"/>
      <c r="C144" s="75" t="s">
        <v>95</v>
      </c>
      <c r="D144" s="62">
        <v>0.0</v>
      </c>
      <c r="E144" s="62">
        <v>0.0</v>
      </c>
      <c r="F144" s="62">
        <v>0.0</v>
      </c>
      <c r="G144" s="62">
        <v>0.0</v>
      </c>
      <c r="H144" s="6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8.0" hidden="1" customHeight="1" outlineLevel="1">
      <c r="A145" s="74"/>
      <c r="C145" s="74" t="s">
        <v>41</v>
      </c>
      <c r="D145" s="62">
        <v>0.0</v>
      </c>
      <c r="E145" s="62">
        <v>0.0</v>
      </c>
      <c r="F145" s="62">
        <v>0.0</v>
      </c>
      <c r="G145" s="62">
        <v>0.0</v>
      </c>
      <c r="H145" s="62"/>
      <c r="I145" s="62"/>
      <c r="J145" s="62"/>
      <c r="K145" s="62"/>
      <c r="L145" s="62"/>
      <c r="M145" s="62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</row>
    <row r="146" ht="18.0" hidden="1" customHeight="1" outlineLevel="1">
      <c r="A146" s="74"/>
      <c r="B146" s="74"/>
      <c r="C146" s="75" t="s">
        <v>92</v>
      </c>
      <c r="D146" s="62">
        <v>0.0</v>
      </c>
      <c r="E146" s="62">
        <v>0.0</v>
      </c>
      <c r="F146" s="62">
        <v>0.0</v>
      </c>
      <c r="G146" s="62">
        <v>0.0</v>
      </c>
      <c r="H146" s="62"/>
      <c r="I146" s="62"/>
      <c r="J146" s="62"/>
      <c r="K146" s="62"/>
      <c r="L146" s="62"/>
      <c r="M146" s="62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</row>
    <row r="147" ht="18.0" hidden="1" customHeight="1" outlineLevel="1">
      <c r="A147" s="74"/>
      <c r="B147" s="74"/>
      <c r="C147" s="75" t="s">
        <v>93</v>
      </c>
      <c r="D147" s="62"/>
      <c r="E147" s="62"/>
      <c r="F147" s="62"/>
      <c r="G147" s="62">
        <v>0.0</v>
      </c>
      <c r="H147" s="62"/>
      <c r="I147" s="62"/>
      <c r="J147" s="62"/>
      <c r="K147" s="62"/>
      <c r="L147" s="62"/>
      <c r="M147" s="62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</row>
    <row r="148" ht="18.0" hidden="1" customHeight="1" outlineLevel="1">
      <c r="A148" s="74"/>
      <c r="B148" s="74"/>
      <c r="C148" s="75" t="s">
        <v>94</v>
      </c>
      <c r="D148" s="62"/>
      <c r="E148" s="62"/>
      <c r="F148" s="62"/>
      <c r="G148" s="62">
        <v>0.0</v>
      </c>
      <c r="H148" s="62"/>
      <c r="I148" s="62"/>
      <c r="J148" s="62"/>
      <c r="K148" s="62"/>
      <c r="L148" s="62"/>
      <c r="M148" s="62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</row>
    <row r="149" ht="18.0" hidden="1" customHeight="1" outlineLevel="1">
      <c r="A149" s="74"/>
      <c r="B149" s="74"/>
      <c r="C149" s="75" t="s">
        <v>95</v>
      </c>
      <c r="D149" s="62">
        <v>0.0</v>
      </c>
      <c r="E149" s="62">
        <v>0.0</v>
      </c>
      <c r="F149" s="62">
        <v>0.0</v>
      </c>
      <c r="G149" s="62">
        <v>0.0</v>
      </c>
      <c r="H149" s="62"/>
      <c r="I149" s="62"/>
      <c r="J149" s="62"/>
      <c r="K149" s="62"/>
      <c r="L149" s="62"/>
      <c r="M149" s="62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</row>
    <row r="150" ht="18.0" customHeight="1" collapsed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21"/>
      <c r="L150" s="21"/>
      <c r="M150" s="21"/>
      <c r="N150" s="33"/>
      <c r="O150" s="21"/>
      <c r="P150" s="21"/>
      <c r="Q150" s="21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21"/>
      <c r="L151" s="21"/>
      <c r="M151" s="21"/>
      <c r="N151" s="33"/>
      <c r="O151" s="21"/>
      <c r="P151" s="21"/>
      <c r="Q151" s="21"/>
    </row>
    <row r="152" ht="18.0" customHeight="1">
      <c r="A152" s="4"/>
      <c r="B152" s="4"/>
      <c r="C152" s="4"/>
      <c r="D152" s="4" t="s">
        <v>115</v>
      </c>
      <c r="E152" s="4"/>
      <c r="F152" s="4"/>
      <c r="G152" s="4"/>
      <c r="H152" s="4"/>
      <c r="I152" s="4"/>
      <c r="J152" s="4"/>
      <c r="K152" s="21"/>
      <c r="L152" s="21"/>
      <c r="M152" s="21"/>
      <c r="N152" s="33"/>
      <c r="O152" s="21"/>
      <c r="P152" s="21"/>
      <c r="Q152" s="21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21"/>
      <c r="L153" s="21"/>
      <c r="M153" s="21"/>
      <c r="N153" s="33"/>
      <c r="O153" s="21"/>
      <c r="P153" s="21"/>
      <c r="Q153" s="21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21"/>
      <c r="L154" s="21"/>
      <c r="M154" s="21"/>
      <c r="N154" s="33"/>
      <c r="O154" s="4"/>
      <c r="P154" s="76"/>
      <c r="Q154" s="76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21"/>
      <c r="L155" s="21"/>
      <c r="M155" s="21"/>
      <c r="N155" s="33"/>
      <c r="O155" s="4"/>
      <c r="P155" s="76"/>
      <c r="Q155" s="76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21"/>
      <c r="L156" s="21"/>
      <c r="M156" s="21"/>
      <c r="N156" s="33"/>
      <c r="O156" s="4"/>
      <c r="P156" s="76"/>
      <c r="Q156" s="76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21"/>
      <c r="L157" s="21"/>
      <c r="M157" s="21"/>
      <c r="N157" s="33"/>
      <c r="O157" s="4"/>
      <c r="P157" s="76"/>
      <c r="Q157" s="76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21"/>
      <c r="L158" s="21"/>
      <c r="M158" s="21"/>
      <c r="N158" s="33"/>
      <c r="O158" s="4"/>
      <c r="P158" s="76"/>
      <c r="Q158" s="76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21"/>
      <c r="L159" s="21"/>
      <c r="M159" s="21"/>
      <c r="N159" s="33"/>
      <c r="O159" s="4"/>
      <c r="P159" s="76"/>
      <c r="Q159" s="76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21"/>
      <c r="L160" s="21"/>
      <c r="M160" s="21"/>
      <c r="N160" s="33"/>
      <c r="O160" s="4"/>
      <c r="P160" s="76"/>
      <c r="Q160" s="76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21"/>
      <c r="L161" s="21"/>
      <c r="M161" s="21"/>
      <c r="N161" s="33"/>
      <c r="O161" s="4"/>
      <c r="P161" s="76"/>
      <c r="Q161" s="76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21"/>
      <c r="L162" s="21"/>
      <c r="M162" s="21"/>
      <c r="N162" s="33"/>
      <c r="O162" s="4"/>
      <c r="P162" s="76"/>
      <c r="Q162" s="76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21"/>
      <c r="L163" s="21"/>
      <c r="M163" s="21"/>
      <c r="N163" s="33"/>
      <c r="O163" s="4"/>
      <c r="P163" s="76"/>
      <c r="Q163" s="76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21"/>
      <c r="L164" s="21"/>
      <c r="M164" s="21"/>
      <c r="N164" s="33"/>
      <c r="O164" s="4"/>
      <c r="P164" s="76"/>
      <c r="Q164" s="76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21"/>
      <c r="L165" s="21"/>
      <c r="M165" s="21"/>
      <c r="N165" s="33"/>
      <c r="O165" s="4"/>
      <c r="P165" s="76"/>
      <c r="Q165" s="76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21"/>
      <c r="L166" s="21"/>
      <c r="M166" s="21"/>
      <c r="N166" s="33"/>
      <c r="O166" s="4"/>
      <c r="P166" s="76"/>
      <c r="Q166" s="76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21"/>
      <c r="L167" s="21"/>
      <c r="M167" s="21"/>
      <c r="N167" s="33"/>
      <c r="O167" s="4"/>
      <c r="P167" s="76"/>
      <c r="Q167" s="76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21"/>
      <c r="L168" s="21"/>
      <c r="M168" s="21"/>
      <c r="N168" s="33"/>
      <c r="O168" s="4"/>
      <c r="P168" s="76"/>
      <c r="Q168" s="76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21"/>
      <c r="L169" s="21"/>
      <c r="M169" s="21"/>
      <c r="N169" s="33"/>
      <c r="O169" s="4"/>
      <c r="P169" s="76"/>
      <c r="Q169" s="76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21"/>
      <c r="L170" s="21"/>
      <c r="M170" s="21"/>
      <c r="N170" s="33"/>
      <c r="O170" s="4"/>
      <c r="P170" s="76"/>
      <c r="Q170" s="76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21"/>
      <c r="L171" s="21"/>
      <c r="M171" s="21"/>
      <c r="N171" s="33"/>
      <c r="O171" s="4"/>
      <c r="P171" s="76"/>
      <c r="Q171" s="76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21"/>
      <c r="L172" s="21"/>
      <c r="M172" s="21"/>
      <c r="N172" s="33"/>
      <c r="O172" s="4"/>
      <c r="P172" s="76"/>
      <c r="Q172" s="76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21"/>
      <c r="L173" s="21"/>
      <c r="M173" s="21"/>
      <c r="N173" s="33"/>
      <c r="O173" s="4"/>
      <c r="P173" s="76"/>
      <c r="Q173" s="76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21"/>
      <c r="L174" s="21"/>
      <c r="M174" s="21"/>
      <c r="N174" s="33"/>
      <c r="O174" s="4"/>
      <c r="P174" s="76"/>
      <c r="Q174" s="76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21"/>
      <c r="L175" s="21"/>
      <c r="M175" s="21"/>
      <c r="N175" s="33"/>
      <c r="O175" s="4"/>
      <c r="P175" s="76"/>
      <c r="Q175" s="76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21"/>
      <c r="L176" s="21"/>
      <c r="M176" s="21"/>
      <c r="N176" s="33"/>
      <c r="O176" s="4"/>
      <c r="P176" s="76"/>
      <c r="Q176" s="76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21"/>
      <c r="L177" s="21"/>
      <c r="M177" s="21"/>
      <c r="N177" s="33"/>
      <c r="O177" s="4"/>
      <c r="P177" s="76"/>
      <c r="Q177" s="76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21"/>
      <c r="L178" s="21"/>
      <c r="M178" s="21"/>
      <c r="N178" s="33"/>
      <c r="O178" s="4"/>
      <c r="P178" s="76"/>
      <c r="Q178" s="76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21"/>
      <c r="L179" s="21"/>
      <c r="M179" s="21"/>
      <c r="N179" s="33"/>
      <c r="O179" s="4"/>
      <c r="P179" s="76"/>
      <c r="Q179" s="76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21"/>
      <c r="L180" s="21"/>
      <c r="M180" s="21"/>
      <c r="N180" s="33"/>
      <c r="O180" s="4"/>
      <c r="P180" s="76"/>
      <c r="Q180" s="76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21"/>
      <c r="L181" s="21"/>
      <c r="M181" s="21"/>
      <c r="N181" s="33"/>
      <c r="O181" s="4"/>
      <c r="P181" s="76"/>
      <c r="Q181" s="76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21"/>
      <c r="L182" s="21"/>
      <c r="M182" s="21"/>
      <c r="N182" s="33"/>
      <c r="O182" s="4"/>
      <c r="P182" s="76"/>
      <c r="Q182" s="76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21"/>
      <c r="L183" s="21"/>
      <c r="M183" s="21"/>
      <c r="N183" s="33"/>
      <c r="O183" s="4"/>
      <c r="P183" s="76"/>
      <c r="Q183" s="76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21"/>
      <c r="L184" s="21"/>
      <c r="M184" s="21"/>
      <c r="N184" s="33"/>
      <c r="O184" s="4"/>
      <c r="P184" s="76"/>
      <c r="Q184" s="76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21"/>
      <c r="L185" s="21"/>
      <c r="M185" s="21"/>
      <c r="N185" s="33"/>
      <c r="O185" s="4"/>
      <c r="P185" s="76"/>
      <c r="Q185" s="76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21"/>
      <c r="L186" s="21"/>
      <c r="M186" s="21"/>
      <c r="N186" s="33"/>
      <c r="O186" s="4"/>
      <c r="P186" s="76"/>
      <c r="Q186" s="76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21"/>
      <c r="L187" s="21"/>
      <c r="M187" s="21"/>
      <c r="N187" s="33"/>
      <c r="O187" s="4"/>
      <c r="P187" s="76"/>
      <c r="Q187" s="76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21"/>
      <c r="L188" s="21"/>
      <c r="M188" s="21"/>
      <c r="N188" s="33"/>
      <c r="O188" s="4"/>
      <c r="P188" s="76"/>
      <c r="Q188" s="76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21"/>
      <c r="L189" s="21"/>
      <c r="M189" s="21"/>
      <c r="N189" s="33"/>
      <c r="O189" s="4"/>
      <c r="P189" s="76"/>
      <c r="Q189" s="76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21"/>
      <c r="L190" s="21"/>
      <c r="M190" s="21"/>
      <c r="N190" s="33"/>
      <c r="O190" s="4"/>
      <c r="P190" s="76"/>
      <c r="Q190" s="76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21"/>
      <c r="L191" s="21"/>
      <c r="M191" s="21"/>
      <c r="N191" s="33"/>
      <c r="O191" s="4"/>
      <c r="P191" s="76"/>
      <c r="Q191" s="76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21"/>
      <c r="L192" s="21"/>
      <c r="M192" s="21"/>
      <c r="N192" s="33"/>
      <c r="O192" s="4"/>
      <c r="P192" s="76"/>
      <c r="Q192" s="76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21"/>
      <c r="L193" s="21"/>
      <c r="M193" s="21"/>
      <c r="N193" s="33"/>
      <c r="O193" s="4"/>
      <c r="P193" s="76"/>
      <c r="Q193" s="76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21"/>
      <c r="L194" s="21"/>
      <c r="M194" s="21"/>
      <c r="N194" s="33"/>
      <c r="O194" s="4"/>
      <c r="P194" s="76"/>
      <c r="Q194" s="76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21"/>
      <c r="L195" s="21"/>
      <c r="M195" s="21"/>
      <c r="N195" s="33"/>
      <c r="O195" s="4"/>
      <c r="P195" s="76"/>
      <c r="Q195" s="76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21"/>
      <c r="L196" s="21"/>
      <c r="M196" s="21"/>
      <c r="N196" s="33"/>
      <c r="O196" s="4"/>
      <c r="P196" s="76"/>
      <c r="Q196" s="76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21"/>
      <c r="L197" s="21"/>
      <c r="M197" s="21"/>
      <c r="N197" s="33"/>
      <c r="O197" s="4"/>
      <c r="P197" s="76"/>
      <c r="Q197" s="76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21"/>
      <c r="L198" s="21"/>
      <c r="M198" s="21"/>
      <c r="N198" s="33"/>
      <c r="O198" s="4"/>
      <c r="P198" s="76"/>
      <c r="Q198" s="76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21"/>
      <c r="L199" s="21"/>
      <c r="M199" s="21"/>
      <c r="N199" s="33"/>
      <c r="O199" s="4"/>
      <c r="P199" s="76"/>
      <c r="Q199" s="76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21"/>
      <c r="L200" s="21"/>
      <c r="M200" s="21"/>
      <c r="N200" s="33"/>
      <c r="O200" s="4"/>
      <c r="P200" s="76"/>
      <c r="Q200" s="76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21"/>
      <c r="L201" s="21"/>
      <c r="M201" s="21"/>
      <c r="N201" s="33"/>
      <c r="O201" s="4"/>
      <c r="P201" s="76"/>
      <c r="Q201" s="76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21"/>
      <c r="L202" s="21"/>
      <c r="M202" s="21"/>
      <c r="N202" s="33"/>
      <c r="O202" s="4"/>
      <c r="P202" s="76"/>
      <c r="Q202" s="76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21"/>
      <c r="L203" s="21"/>
      <c r="M203" s="21"/>
      <c r="N203" s="33"/>
      <c r="O203" s="4"/>
      <c r="P203" s="76"/>
      <c r="Q203" s="76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21"/>
      <c r="L204" s="21"/>
      <c r="M204" s="21"/>
      <c r="N204" s="33"/>
      <c r="O204" s="4"/>
      <c r="P204" s="76"/>
      <c r="Q204" s="76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21"/>
      <c r="L205" s="21"/>
      <c r="M205" s="21"/>
      <c r="N205" s="33"/>
      <c r="O205" s="4"/>
      <c r="P205" s="76"/>
      <c r="Q205" s="76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21"/>
      <c r="L206" s="21"/>
      <c r="M206" s="21"/>
      <c r="N206" s="33"/>
      <c r="O206" s="4"/>
      <c r="P206" s="76"/>
      <c r="Q206" s="76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21"/>
      <c r="L207" s="21"/>
      <c r="M207" s="21"/>
      <c r="N207" s="33"/>
      <c r="O207" s="4"/>
      <c r="P207" s="76"/>
      <c r="Q207" s="76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21"/>
      <c r="L208" s="21"/>
      <c r="M208" s="21"/>
      <c r="N208" s="33"/>
      <c r="O208" s="4"/>
      <c r="P208" s="76"/>
      <c r="Q208" s="76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21"/>
      <c r="L209" s="21"/>
      <c r="M209" s="21"/>
      <c r="N209" s="33"/>
      <c r="O209" s="4"/>
      <c r="P209" s="76"/>
      <c r="Q209" s="76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21"/>
      <c r="L210" s="21"/>
      <c r="M210" s="21"/>
      <c r="N210" s="33"/>
      <c r="O210" s="4"/>
      <c r="P210" s="76"/>
      <c r="Q210" s="76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21"/>
      <c r="L211" s="21"/>
      <c r="M211" s="21"/>
      <c r="N211" s="33"/>
      <c r="O211" s="4"/>
      <c r="P211" s="76"/>
      <c r="Q211" s="76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21"/>
      <c r="L212" s="21"/>
      <c r="M212" s="21"/>
      <c r="N212" s="33"/>
      <c r="O212" s="4"/>
      <c r="P212" s="76"/>
      <c r="Q212" s="76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21"/>
      <c r="L213" s="21"/>
      <c r="M213" s="21"/>
      <c r="N213" s="33"/>
      <c r="O213" s="4"/>
      <c r="P213" s="76"/>
      <c r="Q213" s="76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21"/>
      <c r="L214" s="21"/>
      <c r="M214" s="21"/>
      <c r="N214" s="33"/>
      <c r="O214" s="4"/>
      <c r="P214" s="76"/>
      <c r="Q214" s="76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21"/>
      <c r="L215" s="21"/>
      <c r="M215" s="21"/>
      <c r="N215" s="33"/>
      <c r="O215" s="4"/>
      <c r="P215" s="76"/>
      <c r="Q215" s="76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21"/>
      <c r="L216" s="21"/>
      <c r="M216" s="21"/>
      <c r="N216" s="33"/>
      <c r="O216" s="4"/>
      <c r="P216" s="76"/>
      <c r="Q216" s="76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21"/>
      <c r="L217" s="21"/>
      <c r="M217" s="21"/>
      <c r="N217" s="33"/>
      <c r="O217" s="4"/>
      <c r="P217" s="76"/>
      <c r="Q217" s="76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21"/>
      <c r="L218" s="21"/>
      <c r="M218" s="21"/>
      <c r="N218" s="33"/>
      <c r="O218" s="4"/>
      <c r="P218" s="76"/>
      <c r="Q218" s="76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21"/>
      <c r="L219" s="21"/>
      <c r="M219" s="21"/>
      <c r="N219" s="33"/>
      <c r="O219" s="4"/>
      <c r="P219" s="76"/>
      <c r="Q219" s="76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21"/>
      <c r="L220" s="21"/>
      <c r="M220" s="21"/>
      <c r="N220" s="33"/>
      <c r="O220" s="4"/>
      <c r="P220" s="76"/>
      <c r="Q220" s="76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21"/>
      <c r="L221" s="21"/>
      <c r="M221" s="21"/>
      <c r="N221" s="33"/>
      <c r="O221" s="4"/>
      <c r="P221" s="76"/>
      <c r="Q221" s="76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21"/>
      <c r="L222" s="21"/>
      <c r="M222" s="21"/>
      <c r="N222" s="33"/>
      <c r="O222" s="4"/>
      <c r="P222" s="76"/>
      <c r="Q222" s="76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21"/>
      <c r="L223" s="21"/>
      <c r="M223" s="21"/>
      <c r="N223" s="33"/>
      <c r="O223" s="4"/>
      <c r="P223" s="76"/>
      <c r="Q223" s="76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21"/>
      <c r="L224" s="21"/>
      <c r="M224" s="21"/>
      <c r="N224" s="33"/>
      <c r="O224" s="4"/>
      <c r="P224" s="76"/>
      <c r="Q224" s="76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21"/>
      <c r="L225" s="21"/>
      <c r="M225" s="21"/>
      <c r="N225" s="33"/>
      <c r="O225" s="4"/>
      <c r="P225" s="76"/>
      <c r="Q225" s="76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21"/>
      <c r="L226" s="21"/>
      <c r="M226" s="21"/>
      <c r="N226" s="33"/>
      <c r="O226" s="4"/>
      <c r="P226" s="76"/>
      <c r="Q226" s="76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21"/>
      <c r="L227" s="21"/>
      <c r="M227" s="21"/>
      <c r="N227" s="33"/>
      <c r="O227" s="4"/>
      <c r="P227" s="76"/>
      <c r="Q227" s="76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21"/>
      <c r="L228" s="21"/>
      <c r="M228" s="21"/>
      <c r="N228" s="33"/>
      <c r="O228" s="4"/>
      <c r="P228" s="76"/>
      <c r="Q228" s="76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21"/>
      <c r="L229" s="21"/>
      <c r="M229" s="21"/>
      <c r="N229" s="33"/>
      <c r="O229" s="4"/>
      <c r="P229" s="76"/>
      <c r="Q229" s="76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21"/>
      <c r="L230" s="21"/>
      <c r="M230" s="21"/>
      <c r="N230" s="33"/>
      <c r="O230" s="4"/>
      <c r="P230" s="76"/>
      <c r="Q230" s="76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21"/>
      <c r="L231" s="21"/>
      <c r="M231" s="21"/>
      <c r="N231" s="33"/>
      <c r="O231" s="4"/>
      <c r="P231" s="76"/>
      <c r="Q231" s="76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21"/>
      <c r="L232" s="21"/>
      <c r="M232" s="21"/>
      <c r="N232" s="33"/>
      <c r="O232" s="4"/>
      <c r="P232" s="76"/>
      <c r="Q232" s="76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21"/>
      <c r="L233" s="21"/>
      <c r="M233" s="21"/>
      <c r="N233" s="33"/>
      <c r="O233" s="4"/>
      <c r="P233" s="76"/>
      <c r="Q233" s="76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21"/>
      <c r="L234" s="21"/>
      <c r="M234" s="21"/>
      <c r="N234" s="33"/>
      <c r="O234" s="4"/>
      <c r="P234" s="76"/>
      <c r="Q234" s="76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21"/>
      <c r="L235" s="21"/>
      <c r="M235" s="21"/>
      <c r="N235" s="33"/>
      <c r="O235" s="4"/>
      <c r="P235" s="76"/>
      <c r="Q235" s="76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21"/>
      <c r="L236" s="21"/>
      <c r="M236" s="21"/>
      <c r="N236" s="33"/>
      <c r="O236" s="4"/>
      <c r="P236" s="76"/>
      <c r="Q236" s="76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21"/>
      <c r="L237" s="21"/>
      <c r="M237" s="21"/>
      <c r="N237" s="33"/>
      <c r="O237" s="4"/>
      <c r="P237" s="76"/>
      <c r="Q237" s="76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21"/>
      <c r="L238" s="21"/>
      <c r="M238" s="21"/>
      <c r="N238" s="33"/>
      <c r="O238" s="4"/>
      <c r="P238" s="76"/>
      <c r="Q238" s="76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21"/>
      <c r="L239" s="21"/>
      <c r="M239" s="21"/>
      <c r="N239" s="33"/>
      <c r="O239" s="4"/>
      <c r="P239" s="76"/>
      <c r="Q239" s="76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21"/>
      <c r="L240" s="21"/>
      <c r="M240" s="21"/>
      <c r="N240" s="33"/>
      <c r="O240" s="4"/>
      <c r="P240" s="76"/>
      <c r="Q240" s="76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21"/>
      <c r="L241" s="21"/>
      <c r="M241" s="21"/>
      <c r="N241" s="33"/>
      <c r="O241" s="4"/>
      <c r="P241" s="76"/>
      <c r="Q241" s="76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21"/>
      <c r="L242" s="21"/>
      <c r="M242" s="21"/>
      <c r="N242" s="33"/>
      <c r="O242" s="4"/>
      <c r="P242" s="76"/>
      <c r="Q242" s="76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21"/>
      <c r="L243" s="21"/>
      <c r="M243" s="21"/>
      <c r="N243" s="33"/>
      <c r="O243" s="4"/>
      <c r="P243" s="76"/>
      <c r="Q243" s="76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21"/>
      <c r="L244" s="21"/>
      <c r="M244" s="21"/>
      <c r="N244" s="33"/>
      <c r="O244" s="4"/>
      <c r="P244" s="76"/>
      <c r="Q244" s="76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21"/>
      <c r="L245" s="21"/>
      <c r="M245" s="21"/>
      <c r="N245" s="33"/>
      <c r="O245" s="4"/>
      <c r="P245" s="76"/>
      <c r="Q245" s="76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21"/>
      <c r="L246" s="21"/>
      <c r="M246" s="21"/>
      <c r="N246" s="33"/>
      <c r="O246" s="4"/>
      <c r="P246" s="76"/>
      <c r="Q246" s="76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21"/>
      <c r="L247" s="21"/>
      <c r="M247" s="21"/>
      <c r="N247" s="33"/>
      <c r="O247" s="4"/>
      <c r="P247" s="76"/>
      <c r="Q247" s="76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21"/>
      <c r="L248" s="21"/>
      <c r="M248" s="21"/>
      <c r="N248" s="33"/>
      <c r="O248" s="4"/>
      <c r="P248" s="76"/>
      <c r="Q248" s="76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21"/>
      <c r="L249" s="21"/>
      <c r="M249" s="21"/>
      <c r="N249" s="33"/>
      <c r="O249" s="4"/>
      <c r="P249" s="76"/>
      <c r="Q249" s="76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21"/>
      <c r="L250" s="21"/>
      <c r="M250" s="21"/>
      <c r="N250" s="33"/>
      <c r="O250" s="4"/>
      <c r="P250" s="76"/>
      <c r="Q250" s="76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21"/>
      <c r="L251" s="21"/>
      <c r="M251" s="21"/>
      <c r="N251" s="33"/>
      <c r="O251" s="4"/>
      <c r="P251" s="76"/>
      <c r="Q251" s="76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21"/>
      <c r="L252" s="21"/>
      <c r="M252" s="21"/>
      <c r="N252" s="33"/>
      <c r="O252" s="4"/>
      <c r="P252" s="76"/>
      <c r="Q252" s="76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21"/>
      <c r="L253" s="21"/>
      <c r="M253" s="21"/>
      <c r="N253" s="33"/>
      <c r="O253" s="4"/>
      <c r="P253" s="76"/>
      <c r="Q253" s="76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21"/>
      <c r="L254" s="21"/>
      <c r="M254" s="21"/>
      <c r="N254" s="33"/>
      <c r="O254" s="4"/>
      <c r="P254" s="76"/>
      <c r="Q254" s="76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21"/>
      <c r="L255" s="21"/>
      <c r="M255" s="21"/>
      <c r="N255" s="33"/>
      <c r="O255" s="4"/>
      <c r="P255" s="76"/>
      <c r="Q255" s="76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21"/>
      <c r="L256" s="21"/>
      <c r="M256" s="21"/>
      <c r="N256" s="33"/>
      <c r="O256" s="4"/>
      <c r="P256" s="76"/>
      <c r="Q256" s="76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21"/>
      <c r="L257" s="21"/>
      <c r="M257" s="21"/>
      <c r="N257" s="33"/>
      <c r="O257" s="4"/>
      <c r="P257" s="76"/>
      <c r="Q257" s="76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21"/>
      <c r="L258" s="21"/>
      <c r="M258" s="21"/>
      <c r="N258" s="33"/>
      <c r="O258" s="4"/>
      <c r="P258" s="76"/>
      <c r="Q258" s="76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21"/>
      <c r="L259" s="21"/>
      <c r="M259" s="21"/>
      <c r="N259" s="33"/>
      <c r="O259" s="4"/>
      <c r="P259" s="76"/>
      <c r="Q259" s="76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21"/>
      <c r="L260" s="21"/>
      <c r="M260" s="21"/>
      <c r="N260" s="33"/>
      <c r="O260" s="4"/>
      <c r="P260" s="76"/>
      <c r="Q260" s="76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21"/>
      <c r="L261" s="21"/>
      <c r="M261" s="21"/>
      <c r="N261" s="33"/>
      <c r="O261" s="4"/>
      <c r="P261" s="76"/>
      <c r="Q261" s="76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21"/>
      <c r="L262" s="21"/>
      <c r="M262" s="21"/>
      <c r="N262" s="33"/>
      <c r="O262" s="4"/>
      <c r="P262" s="76"/>
      <c r="Q262" s="76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21"/>
      <c r="L263" s="21"/>
      <c r="M263" s="21"/>
      <c r="N263" s="33"/>
      <c r="O263" s="4"/>
      <c r="P263" s="76"/>
      <c r="Q263" s="76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21"/>
      <c r="L264" s="21"/>
      <c r="M264" s="21"/>
      <c r="N264" s="33"/>
      <c r="O264" s="4"/>
      <c r="P264" s="76"/>
      <c r="Q264" s="76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21"/>
      <c r="L265" s="21"/>
      <c r="M265" s="21"/>
      <c r="N265" s="33"/>
      <c r="O265" s="4"/>
      <c r="P265" s="76"/>
      <c r="Q265" s="76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21"/>
      <c r="L266" s="21"/>
      <c r="M266" s="21"/>
      <c r="N266" s="33"/>
      <c r="O266" s="4"/>
      <c r="P266" s="76"/>
      <c r="Q266" s="76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21"/>
      <c r="L267" s="21"/>
      <c r="M267" s="21"/>
      <c r="N267" s="33"/>
      <c r="O267" s="4"/>
      <c r="P267" s="76"/>
      <c r="Q267" s="76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21"/>
      <c r="L268" s="21"/>
      <c r="M268" s="21"/>
      <c r="N268" s="33"/>
      <c r="O268" s="4"/>
      <c r="P268" s="76"/>
      <c r="Q268" s="76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21"/>
      <c r="L269" s="21"/>
      <c r="M269" s="21"/>
      <c r="N269" s="33"/>
      <c r="O269" s="4"/>
      <c r="P269" s="76"/>
      <c r="Q269" s="76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21"/>
      <c r="L270" s="21"/>
      <c r="M270" s="21"/>
      <c r="N270" s="33"/>
      <c r="O270" s="4"/>
      <c r="P270" s="76"/>
      <c r="Q270" s="76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21"/>
      <c r="L271" s="21"/>
      <c r="M271" s="21"/>
      <c r="N271" s="33"/>
      <c r="O271" s="4"/>
      <c r="P271" s="76"/>
      <c r="Q271" s="76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21"/>
      <c r="L272" s="21"/>
      <c r="M272" s="21"/>
      <c r="N272" s="33"/>
      <c r="O272" s="4"/>
      <c r="P272" s="76"/>
      <c r="Q272" s="76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21"/>
      <c r="L273" s="21"/>
      <c r="M273" s="21"/>
      <c r="N273" s="33"/>
      <c r="O273" s="4"/>
      <c r="P273" s="76"/>
      <c r="Q273" s="76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21"/>
      <c r="L274" s="21"/>
      <c r="M274" s="21"/>
      <c r="N274" s="33"/>
      <c r="O274" s="4"/>
      <c r="P274" s="76"/>
      <c r="Q274" s="76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21"/>
      <c r="L275" s="21"/>
      <c r="M275" s="21"/>
      <c r="N275" s="33"/>
      <c r="O275" s="4"/>
      <c r="P275" s="76"/>
      <c r="Q275" s="76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21"/>
      <c r="L276" s="21"/>
      <c r="M276" s="21"/>
      <c r="N276" s="33"/>
      <c r="O276" s="4"/>
      <c r="P276" s="76"/>
      <c r="Q276" s="76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21"/>
      <c r="L277" s="21"/>
      <c r="M277" s="21"/>
      <c r="N277" s="33"/>
      <c r="O277" s="4"/>
      <c r="P277" s="76"/>
      <c r="Q277" s="76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21"/>
      <c r="L278" s="21"/>
      <c r="M278" s="21"/>
      <c r="N278" s="33"/>
      <c r="O278" s="4"/>
      <c r="P278" s="76"/>
      <c r="Q278" s="76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21"/>
      <c r="L279" s="21"/>
      <c r="M279" s="21"/>
      <c r="N279" s="33"/>
      <c r="O279" s="4"/>
      <c r="P279" s="76"/>
      <c r="Q279" s="76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21"/>
      <c r="L280" s="21"/>
      <c r="M280" s="21"/>
      <c r="N280" s="33"/>
      <c r="O280" s="4"/>
      <c r="P280" s="76"/>
      <c r="Q280" s="76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21"/>
      <c r="L281" s="21"/>
      <c r="M281" s="21"/>
      <c r="N281" s="33"/>
      <c r="O281" s="4"/>
      <c r="P281" s="76"/>
      <c r="Q281" s="76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21"/>
      <c r="L282" s="21"/>
      <c r="M282" s="21"/>
      <c r="N282" s="33"/>
      <c r="O282" s="4"/>
      <c r="P282" s="76"/>
      <c r="Q282" s="76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21"/>
      <c r="L283" s="21"/>
      <c r="M283" s="21"/>
      <c r="N283" s="33"/>
      <c r="O283" s="4"/>
      <c r="P283" s="76"/>
      <c r="Q283" s="76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21"/>
      <c r="L284" s="21"/>
      <c r="M284" s="21"/>
      <c r="N284" s="33"/>
      <c r="O284" s="4"/>
      <c r="P284" s="76"/>
      <c r="Q284" s="76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21"/>
      <c r="L285" s="21"/>
      <c r="M285" s="21"/>
      <c r="N285" s="33"/>
      <c r="O285" s="4"/>
      <c r="P285" s="76"/>
      <c r="Q285" s="76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21"/>
      <c r="L286" s="21"/>
      <c r="M286" s="21"/>
      <c r="N286" s="33"/>
      <c r="O286" s="4"/>
      <c r="P286" s="76"/>
      <c r="Q286" s="76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21"/>
      <c r="L287" s="21"/>
      <c r="M287" s="21"/>
      <c r="N287" s="33"/>
      <c r="O287" s="4"/>
      <c r="P287" s="76"/>
      <c r="Q287" s="76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21"/>
      <c r="L288" s="21"/>
      <c r="M288" s="21"/>
      <c r="N288" s="33"/>
      <c r="O288" s="4"/>
      <c r="P288" s="76"/>
      <c r="Q288" s="76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21"/>
      <c r="L289" s="21"/>
      <c r="M289" s="21"/>
      <c r="N289" s="33"/>
      <c r="O289" s="4"/>
      <c r="P289" s="76"/>
      <c r="Q289" s="76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21"/>
      <c r="L290" s="21"/>
      <c r="M290" s="21"/>
      <c r="N290" s="33"/>
      <c r="O290" s="4"/>
      <c r="P290" s="76"/>
      <c r="Q290" s="76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21"/>
      <c r="L291" s="21"/>
      <c r="M291" s="21"/>
      <c r="N291" s="33"/>
      <c r="O291" s="4"/>
      <c r="P291" s="76"/>
      <c r="Q291" s="76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21"/>
      <c r="L292" s="21"/>
      <c r="M292" s="21"/>
      <c r="N292" s="33"/>
      <c r="O292" s="4"/>
      <c r="P292" s="76"/>
      <c r="Q292" s="76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21"/>
      <c r="L293" s="21"/>
      <c r="M293" s="21"/>
      <c r="N293" s="33"/>
      <c r="O293" s="4"/>
      <c r="P293" s="76"/>
      <c r="Q293" s="76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21"/>
      <c r="L294" s="21"/>
      <c r="M294" s="21"/>
      <c r="N294" s="33"/>
      <c r="O294" s="4"/>
      <c r="P294" s="76"/>
      <c r="Q294" s="76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21"/>
      <c r="L295" s="21"/>
      <c r="M295" s="21"/>
      <c r="N295" s="33"/>
      <c r="O295" s="4"/>
      <c r="P295" s="76"/>
      <c r="Q295" s="76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21"/>
      <c r="L296" s="21"/>
      <c r="M296" s="21"/>
      <c r="N296" s="33"/>
      <c r="O296" s="4"/>
      <c r="P296" s="76"/>
      <c r="Q296" s="76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21"/>
      <c r="L297" s="21"/>
      <c r="M297" s="21"/>
      <c r="N297" s="33"/>
      <c r="O297" s="4"/>
      <c r="P297" s="76"/>
      <c r="Q297" s="76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21"/>
      <c r="L298" s="21"/>
      <c r="M298" s="21"/>
      <c r="N298" s="33"/>
      <c r="O298" s="4"/>
      <c r="P298" s="76"/>
      <c r="Q298" s="76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21"/>
      <c r="L299" s="21"/>
      <c r="M299" s="21"/>
      <c r="N299" s="33"/>
      <c r="O299" s="4"/>
      <c r="P299" s="76"/>
      <c r="Q299" s="76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21"/>
      <c r="L300" s="21"/>
      <c r="M300" s="21"/>
      <c r="N300" s="33"/>
      <c r="O300" s="4"/>
      <c r="P300" s="76"/>
      <c r="Q300" s="76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21"/>
      <c r="L301" s="21"/>
      <c r="M301" s="21"/>
      <c r="N301" s="33"/>
      <c r="O301" s="4"/>
      <c r="P301" s="76"/>
      <c r="Q301" s="76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21"/>
      <c r="L302" s="21"/>
      <c r="M302" s="21"/>
      <c r="N302" s="33"/>
      <c r="O302" s="4"/>
      <c r="P302" s="76"/>
      <c r="Q302" s="76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21"/>
      <c r="L303" s="21"/>
      <c r="M303" s="21"/>
      <c r="N303" s="33"/>
      <c r="O303" s="4"/>
      <c r="P303" s="76"/>
      <c r="Q303" s="76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21"/>
      <c r="L304" s="21"/>
      <c r="M304" s="21"/>
      <c r="N304" s="33"/>
      <c r="O304" s="4"/>
      <c r="P304" s="76"/>
      <c r="Q304" s="76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21"/>
      <c r="L305" s="21"/>
      <c r="M305" s="21"/>
      <c r="N305" s="33"/>
      <c r="O305" s="4"/>
      <c r="P305" s="76"/>
      <c r="Q305" s="76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21"/>
      <c r="L306" s="21"/>
      <c r="M306" s="21"/>
      <c r="N306" s="33"/>
      <c r="O306" s="4"/>
      <c r="P306" s="76"/>
      <c r="Q306" s="76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21"/>
      <c r="L307" s="21"/>
      <c r="M307" s="21"/>
      <c r="N307" s="33"/>
      <c r="O307" s="4"/>
      <c r="P307" s="76"/>
      <c r="Q307" s="76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21"/>
      <c r="L308" s="21"/>
      <c r="M308" s="21"/>
      <c r="N308" s="33"/>
      <c r="O308" s="4"/>
      <c r="P308" s="76"/>
      <c r="Q308" s="76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21"/>
      <c r="L309" s="21"/>
      <c r="M309" s="21"/>
      <c r="N309" s="33"/>
      <c r="O309" s="4"/>
      <c r="P309" s="76"/>
      <c r="Q309" s="76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21"/>
      <c r="L310" s="21"/>
      <c r="M310" s="21"/>
      <c r="N310" s="33"/>
      <c r="O310" s="4"/>
      <c r="P310" s="76"/>
      <c r="Q310" s="76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21"/>
      <c r="L311" s="21"/>
      <c r="M311" s="21"/>
      <c r="N311" s="33"/>
      <c r="O311" s="4"/>
      <c r="P311" s="76"/>
      <c r="Q311" s="76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21"/>
      <c r="L312" s="21"/>
      <c r="M312" s="21"/>
      <c r="N312" s="33"/>
      <c r="O312" s="4"/>
      <c r="P312" s="76"/>
      <c r="Q312" s="76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21"/>
      <c r="L313" s="21"/>
      <c r="M313" s="21"/>
      <c r="N313" s="33"/>
      <c r="O313" s="4"/>
      <c r="P313" s="76"/>
      <c r="Q313" s="76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21"/>
      <c r="L314" s="21"/>
      <c r="M314" s="21"/>
      <c r="N314" s="33"/>
      <c r="O314" s="4"/>
      <c r="P314" s="76"/>
      <c r="Q314" s="76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21"/>
      <c r="L315" s="21"/>
      <c r="M315" s="21"/>
      <c r="N315" s="33"/>
      <c r="O315" s="4"/>
      <c r="P315" s="76"/>
      <c r="Q315" s="76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21"/>
      <c r="L316" s="21"/>
      <c r="M316" s="21"/>
      <c r="N316" s="33"/>
      <c r="O316" s="4"/>
      <c r="P316" s="76"/>
      <c r="Q316" s="76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21"/>
      <c r="L317" s="21"/>
      <c r="M317" s="21"/>
      <c r="N317" s="33"/>
      <c r="O317" s="4"/>
      <c r="P317" s="76"/>
      <c r="Q317" s="76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21"/>
      <c r="L318" s="21"/>
      <c r="M318" s="21"/>
      <c r="N318" s="33"/>
      <c r="O318" s="4"/>
      <c r="P318" s="76"/>
      <c r="Q318" s="76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21"/>
      <c r="L319" s="21"/>
      <c r="M319" s="21"/>
      <c r="N319" s="33"/>
      <c r="O319" s="4"/>
      <c r="P319" s="76"/>
      <c r="Q319" s="76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21"/>
      <c r="L320" s="21"/>
      <c r="M320" s="21"/>
      <c r="N320" s="33"/>
      <c r="O320" s="4"/>
      <c r="P320" s="76"/>
      <c r="Q320" s="76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21"/>
      <c r="L321" s="21"/>
      <c r="M321" s="21"/>
      <c r="N321" s="33"/>
      <c r="O321" s="4"/>
      <c r="P321" s="76"/>
      <c r="Q321" s="76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21"/>
      <c r="L322" s="21"/>
      <c r="M322" s="21"/>
      <c r="N322" s="33"/>
      <c r="O322" s="4"/>
      <c r="P322" s="76"/>
      <c r="Q322" s="76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21"/>
      <c r="L323" s="21"/>
      <c r="M323" s="21"/>
      <c r="N323" s="33"/>
      <c r="O323" s="4"/>
      <c r="P323" s="76"/>
      <c r="Q323" s="76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21"/>
      <c r="L324" s="21"/>
      <c r="M324" s="21"/>
      <c r="N324" s="33"/>
      <c r="O324" s="4"/>
      <c r="P324" s="76"/>
      <c r="Q324" s="76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21"/>
      <c r="L325" s="21"/>
      <c r="M325" s="21"/>
      <c r="N325" s="33"/>
      <c r="O325" s="4"/>
      <c r="P325" s="76"/>
      <c r="Q325" s="76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21"/>
      <c r="L326" s="21"/>
      <c r="M326" s="21"/>
      <c r="N326" s="33"/>
      <c r="O326" s="4"/>
      <c r="P326" s="76"/>
      <c r="Q326" s="76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21"/>
      <c r="L327" s="21"/>
      <c r="M327" s="21"/>
      <c r="N327" s="33"/>
      <c r="O327" s="4"/>
      <c r="P327" s="76"/>
      <c r="Q327" s="76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21"/>
      <c r="L328" s="21"/>
      <c r="M328" s="21"/>
      <c r="N328" s="33"/>
      <c r="O328" s="4"/>
      <c r="P328" s="76"/>
      <c r="Q328" s="76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21"/>
      <c r="L329" s="21"/>
      <c r="M329" s="21"/>
      <c r="N329" s="33"/>
      <c r="O329" s="4"/>
      <c r="P329" s="76"/>
      <c r="Q329" s="76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21"/>
      <c r="L330" s="21"/>
      <c r="M330" s="21"/>
      <c r="N330" s="33"/>
      <c r="O330" s="4"/>
      <c r="P330" s="76"/>
      <c r="Q330" s="76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21"/>
      <c r="L331" s="21"/>
      <c r="M331" s="21"/>
      <c r="N331" s="33"/>
      <c r="O331" s="4"/>
      <c r="P331" s="76"/>
      <c r="Q331" s="76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21"/>
      <c r="L332" s="21"/>
      <c r="M332" s="21"/>
      <c r="N332" s="33"/>
      <c r="O332" s="4"/>
      <c r="P332" s="76"/>
      <c r="Q332" s="76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21"/>
      <c r="L333" s="21"/>
      <c r="M333" s="21"/>
      <c r="N333" s="33"/>
      <c r="O333" s="4"/>
      <c r="P333" s="76"/>
      <c r="Q333" s="76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21"/>
      <c r="L334" s="21"/>
      <c r="M334" s="21"/>
      <c r="N334" s="33"/>
      <c r="O334" s="4"/>
      <c r="P334" s="76"/>
      <c r="Q334" s="76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21"/>
      <c r="L335" s="21"/>
      <c r="M335" s="21"/>
      <c r="N335" s="33"/>
      <c r="O335" s="4"/>
      <c r="P335" s="76"/>
      <c r="Q335" s="76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21"/>
      <c r="L336" s="21"/>
      <c r="M336" s="21"/>
      <c r="N336" s="33"/>
      <c r="O336" s="4"/>
      <c r="P336" s="76"/>
      <c r="Q336" s="76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21"/>
      <c r="L337" s="21"/>
      <c r="M337" s="21"/>
      <c r="N337" s="33"/>
      <c r="O337" s="4"/>
      <c r="P337" s="76"/>
      <c r="Q337" s="76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21"/>
      <c r="L338" s="21"/>
      <c r="M338" s="21"/>
      <c r="N338" s="33"/>
      <c r="O338" s="4"/>
      <c r="P338" s="76"/>
      <c r="Q338" s="76"/>
    </row>
    <row r="339" ht="18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21"/>
      <c r="L339" s="21"/>
      <c r="M339" s="21"/>
      <c r="N339" s="33"/>
      <c r="O339" s="4"/>
      <c r="P339" s="76"/>
      <c r="Q339" s="76"/>
    </row>
    <row r="340" ht="18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21"/>
      <c r="L340" s="21"/>
      <c r="M340" s="21"/>
      <c r="N340" s="33"/>
      <c r="O340" s="4"/>
      <c r="P340" s="76"/>
      <c r="Q340" s="76"/>
    </row>
    <row r="341" ht="18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21"/>
      <c r="L341" s="21"/>
      <c r="M341" s="21"/>
      <c r="N341" s="33"/>
      <c r="O341" s="4"/>
      <c r="P341" s="76"/>
      <c r="Q341" s="76"/>
    </row>
    <row r="342" ht="18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21"/>
      <c r="L342" s="21"/>
      <c r="M342" s="21"/>
      <c r="N342" s="33"/>
      <c r="O342" s="4"/>
      <c r="P342" s="76"/>
      <c r="Q342" s="76"/>
    </row>
    <row r="343" ht="18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21"/>
      <c r="L343" s="21"/>
      <c r="M343" s="21"/>
      <c r="N343" s="33"/>
      <c r="O343" s="4"/>
      <c r="P343" s="76"/>
      <c r="Q343" s="76"/>
    </row>
    <row r="344" ht="18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21"/>
      <c r="L344" s="21"/>
      <c r="M344" s="21"/>
      <c r="N344" s="33"/>
      <c r="O344" s="4"/>
      <c r="P344" s="76"/>
      <c r="Q344" s="76"/>
    </row>
    <row r="345" ht="18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21"/>
      <c r="L345" s="21"/>
      <c r="M345" s="21"/>
      <c r="N345" s="33"/>
      <c r="O345" s="4"/>
      <c r="P345" s="76"/>
      <c r="Q345" s="76"/>
    </row>
    <row r="346" ht="18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21"/>
      <c r="L346" s="21"/>
      <c r="M346" s="21"/>
      <c r="N346" s="33"/>
      <c r="O346" s="4"/>
      <c r="P346" s="76"/>
      <c r="Q346" s="76"/>
    </row>
    <row r="347" ht="18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21"/>
      <c r="L347" s="21"/>
      <c r="M347" s="21"/>
      <c r="N347" s="33"/>
      <c r="O347" s="4"/>
      <c r="P347" s="76"/>
      <c r="Q347" s="76"/>
    </row>
    <row r="348" ht="18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21"/>
      <c r="L348" s="21"/>
      <c r="M348" s="21"/>
      <c r="N348" s="33"/>
      <c r="O348" s="4"/>
      <c r="P348" s="76"/>
      <c r="Q348" s="76"/>
    </row>
    <row r="349" ht="18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21"/>
      <c r="L349" s="21"/>
      <c r="M349" s="21"/>
      <c r="N349" s="33"/>
      <c r="O349" s="4"/>
      <c r="P349" s="76"/>
      <c r="Q349" s="76"/>
    </row>
    <row r="350" ht="18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21"/>
      <c r="L350" s="21"/>
      <c r="M350" s="21"/>
      <c r="N350" s="33"/>
      <c r="O350" s="4"/>
      <c r="P350" s="76"/>
      <c r="Q350" s="76"/>
    </row>
    <row r="351" ht="18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21"/>
      <c r="L351" s="21"/>
      <c r="M351" s="21"/>
      <c r="N351" s="33"/>
      <c r="O351" s="4"/>
      <c r="P351" s="76"/>
      <c r="Q351" s="76"/>
    </row>
    <row r="352" ht="15.75" customHeight="1">
      <c r="K352" s="21"/>
      <c r="L352" s="21"/>
      <c r="M352" s="21"/>
      <c r="N352" s="97"/>
      <c r="O352" s="76"/>
      <c r="P352" s="76"/>
      <c r="Q352" s="76"/>
    </row>
    <row r="353" ht="15.75" customHeight="1">
      <c r="K353" s="21"/>
      <c r="L353" s="21"/>
      <c r="M353" s="21"/>
      <c r="N353" s="97"/>
      <c r="O353" s="76"/>
      <c r="P353" s="76"/>
      <c r="Q353" s="76"/>
    </row>
    <row r="354" ht="15.75" customHeight="1">
      <c r="K354" s="21"/>
      <c r="L354" s="21"/>
      <c r="M354" s="21"/>
      <c r="N354" s="97"/>
      <c r="O354" s="76"/>
      <c r="P354" s="76"/>
      <c r="Q354" s="76"/>
    </row>
    <row r="355" ht="15.75" customHeight="1">
      <c r="K355" s="21"/>
      <c r="L355" s="21"/>
      <c r="M355" s="21"/>
      <c r="N355" s="97"/>
      <c r="O355" s="76"/>
      <c r="P355" s="76"/>
      <c r="Q355" s="76"/>
    </row>
    <row r="356" ht="15.75" customHeight="1">
      <c r="K356" s="21"/>
      <c r="L356" s="21"/>
      <c r="M356" s="21"/>
      <c r="N356" s="97"/>
      <c r="O356" s="76"/>
      <c r="P356" s="76"/>
      <c r="Q356" s="76"/>
    </row>
    <row r="357" ht="15.75" customHeight="1">
      <c r="K357" s="21"/>
      <c r="L357" s="21"/>
      <c r="M357" s="21"/>
      <c r="N357" s="97"/>
      <c r="O357" s="76"/>
      <c r="P357" s="76"/>
      <c r="Q357" s="76"/>
    </row>
    <row r="358" ht="15.75" customHeight="1">
      <c r="K358" s="21"/>
      <c r="L358" s="21"/>
      <c r="M358" s="21"/>
      <c r="N358" s="97"/>
      <c r="O358" s="76"/>
      <c r="P358" s="76"/>
      <c r="Q358" s="76"/>
    </row>
    <row r="359" ht="15.75" customHeight="1">
      <c r="K359" s="21"/>
      <c r="L359" s="21"/>
      <c r="M359" s="21"/>
      <c r="N359" s="97"/>
      <c r="O359" s="76"/>
      <c r="P359" s="76"/>
      <c r="Q359" s="76"/>
    </row>
    <row r="360" ht="15.75" customHeight="1">
      <c r="K360" s="21"/>
      <c r="L360" s="21"/>
      <c r="M360" s="21"/>
      <c r="N360" s="97"/>
      <c r="O360" s="76"/>
      <c r="P360" s="76"/>
      <c r="Q360" s="76"/>
    </row>
    <row r="361" ht="15.75" customHeight="1">
      <c r="K361" s="21"/>
      <c r="L361" s="21"/>
      <c r="M361" s="21"/>
      <c r="N361" s="97"/>
      <c r="O361" s="76"/>
      <c r="P361" s="76"/>
      <c r="Q361" s="76"/>
    </row>
    <row r="362" ht="15.75" customHeight="1">
      <c r="K362" s="21"/>
      <c r="L362" s="21"/>
      <c r="M362" s="21"/>
      <c r="N362" s="97"/>
      <c r="O362" s="76"/>
      <c r="P362" s="76"/>
      <c r="Q362" s="76"/>
    </row>
    <row r="363" ht="15.75" customHeight="1">
      <c r="K363" s="21"/>
      <c r="L363" s="21"/>
      <c r="M363" s="21"/>
      <c r="N363" s="97"/>
      <c r="O363" s="76"/>
      <c r="P363" s="76"/>
      <c r="Q363" s="76"/>
    </row>
    <row r="364" ht="15.75" customHeight="1">
      <c r="K364" s="21"/>
      <c r="L364" s="21"/>
      <c r="M364" s="21"/>
      <c r="N364" s="97"/>
      <c r="O364" s="76"/>
      <c r="P364" s="76"/>
      <c r="Q364" s="76"/>
    </row>
    <row r="365" ht="15.75" customHeight="1">
      <c r="K365" s="21"/>
      <c r="L365" s="21"/>
      <c r="M365" s="21"/>
      <c r="N365" s="97"/>
      <c r="O365" s="76"/>
      <c r="P365" s="76"/>
      <c r="Q365" s="76"/>
    </row>
    <row r="366" ht="15.75" customHeight="1">
      <c r="K366" s="21"/>
      <c r="L366" s="21"/>
      <c r="M366" s="21"/>
      <c r="N366" s="97"/>
      <c r="O366" s="76"/>
      <c r="P366" s="76"/>
      <c r="Q366" s="76"/>
    </row>
    <row r="367" ht="15.75" customHeight="1">
      <c r="K367" s="21"/>
      <c r="L367" s="21"/>
      <c r="M367" s="21"/>
      <c r="N367" s="97"/>
      <c r="O367" s="76"/>
      <c r="P367" s="76"/>
      <c r="Q367" s="76"/>
    </row>
    <row r="368" ht="15.75" customHeight="1">
      <c r="K368" s="21"/>
      <c r="L368" s="21"/>
      <c r="M368" s="21"/>
      <c r="N368" s="97"/>
      <c r="O368" s="76"/>
      <c r="P368" s="76"/>
      <c r="Q368" s="76"/>
    </row>
    <row r="369" ht="15.75" customHeight="1">
      <c r="K369" s="21"/>
      <c r="L369" s="21"/>
      <c r="M369" s="21"/>
      <c r="N369" s="97"/>
      <c r="O369" s="76"/>
      <c r="P369" s="76"/>
      <c r="Q369" s="76"/>
    </row>
    <row r="370" ht="15.75" customHeight="1">
      <c r="K370" s="21"/>
      <c r="L370" s="21"/>
      <c r="M370" s="21"/>
      <c r="N370" s="97"/>
      <c r="O370" s="76"/>
      <c r="P370" s="76"/>
      <c r="Q370" s="76"/>
    </row>
    <row r="371" ht="15.75" customHeight="1">
      <c r="K371" s="21"/>
      <c r="L371" s="21"/>
      <c r="M371" s="21"/>
      <c r="N371" s="97"/>
      <c r="O371" s="76"/>
      <c r="P371" s="76"/>
      <c r="Q371" s="76"/>
    </row>
    <row r="372" ht="15.75" customHeight="1">
      <c r="K372" s="21"/>
      <c r="L372" s="21"/>
      <c r="M372" s="21"/>
      <c r="N372" s="97"/>
      <c r="O372" s="76"/>
      <c r="P372" s="76"/>
      <c r="Q372" s="76"/>
    </row>
    <row r="373" ht="15.75" customHeight="1">
      <c r="K373" s="21"/>
      <c r="L373" s="21"/>
      <c r="M373" s="21"/>
      <c r="N373" s="97"/>
      <c r="O373" s="76"/>
      <c r="P373" s="76"/>
      <c r="Q373" s="76"/>
    </row>
    <row r="374" ht="15.75" customHeight="1">
      <c r="K374" s="21"/>
      <c r="L374" s="21"/>
      <c r="M374" s="21"/>
      <c r="N374" s="97"/>
      <c r="O374" s="76"/>
      <c r="P374" s="76"/>
      <c r="Q374" s="76"/>
    </row>
    <row r="375" ht="15.75" customHeight="1">
      <c r="K375" s="21"/>
      <c r="L375" s="21"/>
      <c r="M375" s="21"/>
      <c r="N375" s="97"/>
      <c r="O375" s="76"/>
      <c r="P375" s="76"/>
      <c r="Q375" s="76"/>
    </row>
    <row r="376" ht="15.75" customHeight="1">
      <c r="K376" s="21"/>
      <c r="L376" s="21"/>
      <c r="M376" s="21"/>
      <c r="N376" s="97"/>
      <c r="O376" s="76"/>
      <c r="P376" s="76"/>
      <c r="Q376" s="76"/>
    </row>
    <row r="377" ht="15.75" customHeight="1">
      <c r="K377" s="21"/>
      <c r="L377" s="21"/>
      <c r="M377" s="21"/>
      <c r="N377" s="97"/>
      <c r="O377" s="76"/>
      <c r="P377" s="76"/>
      <c r="Q377" s="76"/>
    </row>
    <row r="378" ht="15.75" customHeight="1">
      <c r="K378" s="21"/>
      <c r="L378" s="21"/>
      <c r="M378" s="21"/>
      <c r="N378" s="97"/>
      <c r="O378" s="76"/>
      <c r="P378" s="76"/>
      <c r="Q378" s="76"/>
    </row>
    <row r="379" ht="15.75" customHeight="1">
      <c r="K379" s="21"/>
      <c r="L379" s="21"/>
      <c r="M379" s="21"/>
      <c r="N379" s="97"/>
      <c r="O379" s="76"/>
      <c r="P379" s="76"/>
      <c r="Q379" s="76"/>
    </row>
    <row r="380" ht="15.75" customHeight="1">
      <c r="K380" s="21"/>
      <c r="L380" s="21"/>
      <c r="M380" s="21"/>
      <c r="N380" s="97"/>
      <c r="O380" s="76"/>
      <c r="P380" s="76"/>
      <c r="Q380" s="76"/>
    </row>
    <row r="381" ht="15.75" customHeight="1">
      <c r="K381" s="21"/>
      <c r="L381" s="21"/>
      <c r="M381" s="21"/>
      <c r="N381" s="97"/>
      <c r="O381" s="76"/>
      <c r="P381" s="76"/>
      <c r="Q381" s="76"/>
    </row>
    <row r="382" ht="15.75" customHeight="1">
      <c r="K382" s="21"/>
      <c r="L382" s="21"/>
      <c r="M382" s="21"/>
      <c r="N382" s="97"/>
      <c r="O382" s="76"/>
      <c r="P382" s="76"/>
      <c r="Q382" s="76"/>
    </row>
    <row r="383" ht="15.75" customHeight="1">
      <c r="K383" s="21"/>
      <c r="L383" s="21"/>
      <c r="M383" s="21"/>
      <c r="N383" s="97"/>
      <c r="O383" s="76"/>
      <c r="P383" s="76"/>
      <c r="Q383" s="76"/>
    </row>
    <row r="384" ht="15.75" customHeight="1">
      <c r="K384" s="21"/>
      <c r="L384" s="21"/>
      <c r="M384" s="21"/>
      <c r="N384" s="97"/>
      <c r="O384" s="76"/>
      <c r="P384" s="76"/>
      <c r="Q384" s="76"/>
    </row>
    <row r="385" ht="15.75" customHeight="1">
      <c r="K385" s="21"/>
      <c r="L385" s="21"/>
      <c r="M385" s="21"/>
      <c r="N385" s="97"/>
      <c r="O385" s="76"/>
      <c r="P385" s="76"/>
      <c r="Q385" s="76"/>
    </row>
    <row r="386" ht="15.75" customHeight="1">
      <c r="K386" s="21"/>
      <c r="L386" s="21"/>
      <c r="M386" s="21"/>
      <c r="N386" s="97"/>
      <c r="O386" s="76"/>
      <c r="P386" s="76"/>
      <c r="Q386" s="76"/>
    </row>
    <row r="387" ht="15.75" customHeight="1">
      <c r="K387" s="21"/>
      <c r="L387" s="21"/>
      <c r="M387" s="21"/>
      <c r="N387" s="97"/>
      <c r="O387" s="76"/>
      <c r="P387" s="76"/>
      <c r="Q387" s="76"/>
    </row>
    <row r="388" ht="15.75" customHeight="1">
      <c r="K388" s="21"/>
      <c r="L388" s="21"/>
      <c r="M388" s="21"/>
      <c r="N388" s="97"/>
      <c r="O388" s="76"/>
      <c r="P388" s="76"/>
      <c r="Q388" s="76"/>
    </row>
    <row r="389" ht="15.75" customHeight="1">
      <c r="K389" s="21"/>
      <c r="L389" s="21"/>
      <c r="M389" s="21"/>
      <c r="N389" s="97"/>
      <c r="O389" s="76"/>
      <c r="P389" s="76"/>
      <c r="Q389" s="76"/>
    </row>
    <row r="390" ht="15.75" customHeight="1">
      <c r="K390" s="21"/>
      <c r="L390" s="21"/>
      <c r="M390" s="21"/>
      <c r="N390" s="97"/>
      <c r="O390" s="76"/>
      <c r="P390" s="76"/>
      <c r="Q390" s="76"/>
    </row>
    <row r="391" ht="15.75" customHeight="1">
      <c r="K391" s="21"/>
      <c r="L391" s="21"/>
      <c r="M391" s="21"/>
      <c r="N391" s="97"/>
      <c r="O391" s="76"/>
      <c r="P391" s="76"/>
      <c r="Q391" s="76"/>
    </row>
    <row r="392" ht="15.75" customHeight="1">
      <c r="K392" s="21"/>
      <c r="L392" s="21"/>
      <c r="M392" s="21"/>
      <c r="N392" s="97"/>
      <c r="O392" s="76"/>
      <c r="P392" s="76"/>
      <c r="Q392" s="76"/>
    </row>
    <row r="393" ht="15.75" customHeight="1">
      <c r="K393" s="21"/>
      <c r="L393" s="21"/>
      <c r="M393" s="21"/>
      <c r="N393" s="97"/>
      <c r="O393" s="76"/>
      <c r="P393" s="76"/>
      <c r="Q393" s="76"/>
    </row>
    <row r="394" ht="15.75" customHeight="1">
      <c r="K394" s="21"/>
      <c r="L394" s="21"/>
      <c r="M394" s="21"/>
      <c r="N394" s="97"/>
      <c r="O394" s="76"/>
      <c r="P394" s="76"/>
      <c r="Q394" s="76"/>
    </row>
    <row r="395" ht="15.75" customHeight="1">
      <c r="K395" s="21"/>
      <c r="L395" s="21"/>
      <c r="M395" s="21"/>
      <c r="N395" s="97"/>
      <c r="O395" s="76"/>
      <c r="P395" s="76"/>
      <c r="Q395" s="76"/>
    </row>
    <row r="396" ht="15.75" customHeight="1">
      <c r="K396" s="21"/>
      <c r="L396" s="21"/>
      <c r="M396" s="21"/>
      <c r="N396" s="97"/>
      <c r="O396" s="76"/>
      <c r="P396" s="76"/>
      <c r="Q396" s="76"/>
    </row>
    <row r="397" ht="15.75" customHeight="1">
      <c r="K397" s="21"/>
      <c r="L397" s="21"/>
      <c r="M397" s="21"/>
      <c r="N397" s="97"/>
      <c r="O397" s="76"/>
      <c r="P397" s="76"/>
      <c r="Q397" s="76"/>
    </row>
    <row r="398" ht="15.75" customHeight="1">
      <c r="K398" s="21"/>
      <c r="L398" s="21"/>
      <c r="M398" s="21"/>
      <c r="N398" s="97"/>
      <c r="O398" s="76"/>
      <c r="P398" s="76"/>
      <c r="Q398" s="76"/>
    </row>
    <row r="399" ht="15.75" customHeight="1">
      <c r="K399" s="21"/>
      <c r="L399" s="21"/>
      <c r="M399" s="21"/>
      <c r="N399" s="97"/>
      <c r="O399" s="76"/>
      <c r="P399" s="76"/>
      <c r="Q399" s="76"/>
    </row>
    <row r="400" ht="15.75" customHeight="1">
      <c r="K400" s="21"/>
      <c r="L400" s="21"/>
      <c r="M400" s="21"/>
      <c r="N400" s="97"/>
      <c r="O400" s="76"/>
      <c r="P400" s="76"/>
      <c r="Q400" s="76"/>
    </row>
    <row r="401" ht="15.75" customHeight="1">
      <c r="K401" s="21"/>
      <c r="L401" s="21"/>
      <c r="M401" s="21"/>
      <c r="N401" s="97"/>
      <c r="O401" s="76"/>
      <c r="P401" s="76"/>
      <c r="Q401" s="76"/>
    </row>
    <row r="402" ht="15.75" customHeight="1">
      <c r="K402" s="21"/>
      <c r="L402" s="21"/>
      <c r="M402" s="21"/>
      <c r="N402" s="97"/>
      <c r="O402" s="76"/>
      <c r="P402" s="76"/>
      <c r="Q402" s="76"/>
    </row>
    <row r="403" ht="15.75" customHeight="1">
      <c r="K403" s="21"/>
      <c r="L403" s="21"/>
      <c r="M403" s="21"/>
      <c r="N403" s="97"/>
      <c r="O403" s="76"/>
      <c r="P403" s="76"/>
      <c r="Q403" s="76"/>
    </row>
    <row r="404" ht="15.75" customHeight="1">
      <c r="K404" s="21"/>
      <c r="L404" s="21"/>
      <c r="M404" s="21"/>
      <c r="N404" s="97"/>
      <c r="O404" s="76"/>
      <c r="P404" s="76"/>
      <c r="Q404" s="76"/>
    </row>
    <row r="405" ht="15.75" customHeight="1">
      <c r="K405" s="21"/>
      <c r="L405" s="21"/>
      <c r="M405" s="21"/>
      <c r="N405" s="97"/>
      <c r="O405" s="76"/>
      <c r="P405" s="76"/>
      <c r="Q405" s="76"/>
    </row>
    <row r="406" ht="15.75" customHeight="1">
      <c r="K406" s="21"/>
      <c r="L406" s="21"/>
      <c r="M406" s="21"/>
      <c r="N406" s="97"/>
      <c r="O406" s="76"/>
      <c r="P406" s="76"/>
      <c r="Q406" s="76"/>
    </row>
    <row r="407" ht="15.75" customHeight="1">
      <c r="K407" s="21"/>
      <c r="L407" s="21"/>
      <c r="M407" s="21"/>
      <c r="N407" s="97"/>
      <c r="O407" s="76"/>
      <c r="P407" s="76"/>
      <c r="Q407" s="76"/>
    </row>
    <row r="408" ht="15.75" customHeight="1">
      <c r="K408" s="21"/>
      <c r="L408" s="21"/>
      <c r="M408" s="21"/>
      <c r="N408" s="97"/>
      <c r="O408" s="76"/>
      <c r="P408" s="76"/>
      <c r="Q408" s="76"/>
    </row>
    <row r="409" ht="15.75" customHeight="1">
      <c r="K409" s="21"/>
      <c r="L409" s="21"/>
      <c r="M409" s="21"/>
      <c r="N409" s="97"/>
      <c r="O409" s="76"/>
      <c r="P409" s="76"/>
      <c r="Q409" s="76"/>
    </row>
    <row r="410" ht="15.75" customHeight="1">
      <c r="K410" s="21"/>
      <c r="L410" s="21"/>
      <c r="M410" s="21"/>
      <c r="N410" s="97"/>
      <c r="O410" s="76"/>
      <c r="P410" s="76"/>
      <c r="Q410" s="76"/>
    </row>
    <row r="411" ht="15.75" customHeight="1">
      <c r="K411" s="21"/>
      <c r="L411" s="21"/>
      <c r="M411" s="21"/>
      <c r="N411" s="97"/>
      <c r="O411" s="76"/>
      <c r="P411" s="76"/>
      <c r="Q411" s="76"/>
    </row>
    <row r="412" ht="15.75" customHeight="1">
      <c r="K412" s="21"/>
      <c r="L412" s="21"/>
      <c r="M412" s="21"/>
      <c r="N412" s="97"/>
      <c r="O412" s="76"/>
      <c r="P412" s="76"/>
      <c r="Q412" s="76"/>
    </row>
    <row r="413" ht="15.75" customHeight="1">
      <c r="K413" s="21"/>
      <c r="L413" s="21"/>
      <c r="M413" s="21"/>
      <c r="N413" s="97"/>
      <c r="O413" s="76"/>
      <c r="P413" s="76"/>
      <c r="Q413" s="76"/>
    </row>
    <row r="414" ht="15.75" customHeight="1">
      <c r="K414" s="21"/>
      <c r="L414" s="21"/>
      <c r="M414" s="21"/>
      <c r="N414" s="97"/>
      <c r="O414" s="76"/>
      <c r="P414" s="76"/>
      <c r="Q414" s="76"/>
    </row>
    <row r="415" ht="15.75" customHeight="1">
      <c r="K415" s="21"/>
      <c r="L415" s="21"/>
      <c r="M415" s="21"/>
      <c r="N415" s="97"/>
      <c r="O415" s="76"/>
      <c r="P415" s="76"/>
      <c r="Q415" s="76"/>
    </row>
    <row r="416" ht="15.75" customHeight="1">
      <c r="K416" s="21"/>
      <c r="L416" s="21"/>
      <c r="M416" s="21"/>
      <c r="N416" s="97"/>
      <c r="O416" s="76"/>
      <c r="P416" s="76"/>
      <c r="Q416" s="76"/>
    </row>
    <row r="417" ht="15.75" customHeight="1">
      <c r="K417" s="21"/>
      <c r="L417" s="21"/>
      <c r="M417" s="21"/>
      <c r="N417" s="97"/>
      <c r="O417" s="76"/>
      <c r="P417" s="76"/>
      <c r="Q417" s="76"/>
    </row>
    <row r="418" ht="15.75" customHeight="1">
      <c r="K418" s="21"/>
      <c r="L418" s="21"/>
      <c r="M418" s="21"/>
      <c r="N418" s="97"/>
      <c r="O418" s="76"/>
      <c r="P418" s="76"/>
      <c r="Q418" s="76"/>
    </row>
    <row r="419" ht="15.75" customHeight="1">
      <c r="K419" s="21"/>
      <c r="L419" s="21"/>
      <c r="M419" s="21"/>
      <c r="N419" s="97"/>
      <c r="O419" s="76"/>
      <c r="P419" s="76"/>
      <c r="Q419" s="76"/>
    </row>
    <row r="420" ht="15.75" customHeight="1">
      <c r="K420" s="21"/>
      <c r="L420" s="21"/>
      <c r="M420" s="21"/>
      <c r="N420" s="97"/>
      <c r="O420" s="76"/>
      <c r="P420" s="76"/>
      <c r="Q420" s="76"/>
    </row>
    <row r="421" ht="15.75" customHeight="1">
      <c r="K421" s="21"/>
      <c r="L421" s="21"/>
      <c r="M421" s="21"/>
      <c r="N421" s="97"/>
      <c r="O421" s="76"/>
      <c r="P421" s="76"/>
      <c r="Q421" s="76"/>
    </row>
    <row r="422" ht="15.75" customHeight="1">
      <c r="K422" s="21"/>
      <c r="L422" s="21"/>
      <c r="M422" s="21"/>
      <c r="N422" s="97"/>
      <c r="O422" s="76"/>
      <c r="P422" s="76"/>
      <c r="Q422" s="76"/>
    </row>
    <row r="423" ht="15.75" customHeight="1">
      <c r="K423" s="21"/>
      <c r="L423" s="21"/>
      <c r="M423" s="21"/>
      <c r="N423" s="97"/>
      <c r="O423" s="76"/>
      <c r="P423" s="76"/>
      <c r="Q423" s="76"/>
    </row>
    <row r="424" ht="15.75" customHeight="1">
      <c r="K424" s="21"/>
      <c r="L424" s="21"/>
      <c r="M424" s="21"/>
      <c r="N424" s="97"/>
      <c r="O424" s="76"/>
      <c r="P424" s="76"/>
      <c r="Q424" s="76"/>
    </row>
    <row r="425" ht="15.75" customHeight="1">
      <c r="K425" s="21"/>
      <c r="L425" s="21"/>
      <c r="M425" s="21"/>
      <c r="N425" s="97"/>
      <c r="O425" s="76"/>
      <c r="P425" s="76"/>
      <c r="Q425" s="76"/>
    </row>
    <row r="426" ht="15.75" customHeight="1">
      <c r="K426" s="21"/>
      <c r="L426" s="21"/>
      <c r="M426" s="21"/>
      <c r="N426" s="97"/>
      <c r="O426" s="76"/>
      <c r="P426" s="76"/>
      <c r="Q426" s="76"/>
    </row>
    <row r="427" ht="15.75" customHeight="1">
      <c r="K427" s="21"/>
      <c r="L427" s="21"/>
      <c r="M427" s="21"/>
      <c r="N427" s="97"/>
      <c r="O427" s="76"/>
      <c r="P427" s="76"/>
      <c r="Q427" s="76"/>
    </row>
    <row r="428" ht="15.75" customHeight="1">
      <c r="K428" s="21"/>
      <c r="L428" s="21"/>
      <c r="M428" s="21"/>
      <c r="N428" s="97"/>
      <c r="O428" s="76"/>
      <c r="P428" s="76"/>
      <c r="Q428" s="76"/>
    </row>
    <row r="429" ht="15.75" customHeight="1">
      <c r="K429" s="21"/>
      <c r="L429" s="21"/>
      <c r="M429" s="21"/>
      <c r="N429" s="97"/>
      <c r="O429" s="76"/>
      <c r="P429" s="76"/>
      <c r="Q429" s="76"/>
    </row>
    <row r="430" ht="15.75" customHeight="1">
      <c r="K430" s="21"/>
      <c r="L430" s="21"/>
      <c r="M430" s="21"/>
      <c r="N430" s="97"/>
      <c r="O430" s="76"/>
      <c r="P430" s="76"/>
      <c r="Q430" s="76"/>
    </row>
    <row r="431" ht="15.75" customHeight="1">
      <c r="K431" s="21"/>
      <c r="L431" s="21"/>
      <c r="M431" s="21"/>
      <c r="N431" s="97"/>
      <c r="O431" s="76"/>
      <c r="P431" s="76"/>
      <c r="Q431" s="76"/>
    </row>
    <row r="432" ht="15.75" customHeight="1">
      <c r="K432" s="21"/>
      <c r="L432" s="21"/>
      <c r="M432" s="21"/>
      <c r="N432" s="97"/>
      <c r="O432" s="76"/>
      <c r="P432" s="76"/>
      <c r="Q432" s="76"/>
    </row>
    <row r="433" ht="15.75" customHeight="1">
      <c r="K433" s="21"/>
      <c r="L433" s="21"/>
      <c r="M433" s="21"/>
      <c r="N433" s="97"/>
      <c r="O433" s="76"/>
      <c r="P433" s="76"/>
      <c r="Q433" s="76"/>
    </row>
    <row r="434" ht="15.75" customHeight="1">
      <c r="K434" s="21"/>
      <c r="L434" s="21"/>
      <c r="M434" s="21"/>
      <c r="N434" s="97"/>
      <c r="O434" s="76"/>
      <c r="P434" s="76"/>
      <c r="Q434" s="76"/>
    </row>
    <row r="435" ht="15.75" customHeight="1">
      <c r="K435" s="21"/>
      <c r="L435" s="21"/>
      <c r="M435" s="21"/>
      <c r="N435" s="97"/>
      <c r="O435" s="76"/>
      <c r="P435" s="76"/>
      <c r="Q435" s="76"/>
    </row>
    <row r="436" ht="15.75" customHeight="1">
      <c r="K436" s="21"/>
      <c r="L436" s="21"/>
      <c r="M436" s="21"/>
      <c r="N436" s="97"/>
      <c r="O436" s="76"/>
      <c r="P436" s="76"/>
      <c r="Q436" s="76"/>
    </row>
    <row r="437" ht="15.75" customHeight="1">
      <c r="K437" s="21"/>
      <c r="L437" s="21"/>
      <c r="M437" s="21"/>
      <c r="N437" s="97"/>
      <c r="O437" s="76"/>
      <c r="P437" s="76"/>
      <c r="Q437" s="76"/>
    </row>
    <row r="438" ht="15.75" customHeight="1">
      <c r="K438" s="21"/>
      <c r="L438" s="21"/>
      <c r="M438" s="21"/>
      <c r="N438" s="97"/>
      <c r="O438" s="76"/>
      <c r="P438" s="76"/>
      <c r="Q438" s="76"/>
    </row>
    <row r="439" ht="15.75" customHeight="1">
      <c r="K439" s="21"/>
      <c r="L439" s="21"/>
      <c r="M439" s="21"/>
      <c r="N439" s="97"/>
      <c r="O439" s="76"/>
      <c r="P439" s="76"/>
      <c r="Q439" s="76"/>
    </row>
    <row r="440" ht="15.75" customHeight="1">
      <c r="K440" s="21"/>
      <c r="L440" s="21"/>
      <c r="M440" s="21"/>
      <c r="N440" s="97"/>
      <c r="O440" s="76"/>
      <c r="P440" s="76"/>
      <c r="Q440" s="76"/>
    </row>
    <row r="441" ht="15.75" customHeight="1">
      <c r="K441" s="21"/>
      <c r="L441" s="21"/>
      <c r="M441" s="21"/>
      <c r="N441" s="97"/>
      <c r="O441" s="76"/>
      <c r="P441" s="76"/>
      <c r="Q441" s="76"/>
    </row>
    <row r="442" ht="15.75" customHeight="1">
      <c r="K442" s="21"/>
      <c r="L442" s="21"/>
      <c r="M442" s="21"/>
      <c r="N442" s="97"/>
      <c r="O442" s="76"/>
      <c r="P442" s="76"/>
      <c r="Q442" s="76"/>
    </row>
    <row r="443" ht="15.75" customHeight="1">
      <c r="K443" s="21"/>
      <c r="L443" s="21"/>
      <c r="M443" s="21"/>
      <c r="N443" s="97"/>
      <c r="O443" s="76"/>
      <c r="P443" s="76"/>
      <c r="Q443" s="76"/>
    </row>
    <row r="444" ht="15.75" customHeight="1">
      <c r="K444" s="21"/>
      <c r="L444" s="21"/>
      <c r="M444" s="21"/>
      <c r="N444" s="97"/>
      <c r="O444" s="76"/>
      <c r="P444" s="76"/>
      <c r="Q444" s="76"/>
    </row>
    <row r="445" ht="15.75" customHeight="1">
      <c r="K445" s="21"/>
      <c r="L445" s="21"/>
      <c r="M445" s="21"/>
      <c r="N445" s="97"/>
      <c r="O445" s="76"/>
      <c r="P445" s="76"/>
      <c r="Q445" s="76"/>
    </row>
    <row r="446" ht="15.75" customHeight="1">
      <c r="K446" s="21"/>
      <c r="L446" s="21"/>
      <c r="M446" s="21"/>
      <c r="N446" s="97"/>
      <c r="O446" s="76"/>
      <c r="P446" s="76"/>
      <c r="Q446" s="76"/>
    </row>
    <row r="447" ht="15.75" customHeight="1">
      <c r="K447" s="21"/>
      <c r="L447" s="21"/>
      <c r="M447" s="21"/>
      <c r="N447" s="97"/>
      <c r="O447" s="76"/>
      <c r="P447" s="76"/>
      <c r="Q447" s="76"/>
    </row>
    <row r="448" ht="15.75" customHeight="1">
      <c r="K448" s="21"/>
      <c r="L448" s="21"/>
      <c r="M448" s="21"/>
      <c r="N448" s="97"/>
      <c r="O448" s="76"/>
      <c r="P448" s="76"/>
      <c r="Q448" s="76"/>
    </row>
    <row r="449" ht="15.75" customHeight="1">
      <c r="K449" s="21"/>
      <c r="L449" s="21"/>
      <c r="M449" s="21"/>
      <c r="N449" s="97"/>
      <c r="O449" s="76"/>
      <c r="P449" s="76"/>
      <c r="Q449" s="76"/>
    </row>
    <row r="450" ht="15.75" customHeight="1">
      <c r="K450" s="21"/>
      <c r="L450" s="21"/>
      <c r="M450" s="21"/>
      <c r="N450" s="97"/>
      <c r="O450" s="76"/>
      <c r="P450" s="76"/>
      <c r="Q450" s="76"/>
    </row>
    <row r="451" ht="15.75" customHeight="1">
      <c r="K451" s="21"/>
      <c r="L451" s="21"/>
      <c r="M451" s="21"/>
      <c r="N451" s="97"/>
      <c r="O451" s="76"/>
      <c r="P451" s="76"/>
      <c r="Q451" s="76"/>
    </row>
    <row r="452" ht="15.75" customHeight="1">
      <c r="K452" s="21"/>
      <c r="L452" s="21"/>
      <c r="M452" s="21"/>
      <c r="N452" s="97"/>
      <c r="O452" s="76"/>
      <c r="P452" s="76"/>
      <c r="Q452" s="76"/>
    </row>
    <row r="453" ht="15.75" customHeight="1">
      <c r="K453" s="21"/>
      <c r="L453" s="21"/>
      <c r="M453" s="21"/>
      <c r="N453" s="97"/>
      <c r="O453" s="76"/>
      <c r="P453" s="76"/>
      <c r="Q453" s="76"/>
    </row>
    <row r="454" ht="15.75" customHeight="1">
      <c r="K454" s="21"/>
      <c r="L454" s="21"/>
      <c r="M454" s="21"/>
      <c r="N454" s="97"/>
      <c r="O454" s="76"/>
      <c r="P454" s="76"/>
      <c r="Q454" s="76"/>
    </row>
    <row r="455" ht="15.75" customHeight="1">
      <c r="K455" s="21"/>
      <c r="L455" s="21"/>
      <c r="M455" s="21"/>
      <c r="N455" s="97"/>
      <c r="O455" s="76"/>
      <c r="P455" s="76"/>
      <c r="Q455" s="76"/>
    </row>
    <row r="456" ht="15.75" customHeight="1">
      <c r="K456" s="21"/>
      <c r="L456" s="21"/>
      <c r="M456" s="21"/>
      <c r="N456" s="97"/>
      <c r="O456" s="76"/>
      <c r="P456" s="76"/>
      <c r="Q456" s="76"/>
    </row>
    <row r="457" ht="15.75" customHeight="1">
      <c r="K457" s="21"/>
      <c r="L457" s="21"/>
      <c r="M457" s="21"/>
      <c r="N457" s="97"/>
      <c r="O457" s="76"/>
      <c r="P457" s="76"/>
      <c r="Q457" s="76"/>
    </row>
    <row r="458" ht="15.75" customHeight="1">
      <c r="K458" s="21"/>
      <c r="L458" s="21"/>
      <c r="M458" s="21"/>
      <c r="N458" s="97"/>
      <c r="O458" s="76"/>
      <c r="P458" s="76"/>
      <c r="Q458" s="76"/>
    </row>
    <row r="459" ht="15.75" customHeight="1">
      <c r="K459" s="21"/>
      <c r="L459" s="21"/>
      <c r="M459" s="21"/>
      <c r="N459" s="97"/>
      <c r="O459" s="76"/>
      <c r="P459" s="76"/>
      <c r="Q459" s="76"/>
    </row>
    <row r="460" ht="15.75" customHeight="1">
      <c r="K460" s="21"/>
      <c r="L460" s="21"/>
      <c r="M460" s="21"/>
      <c r="N460" s="97"/>
      <c r="O460" s="76"/>
      <c r="P460" s="76"/>
      <c r="Q460" s="76"/>
    </row>
    <row r="461" ht="15.75" customHeight="1">
      <c r="K461" s="21"/>
      <c r="L461" s="21"/>
      <c r="M461" s="21"/>
      <c r="N461" s="97"/>
      <c r="O461" s="76"/>
      <c r="P461" s="76"/>
      <c r="Q461" s="76"/>
    </row>
    <row r="462" ht="15.75" customHeight="1">
      <c r="K462" s="21"/>
      <c r="L462" s="21"/>
      <c r="M462" s="21"/>
      <c r="N462" s="97"/>
      <c r="O462" s="76"/>
      <c r="P462" s="76"/>
      <c r="Q462" s="76"/>
    </row>
    <row r="463" ht="15.75" customHeight="1">
      <c r="K463" s="21"/>
      <c r="L463" s="21"/>
      <c r="M463" s="21"/>
      <c r="N463" s="97"/>
      <c r="O463" s="76"/>
      <c r="P463" s="76"/>
      <c r="Q463" s="76"/>
    </row>
    <row r="464" ht="15.75" customHeight="1">
      <c r="K464" s="21"/>
      <c r="L464" s="21"/>
      <c r="M464" s="21"/>
      <c r="N464" s="97"/>
      <c r="O464" s="76"/>
      <c r="P464" s="76"/>
      <c r="Q464" s="76"/>
    </row>
    <row r="465" ht="15.75" customHeight="1">
      <c r="K465" s="21"/>
      <c r="L465" s="21"/>
      <c r="M465" s="21"/>
      <c r="N465" s="97"/>
      <c r="O465" s="76"/>
      <c r="P465" s="76"/>
      <c r="Q465" s="76"/>
    </row>
    <row r="466" ht="15.75" customHeight="1">
      <c r="K466" s="21"/>
      <c r="L466" s="21"/>
      <c r="M466" s="21"/>
      <c r="N466" s="97"/>
      <c r="O466" s="76"/>
      <c r="P466" s="76"/>
      <c r="Q466" s="76"/>
    </row>
    <row r="467" ht="15.75" customHeight="1">
      <c r="K467" s="21"/>
      <c r="L467" s="21"/>
      <c r="M467" s="21"/>
      <c r="N467" s="97"/>
      <c r="O467" s="76"/>
      <c r="P467" s="76"/>
      <c r="Q467" s="76"/>
    </row>
    <row r="468" ht="15.75" customHeight="1">
      <c r="K468" s="21"/>
      <c r="L468" s="21"/>
      <c r="M468" s="21"/>
      <c r="N468" s="97"/>
      <c r="O468" s="76"/>
      <c r="P468" s="76"/>
      <c r="Q468" s="76"/>
    </row>
    <row r="469" ht="15.75" customHeight="1">
      <c r="K469" s="21"/>
      <c r="L469" s="21"/>
      <c r="M469" s="21"/>
      <c r="N469" s="97"/>
      <c r="O469" s="76"/>
      <c r="P469" s="76"/>
      <c r="Q469" s="76"/>
    </row>
    <row r="470" ht="15.75" customHeight="1">
      <c r="K470" s="21"/>
      <c r="L470" s="21"/>
      <c r="M470" s="21"/>
      <c r="N470" s="97"/>
      <c r="O470" s="76"/>
      <c r="P470" s="76"/>
      <c r="Q470" s="76"/>
    </row>
    <row r="471" ht="15.75" customHeight="1">
      <c r="K471" s="21"/>
      <c r="L471" s="21"/>
      <c r="M471" s="21"/>
      <c r="N471" s="97"/>
      <c r="O471" s="76"/>
      <c r="P471" s="76"/>
      <c r="Q471" s="76"/>
    </row>
    <row r="472" ht="15.75" customHeight="1">
      <c r="K472" s="21"/>
      <c r="L472" s="21"/>
      <c r="M472" s="21"/>
      <c r="N472" s="97"/>
      <c r="O472" s="76"/>
      <c r="P472" s="76"/>
      <c r="Q472" s="76"/>
    </row>
    <row r="473" ht="15.75" customHeight="1">
      <c r="K473" s="21"/>
      <c r="L473" s="21"/>
      <c r="M473" s="21"/>
      <c r="N473" s="97"/>
      <c r="O473" s="76"/>
      <c r="P473" s="76"/>
      <c r="Q473" s="76"/>
    </row>
    <row r="474" ht="15.75" customHeight="1">
      <c r="K474" s="21"/>
      <c r="L474" s="21"/>
      <c r="M474" s="21"/>
      <c r="N474" s="97"/>
      <c r="O474" s="76"/>
      <c r="P474" s="76"/>
      <c r="Q474" s="76"/>
    </row>
    <row r="475" ht="15.75" customHeight="1">
      <c r="K475" s="21"/>
      <c r="L475" s="21"/>
      <c r="M475" s="21"/>
      <c r="N475" s="97"/>
      <c r="O475" s="76"/>
      <c r="P475" s="76"/>
      <c r="Q475" s="76"/>
    </row>
    <row r="476" ht="15.75" customHeight="1">
      <c r="K476" s="21"/>
      <c r="L476" s="21"/>
      <c r="M476" s="21"/>
      <c r="N476" s="97"/>
      <c r="O476" s="76"/>
      <c r="P476" s="76"/>
      <c r="Q476" s="76"/>
    </row>
    <row r="477" ht="15.75" customHeight="1">
      <c r="K477" s="21"/>
      <c r="L477" s="21"/>
      <c r="M477" s="21"/>
      <c r="N477" s="97"/>
      <c r="O477" s="76"/>
      <c r="P477" s="76"/>
      <c r="Q477" s="76"/>
    </row>
    <row r="478" ht="15.75" customHeight="1">
      <c r="K478" s="21"/>
      <c r="L478" s="21"/>
      <c r="M478" s="21"/>
      <c r="N478" s="97"/>
      <c r="O478" s="76"/>
      <c r="P478" s="76"/>
      <c r="Q478" s="76"/>
    </row>
    <row r="479" ht="15.75" customHeight="1">
      <c r="K479" s="21"/>
      <c r="L479" s="21"/>
      <c r="M479" s="21"/>
      <c r="N479" s="97"/>
      <c r="O479" s="76"/>
      <c r="P479" s="76"/>
      <c r="Q479" s="76"/>
    </row>
    <row r="480" ht="15.75" customHeight="1">
      <c r="K480" s="21"/>
      <c r="L480" s="21"/>
      <c r="M480" s="21"/>
      <c r="N480" s="97"/>
      <c r="O480" s="76"/>
      <c r="P480" s="76"/>
      <c r="Q480" s="76"/>
    </row>
    <row r="481" ht="15.75" customHeight="1">
      <c r="K481" s="21"/>
      <c r="L481" s="21"/>
      <c r="M481" s="21"/>
      <c r="N481" s="97"/>
      <c r="O481" s="76"/>
      <c r="P481" s="76"/>
      <c r="Q481" s="76"/>
    </row>
    <row r="482" ht="15.75" customHeight="1">
      <c r="K482" s="21"/>
      <c r="L482" s="21"/>
      <c r="M482" s="21"/>
      <c r="N482" s="97"/>
      <c r="O482" s="76"/>
      <c r="P482" s="76"/>
      <c r="Q482" s="76"/>
    </row>
    <row r="483" ht="15.75" customHeight="1">
      <c r="K483" s="21"/>
      <c r="L483" s="21"/>
      <c r="M483" s="21"/>
      <c r="N483" s="97"/>
      <c r="O483" s="76"/>
      <c r="P483" s="76"/>
      <c r="Q483" s="76"/>
    </row>
    <row r="484" ht="15.75" customHeight="1">
      <c r="K484" s="21"/>
      <c r="L484" s="21"/>
      <c r="M484" s="21"/>
      <c r="N484" s="97"/>
      <c r="O484" s="76"/>
      <c r="P484" s="76"/>
      <c r="Q484" s="76"/>
    </row>
    <row r="485" ht="15.75" customHeight="1">
      <c r="K485" s="21"/>
      <c r="L485" s="21"/>
      <c r="M485" s="21"/>
      <c r="N485" s="97"/>
      <c r="O485" s="76"/>
      <c r="P485" s="76"/>
      <c r="Q485" s="76"/>
    </row>
    <row r="486" ht="15.75" customHeight="1">
      <c r="K486" s="21"/>
      <c r="L486" s="21"/>
      <c r="M486" s="21"/>
      <c r="N486" s="97"/>
      <c r="O486" s="76"/>
      <c r="P486" s="76"/>
      <c r="Q486" s="76"/>
    </row>
    <row r="487" ht="15.75" customHeight="1">
      <c r="K487" s="21"/>
      <c r="L487" s="21"/>
      <c r="M487" s="21"/>
      <c r="N487" s="97"/>
      <c r="O487" s="76"/>
      <c r="P487" s="76"/>
      <c r="Q487" s="76"/>
    </row>
    <row r="488" ht="15.75" customHeight="1">
      <c r="K488" s="21"/>
      <c r="L488" s="21"/>
      <c r="M488" s="21"/>
      <c r="N488" s="97"/>
      <c r="O488" s="76"/>
      <c r="P488" s="76"/>
      <c r="Q488" s="76"/>
    </row>
    <row r="489" ht="15.75" customHeight="1">
      <c r="K489" s="21"/>
      <c r="L489" s="21"/>
      <c r="M489" s="21"/>
      <c r="N489" s="97"/>
      <c r="O489" s="76"/>
      <c r="P489" s="76"/>
      <c r="Q489" s="76"/>
    </row>
    <row r="490" ht="15.75" customHeight="1">
      <c r="K490" s="21"/>
      <c r="L490" s="21"/>
      <c r="M490" s="21"/>
      <c r="N490" s="97"/>
      <c r="O490" s="76"/>
      <c r="P490" s="76"/>
      <c r="Q490" s="76"/>
    </row>
    <row r="491" ht="15.75" customHeight="1">
      <c r="K491" s="21"/>
      <c r="L491" s="21"/>
      <c r="M491" s="21"/>
      <c r="N491" s="97"/>
      <c r="O491" s="76"/>
      <c r="P491" s="76"/>
      <c r="Q491" s="76"/>
    </row>
    <row r="492" ht="15.75" customHeight="1">
      <c r="K492" s="21"/>
      <c r="L492" s="21"/>
      <c r="M492" s="21"/>
      <c r="N492" s="97"/>
      <c r="O492" s="76"/>
      <c r="P492" s="76"/>
      <c r="Q492" s="76"/>
    </row>
    <row r="493" ht="15.75" customHeight="1">
      <c r="K493" s="21"/>
      <c r="L493" s="21"/>
      <c r="M493" s="21"/>
      <c r="N493" s="97"/>
      <c r="O493" s="76"/>
      <c r="P493" s="76"/>
      <c r="Q493" s="76"/>
    </row>
    <row r="494" ht="15.75" customHeight="1">
      <c r="K494" s="21"/>
      <c r="L494" s="21"/>
      <c r="M494" s="21"/>
      <c r="N494" s="97"/>
      <c r="O494" s="76"/>
      <c r="P494" s="76"/>
      <c r="Q494" s="76"/>
    </row>
    <row r="495" ht="15.75" customHeight="1">
      <c r="K495" s="21"/>
      <c r="L495" s="21"/>
      <c r="M495" s="21"/>
      <c r="N495" s="97"/>
      <c r="O495" s="76"/>
      <c r="P495" s="76"/>
      <c r="Q495" s="76"/>
    </row>
    <row r="496" ht="15.75" customHeight="1">
      <c r="K496" s="21"/>
      <c r="L496" s="21"/>
      <c r="M496" s="21"/>
      <c r="N496" s="97"/>
      <c r="O496" s="76"/>
      <c r="P496" s="76"/>
      <c r="Q496" s="76"/>
    </row>
    <row r="497" ht="15.75" customHeight="1">
      <c r="K497" s="21"/>
      <c r="L497" s="21"/>
      <c r="M497" s="21"/>
      <c r="N497" s="97"/>
      <c r="O497" s="76"/>
      <c r="P497" s="76"/>
      <c r="Q497" s="76"/>
    </row>
    <row r="498" ht="15.75" customHeight="1">
      <c r="K498" s="21"/>
      <c r="L498" s="21"/>
      <c r="M498" s="21"/>
      <c r="N498" s="97"/>
      <c r="O498" s="76"/>
      <c r="P498" s="76"/>
      <c r="Q498" s="76"/>
    </row>
    <row r="499" ht="15.75" customHeight="1">
      <c r="K499" s="21"/>
      <c r="L499" s="21"/>
      <c r="M499" s="21"/>
      <c r="N499" s="97"/>
      <c r="O499" s="76"/>
      <c r="P499" s="76"/>
      <c r="Q499" s="76"/>
    </row>
    <row r="500" ht="15.75" customHeight="1">
      <c r="K500" s="21"/>
      <c r="L500" s="21"/>
      <c r="M500" s="21"/>
      <c r="N500" s="97"/>
      <c r="O500" s="76"/>
      <c r="P500" s="76"/>
      <c r="Q500" s="76"/>
    </row>
    <row r="501" ht="15.75" customHeight="1">
      <c r="K501" s="21"/>
      <c r="L501" s="21"/>
      <c r="M501" s="21"/>
      <c r="N501" s="97"/>
      <c r="O501" s="76"/>
      <c r="P501" s="76"/>
      <c r="Q501" s="76"/>
    </row>
    <row r="502" ht="15.75" customHeight="1">
      <c r="K502" s="21"/>
      <c r="L502" s="21"/>
      <c r="M502" s="21"/>
      <c r="N502" s="97"/>
      <c r="O502" s="76"/>
      <c r="P502" s="76"/>
      <c r="Q502" s="76"/>
    </row>
    <row r="503" ht="15.75" customHeight="1">
      <c r="K503" s="21"/>
      <c r="L503" s="21"/>
      <c r="M503" s="21"/>
      <c r="N503" s="97"/>
      <c r="O503" s="76"/>
      <c r="P503" s="76"/>
      <c r="Q503" s="76"/>
    </row>
    <row r="504" ht="15.75" customHeight="1">
      <c r="K504" s="21"/>
      <c r="L504" s="21"/>
      <c r="M504" s="21"/>
      <c r="N504" s="97"/>
      <c r="O504" s="76"/>
      <c r="P504" s="76"/>
      <c r="Q504" s="76"/>
    </row>
    <row r="505" ht="15.75" customHeight="1">
      <c r="K505" s="21"/>
      <c r="L505" s="21"/>
      <c r="M505" s="21"/>
      <c r="N505" s="97"/>
      <c r="O505" s="76"/>
      <c r="P505" s="76"/>
      <c r="Q505" s="76"/>
    </row>
    <row r="506" ht="15.75" customHeight="1">
      <c r="K506" s="21"/>
      <c r="L506" s="21"/>
      <c r="M506" s="21"/>
      <c r="N506" s="97"/>
      <c r="O506" s="76"/>
      <c r="P506" s="76"/>
      <c r="Q506" s="76"/>
    </row>
    <row r="507" ht="15.75" customHeight="1">
      <c r="K507" s="21"/>
      <c r="L507" s="21"/>
      <c r="M507" s="21"/>
      <c r="N507" s="97"/>
      <c r="O507" s="76"/>
      <c r="P507" s="76"/>
      <c r="Q507" s="76"/>
    </row>
    <row r="508" ht="15.75" customHeight="1">
      <c r="K508" s="21"/>
      <c r="L508" s="21"/>
      <c r="M508" s="21"/>
      <c r="N508" s="97"/>
      <c r="O508" s="76"/>
      <c r="P508" s="76"/>
      <c r="Q508" s="76"/>
    </row>
    <row r="509" ht="15.75" customHeight="1">
      <c r="K509" s="21"/>
      <c r="L509" s="21"/>
      <c r="M509" s="21"/>
      <c r="N509" s="97"/>
      <c r="O509" s="76"/>
      <c r="P509" s="76"/>
      <c r="Q509" s="76"/>
    </row>
    <row r="510" ht="15.75" customHeight="1">
      <c r="K510" s="21"/>
      <c r="L510" s="21"/>
      <c r="M510" s="21"/>
      <c r="N510" s="97"/>
      <c r="O510" s="76"/>
      <c r="P510" s="76"/>
      <c r="Q510" s="76"/>
    </row>
    <row r="511" ht="15.75" customHeight="1">
      <c r="K511" s="21"/>
      <c r="L511" s="21"/>
      <c r="M511" s="21"/>
      <c r="N511" s="97"/>
      <c r="O511" s="76"/>
      <c r="P511" s="76"/>
      <c r="Q511" s="76"/>
    </row>
    <row r="512" ht="15.75" customHeight="1">
      <c r="K512" s="21"/>
      <c r="L512" s="21"/>
      <c r="M512" s="21"/>
      <c r="N512" s="97"/>
      <c r="O512" s="76"/>
      <c r="P512" s="76"/>
      <c r="Q512" s="76"/>
    </row>
    <row r="513" ht="15.75" customHeight="1">
      <c r="K513" s="21"/>
      <c r="L513" s="21"/>
      <c r="M513" s="21"/>
      <c r="N513" s="97"/>
      <c r="O513" s="76"/>
      <c r="P513" s="76"/>
      <c r="Q513" s="76"/>
    </row>
    <row r="514" ht="15.75" customHeight="1">
      <c r="K514" s="21"/>
      <c r="L514" s="21"/>
      <c r="M514" s="21"/>
      <c r="N514" s="97"/>
      <c r="O514" s="76"/>
      <c r="P514" s="76"/>
      <c r="Q514" s="76"/>
    </row>
    <row r="515" ht="15.75" customHeight="1">
      <c r="K515" s="21"/>
      <c r="L515" s="21"/>
      <c r="M515" s="21"/>
      <c r="N515" s="97"/>
      <c r="O515" s="76"/>
      <c r="P515" s="76"/>
      <c r="Q515" s="76"/>
    </row>
    <row r="516" ht="15.75" customHeight="1">
      <c r="K516" s="21"/>
      <c r="L516" s="21"/>
      <c r="M516" s="21"/>
      <c r="N516" s="97"/>
      <c r="O516" s="76"/>
      <c r="P516" s="76"/>
      <c r="Q516" s="76"/>
    </row>
    <row r="517" ht="15.75" customHeight="1">
      <c r="K517" s="21"/>
      <c r="L517" s="21"/>
      <c r="M517" s="21"/>
      <c r="N517" s="97"/>
      <c r="O517" s="76"/>
      <c r="P517" s="76"/>
      <c r="Q517" s="76"/>
    </row>
    <row r="518" ht="15.75" customHeight="1">
      <c r="K518" s="21"/>
      <c r="L518" s="21"/>
      <c r="M518" s="21"/>
      <c r="N518" s="97"/>
      <c r="O518" s="76"/>
      <c r="P518" s="76"/>
      <c r="Q518" s="76"/>
    </row>
    <row r="519" ht="15.75" customHeight="1">
      <c r="K519" s="21"/>
      <c r="L519" s="21"/>
      <c r="M519" s="21"/>
      <c r="N519" s="97"/>
      <c r="O519" s="76"/>
      <c r="P519" s="76"/>
      <c r="Q519" s="76"/>
    </row>
    <row r="520" ht="15.75" customHeight="1">
      <c r="K520" s="21"/>
      <c r="L520" s="21"/>
      <c r="M520" s="21"/>
      <c r="N520" s="97"/>
      <c r="O520" s="76"/>
      <c r="P520" s="76"/>
      <c r="Q520" s="76"/>
    </row>
    <row r="521" ht="15.75" customHeight="1">
      <c r="K521" s="21"/>
      <c r="L521" s="21"/>
      <c r="M521" s="21"/>
      <c r="N521" s="97"/>
      <c r="O521" s="76"/>
      <c r="P521" s="76"/>
      <c r="Q521" s="76"/>
    </row>
    <row r="522" ht="15.75" customHeight="1">
      <c r="K522" s="21"/>
      <c r="L522" s="21"/>
      <c r="M522" s="21"/>
      <c r="N522" s="97"/>
      <c r="O522" s="76"/>
      <c r="P522" s="76"/>
      <c r="Q522" s="76"/>
    </row>
    <row r="523" ht="15.75" customHeight="1">
      <c r="K523" s="21"/>
      <c r="L523" s="21"/>
      <c r="M523" s="21"/>
      <c r="N523" s="97"/>
      <c r="O523" s="76"/>
      <c r="P523" s="76"/>
      <c r="Q523" s="76"/>
    </row>
    <row r="524" ht="15.75" customHeight="1">
      <c r="K524" s="21"/>
      <c r="L524" s="21"/>
      <c r="M524" s="21"/>
      <c r="N524" s="97"/>
      <c r="O524" s="76"/>
      <c r="P524" s="76"/>
      <c r="Q524" s="76"/>
    </row>
    <row r="525" ht="15.75" customHeight="1">
      <c r="K525" s="21"/>
      <c r="L525" s="21"/>
      <c r="M525" s="21"/>
      <c r="N525" s="97"/>
      <c r="O525" s="76"/>
      <c r="P525" s="76"/>
      <c r="Q525" s="76"/>
    </row>
    <row r="526" ht="15.75" customHeight="1">
      <c r="K526" s="21"/>
      <c r="L526" s="21"/>
      <c r="M526" s="21"/>
      <c r="N526" s="97"/>
      <c r="O526" s="76"/>
      <c r="P526" s="76"/>
      <c r="Q526" s="76"/>
    </row>
    <row r="527" ht="15.75" customHeight="1">
      <c r="K527" s="21"/>
      <c r="L527" s="21"/>
      <c r="M527" s="21"/>
      <c r="N527" s="97"/>
      <c r="O527" s="76"/>
      <c r="P527" s="76"/>
      <c r="Q527" s="76"/>
    </row>
    <row r="528" ht="15.75" customHeight="1">
      <c r="K528" s="21"/>
      <c r="L528" s="21"/>
      <c r="M528" s="21"/>
      <c r="N528" s="97"/>
      <c r="O528" s="76"/>
      <c r="P528" s="76"/>
      <c r="Q528" s="76"/>
    </row>
    <row r="529" ht="15.75" customHeight="1">
      <c r="K529" s="21"/>
      <c r="L529" s="21"/>
      <c r="M529" s="21"/>
      <c r="N529" s="97"/>
      <c r="O529" s="76"/>
      <c r="P529" s="76"/>
      <c r="Q529" s="76"/>
    </row>
    <row r="530" ht="15.75" customHeight="1">
      <c r="K530" s="21"/>
      <c r="L530" s="21"/>
      <c r="M530" s="21"/>
      <c r="N530" s="97"/>
      <c r="O530" s="76"/>
      <c r="P530" s="76"/>
      <c r="Q530" s="76"/>
    </row>
    <row r="531" ht="15.75" customHeight="1">
      <c r="K531" s="21"/>
      <c r="L531" s="21"/>
      <c r="M531" s="21"/>
      <c r="N531" s="97"/>
      <c r="O531" s="76"/>
      <c r="P531" s="76"/>
      <c r="Q531" s="76"/>
    </row>
    <row r="532" ht="15.75" customHeight="1">
      <c r="K532" s="21"/>
      <c r="L532" s="21"/>
      <c r="M532" s="21"/>
      <c r="N532" s="97"/>
      <c r="O532" s="76"/>
      <c r="P532" s="76"/>
      <c r="Q532" s="76"/>
    </row>
    <row r="533" ht="15.75" customHeight="1">
      <c r="K533" s="21"/>
      <c r="L533" s="21"/>
      <c r="M533" s="21"/>
      <c r="N533" s="97"/>
      <c r="O533" s="76"/>
      <c r="P533" s="76"/>
      <c r="Q533" s="76"/>
    </row>
    <row r="534" ht="15.75" customHeight="1">
      <c r="K534" s="21"/>
      <c r="L534" s="21"/>
      <c r="M534" s="21"/>
      <c r="N534" s="97"/>
      <c r="O534" s="76"/>
      <c r="P534" s="76"/>
      <c r="Q534" s="76"/>
    </row>
    <row r="535" ht="15.75" customHeight="1">
      <c r="K535" s="21"/>
      <c r="L535" s="21"/>
      <c r="M535" s="21"/>
      <c r="N535" s="97"/>
      <c r="O535" s="76"/>
      <c r="P535" s="76"/>
      <c r="Q535" s="76"/>
    </row>
    <row r="536" ht="15.75" customHeight="1">
      <c r="K536" s="21"/>
      <c r="L536" s="21"/>
      <c r="M536" s="21"/>
      <c r="N536" s="97"/>
      <c r="O536" s="76"/>
      <c r="P536" s="76"/>
      <c r="Q536" s="76"/>
    </row>
    <row r="537" ht="15.75" customHeight="1">
      <c r="K537" s="21"/>
      <c r="L537" s="21"/>
      <c r="M537" s="21"/>
      <c r="N537" s="97"/>
      <c r="O537" s="76"/>
      <c r="P537" s="76"/>
      <c r="Q537" s="76"/>
    </row>
    <row r="538" ht="15.75" customHeight="1">
      <c r="K538" s="21"/>
      <c r="L538" s="21"/>
      <c r="M538" s="21"/>
      <c r="N538" s="97"/>
      <c r="O538" s="76"/>
      <c r="P538" s="76"/>
      <c r="Q538" s="76"/>
    </row>
    <row r="539" ht="15.75" customHeight="1">
      <c r="K539" s="21"/>
      <c r="L539" s="21"/>
      <c r="M539" s="21"/>
      <c r="N539" s="97"/>
      <c r="O539" s="76"/>
      <c r="P539" s="76"/>
      <c r="Q539" s="76"/>
    </row>
    <row r="540" ht="15.75" customHeight="1">
      <c r="K540" s="21"/>
      <c r="L540" s="21"/>
      <c r="M540" s="21"/>
      <c r="N540" s="97"/>
      <c r="O540" s="76"/>
      <c r="P540" s="76"/>
      <c r="Q540" s="76"/>
    </row>
    <row r="541" ht="15.75" customHeight="1">
      <c r="K541" s="21"/>
      <c r="L541" s="21"/>
      <c r="M541" s="21"/>
      <c r="N541" s="97"/>
      <c r="O541" s="76"/>
      <c r="P541" s="76"/>
      <c r="Q541" s="76"/>
    </row>
    <row r="542" ht="15.75" customHeight="1">
      <c r="K542" s="21"/>
      <c r="L542" s="21"/>
      <c r="M542" s="21"/>
      <c r="N542" s="97"/>
      <c r="O542" s="76"/>
      <c r="P542" s="76"/>
      <c r="Q542" s="76"/>
    </row>
    <row r="543" ht="15.75" customHeight="1">
      <c r="K543" s="21"/>
      <c r="L543" s="21"/>
      <c r="M543" s="21"/>
      <c r="N543" s="97"/>
      <c r="O543" s="76"/>
      <c r="P543" s="76"/>
      <c r="Q543" s="76"/>
    </row>
    <row r="544" ht="15.75" customHeight="1">
      <c r="K544" s="21"/>
      <c r="L544" s="21"/>
      <c r="M544" s="21"/>
      <c r="N544" s="97"/>
      <c r="O544" s="76"/>
      <c r="P544" s="76"/>
      <c r="Q544" s="76"/>
    </row>
    <row r="545" ht="15.75" customHeight="1">
      <c r="K545" s="21"/>
      <c r="L545" s="21"/>
      <c r="M545" s="21"/>
      <c r="N545" s="97"/>
      <c r="O545" s="76"/>
      <c r="P545" s="76"/>
      <c r="Q545" s="76"/>
    </row>
    <row r="546" ht="15.75" customHeight="1">
      <c r="K546" s="21"/>
      <c r="L546" s="21"/>
      <c r="M546" s="21"/>
      <c r="N546" s="97"/>
      <c r="O546" s="76"/>
      <c r="P546" s="76"/>
      <c r="Q546" s="76"/>
    </row>
    <row r="547" ht="15.75" customHeight="1">
      <c r="K547" s="21"/>
      <c r="L547" s="21"/>
      <c r="M547" s="21"/>
      <c r="N547" s="97"/>
      <c r="O547" s="76"/>
      <c r="P547" s="76"/>
      <c r="Q547" s="76"/>
    </row>
    <row r="548" ht="15.75" customHeight="1">
      <c r="K548" s="21"/>
      <c r="L548" s="21"/>
      <c r="M548" s="21"/>
      <c r="N548" s="97"/>
      <c r="O548" s="76"/>
      <c r="P548" s="76"/>
      <c r="Q548" s="76"/>
    </row>
    <row r="549" ht="15.75" customHeight="1">
      <c r="K549" s="21"/>
      <c r="L549" s="21"/>
      <c r="M549" s="21"/>
      <c r="N549" s="97"/>
      <c r="O549" s="76"/>
      <c r="P549" s="76"/>
      <c r="Q549" s="76"/>
    </row>
    <row r="550" ht="15.75" customHeight="1">
      <c r="K550" s="21"/>
      <c r="L550" s="21"/>
      <c r="M550" s="21"/>
      <c r="N550" s="97"/>
      <c r="O550" s="76"/>
      <c r="P550" s="76"/>
      <c r="Q550" s="76"/>
    </row>
    <row r="551" ht="15.75" customHeight="1">
      <c r="K551" s="21"/>
      <c r="L551" s="21"/>
      <c r="M551" s="21"/>
      <c r="N551" s="97"/>
      <c r="O551" s="76"/>
      <c r="P551" s="76"/>
      <c r="Q551" s="76"/>
    </row>
    <row r="552" ht="15.75" customHeight="1">
      <c r="K552" s="21"/>
      <c r="L552" s="21"/>
      <c r="M552" s="21"/>
      <c r="N552" s="97"/>
      <c r="O552" s="76"/>
      <c r="P552" s="76"/>
      <c r="Q552" s="76"/>
    </row>
    <row r="553" ht="15.75" customHeight="1">
      <c r="K553" s="21"/>
      <c r="L553" s="21"/>
      <c r="M553" s="21"/>
      <c r="N553" s="97"/>
      <c r="O553" s="76"/>
      <c r="P553" s="76"/>
      <c r="Q553" s="76"/>
    </row>
    <row r="554" ht="15.75" customHeight="1">
      <c r="K554" s="21"/>
      <c r="L554" s="21"/>
      <c r="M554" s="21"/>
      <c r="N554" s="97"/>
      <c r="O554" s="76"/>
      <c r="P554" s="76"/>
      <c r="Q554" s="76"/>
    </row>
    <row r="555" ht="15.75" customHeight="1">
      <c r="K555" s="21"/>
      <c r="L555" s="21"/>
      <c r="M555" s="21"/>
      <c r="N555" s="97"/>
      <c r="O555" s="76"/>
      <c r="P555" s="76"/>
      <c r="Q555" s="76"/>
    </row>
    <row r="556" ht="15.75" customHeight="1">
      <c r="K556" s="21"/>
      <c r="L556" s="21"/>
      <c r="M556" s="21"/>
      <c r="N556" s="97"/>
      <c r="O556" s="76"/>
      <c r="P556" s="76"/>
      <c r="Q556" s="76"/>
    </row>
    <row r="557" ht="15.75" customHeight="1">
      <c r="K557" s="21"/>
      <c r="L557" s="21"/>
      <c r="M557" s="21"/>
      <c r="N557" s="97"/>
      <c r="O557" s="76"/>
      <c r="P557" s="76"/>
      <c r="Q557" s="76"/>
    </row>
    <row r="558" ht="15.75" customHeight="1">
      <c r="K558" s="21"/>
      <c r="L558" s="21"/>
      <c r="M558" s="21"/>
      <c r="N558" s="97"/>
      <c r="O558" s="76"/>
      <c r="P558" s="76"/>
      <c r="Q558" s="76"/>
    </row>
    <row r="559" ht="15.75" customHeight="1">
      <c r="K559" s="21"/>
      <c r="L559" s="21"/>
      <c r="M559" s="21"/>
      <c r="N559" s="97"/>
      <c r="O559" s="76"/>
      <c r="P559" s="76"/>
      <c r="Q559" s="76"/>
    </row>
    <row r="560" ht="15.75" customHeight="1">
      <c r="K560" s="21"/>
      <c r="L560" s="21"/>
      <c r="M560" s="21"/>
      <c r="N560" s="97"/>
      <c r="O560" s="76"/>
      <c r="P560" s="76"/>
      <c r="Q560" s="76"/>
    </row>
    <row r="561" ht="15.75" customHeight="1">
      <c r="K561" s="21"/>
      <c r="L561" s="21"/>
      <c r="M561" s="21"/>
      <c r="N561" s="97"/>
      <c r="O561" s="76"/>
      <c r="P561" s="76"/>
      <c r="Q561" s="76"/>
    </row>
    <row r="562" ht="15.75" customHeight="1">
      <c r="K562" s="21"/>
      <c r="L562" s="21"/>
      <c r="M562" s="21"/>
      <c r="N562" s="97"/>
      <c r="O562" s="76"/>
      <c r="P562" s="76"/>
      <c r="Q562" s="76"/>
    </row>
    <row r="563" ht="15.75" customHeight="1">
      <c r="K563" s="21"/>
      <c r="L563" s="21"/>
      <c r="M563" s="21"/>
      <c r="N563" s="97"/>
      <c r="O563" s="76"/>
      <c r="P563" s="76"/>
      <c r="Q563" s="76"/>
    </row>
    <row r="564" ht="15.75" customHeight="1">
      <c r="K564" s="21"/>
      <c r="L564" s="21"/>
      <c r="M564" s="21"/>
      <c r="N564" s="97"/>
      <c r="O564" s="76"/>
      <c r="P564" s="76"/>
      <c r="Q564" s="76"/>
    </row>
    <row r="565" ht="15.75" customHeight="1">
      <c r="K565" s="21"/>
      <c r="L565" s="21"/>
      <c r="M565" s="21"/>
      <c r="N565" s="97"/>
      <c r="O565" s="76"/>
      <c r="P565" s="76"/>
      <c r="Q565" s="76"/>
    </row>
    <row r="566" ht="15.75" customHeight="1">
      <c r="K566" s="21"/>
      <c r="L566" s="21"/>
      <c r="M566" s="21"/>
      <c r="N566" s="97"/>
      <c r="O566" s="76"/>
      <c r="P566" s="76"/>
      <c r="Q566" s="76"/>
    </row>
    <row r="567" ht="15.75" customHeight="1">
      <c r="K567" s="21"/>
      <c r="L567" s="21"/>
      <c r="M567" s="21"/>
      <c r="N567" s="97"/>
      <c r="O567" s="76"/>
      <c r="P567" s="76"/>
      <c r="Q567" s="76"/>
    </row>
    <row r="568" ht="15.75" customHeight="1">
      <c r="K568" s="21"/>
      <c r="L568" s="21"/>
      <c r="M568" s="21"/>
      <c r="N568" s="97"/>
      <c r="O568" s="76"/>
      <c r="P568" s="76"/>
      <c r="Q568" s="76"/>
    </row>
    <row r="569" ht="15.75" customHeight="1">
      <c r="K569" s="21"/>
      <c r="L569" s="21"/>
      <c r="M569" s="21"/>
      <c r="N569" s="97"/>
      <c r="O569" s="76"/>
      <c r="P569" s="76"/>
      <c r="Q569" s="76"/>
    </row>
    <row r="570" ht="15.75" customHeight="1">
      <c r="K570" s="21"/>
      <c r="L570" s="21"/>
      <c r="M570" s="21"/>
      <c r="N570" s="97"/>
      <c r="O570" s="76"/>
      <c r="P570" s="76"/>
      <c r="Q570" s="76"/>
    </row>
    <row r="571" ht="15.75" customHeight="1">
      <c r="K571" s="21"/>
      <c r="L571" s="21"/>
      <c r="M571" s="21"/>
      <c r="N571" s="97"/>
      <c r="O571" s="76"/>
      <c r="P571" s="76"/>
      <c r="Q571" s="76"/>
    </row>
    <row r="572" ht="15.75" customHeight="1">
      <c r="K572" s="21"/>
      <c r="L572" s="21"/>
      <c r="M572" s="21"/>
      <c r="N572" s="97"/>
      <c r="O572" s="76"/>
      <c r="P572" s="76"/>
      <c r="Q572" s="76"/>
    </row>
    <row r="573" ht="15.75" customHeight="1">
      <c r="K573" s="21"/>
      <c r="L573" s="21"/>
      <c r="M573" s="21"/>
      <c r="N573" s="97"/>
      <c r="O573" s="76"/>
      <c r="P573" s="76"/>
      <c r="Q573" s="76"/>
    </row>
    <row r="574" ht="15.75" customHeight="1">
      <c r="K574" s="21"/>
      <c r="L574" s="21"/>
      <c r="M574" s="21"/>
      <c r="N574" s="97"/>
      <c r="O574" s="76"/>
      <c r="P574" s="76"/>
      <c r="Q574" s="76"/>
    </row>
    <row r="575" ht="15.75" customHeight="1">
      <c r="K575" s="21"/>
      <c r="L575" s="21"/>
      <c r="M575" s="21"/>
      <c r="N575" s="97"/>
      <c r="O575" s="76"/>
      <c r="P575" s="76"/>
      <c r="Q575" s="76"/>
    </row>
    <row r="576" ht="15.75" customHeight="1">
      <c r="K576" s="21"/>
      <c r="L576" s="21"/>
      <c r="M576" s="21"/>
      <c r="N576" s="97"/>
      <c r="O576" s="76"/>
      <c r="P576" s="76"/>
      <c r="Q576" s="76"/>
    </row>
    <row r="577" ht="15.75" customHeight="1">
      <c r="K577" s="21"/>
      <c r="L577" s="21"/>
      <c r="M577" s="21"/>
      <c r="N577" s="97"/>
      <c r="O577" s="76"/>
      <c r="P577" s="76"/>
      <c r="Q577" s="76"/>
    </row>
    <row r="578" ht="15.75" customHeight="1">
      <c r="K578" s="21"/>
      <c r="L578" s="21"/>
      <c r="M578" s="21"/>
      <c r="N578" s="97"/>
      <c r="O578" s="76"/>
      <c r="P578" s="76"/>
      <c r="Q578" s="76"/>
    </row>
    <row r="579" ht="15.75" customHeight="1">
      <c r="K579" s="21"/>
      <c r="L579" s="21"/>
      <c r="M579" s="21"/>
      <c r="N579" s="97"/>
      <c r="O579" s="76"/>
      <c r="P579" s="76"/>
      <c r="Q579" s="76"/>
    </row>
    <row r="580" ht="15.75" customHeight="1">
      <c r="K580" s="21"/>
      <c r="L580" s="21"/>
      <c r="M580" s="21"/>
      <c r="N580" s="97"/>
      <c r="O580" s="76"/>
      <c r="P580" s="76"/>
      <c r="Q580" s="76"/>
    </row>
    <row r="581" ht="15.75" customHeight="1">
      <c r="K581" s="21"/>
      <c r="L581" s="21"/>
      <c r="M581" s="21"/>
      <c r="N581" s="97"/>
      <c r="O581" s="76"/>
      <c r="P581" s="76"/>
      <c r="Q581" s="76"/>
    </row>
    <row r="582" ht="15.75" customHeight="1">
      <c r="K582" s="21"/>
      <c r="L582" s="21"/>
      <c r="M582" s="21"/>
      <c r="N582" s="97"/>
      <c r="O582" s="76"/>
      <c r="P582" s="76"/>
      <c r="Q582" s="76"/>
    </row>
    <row r="583" ht="15.75" customHeight="1">
      <c r="K583" s="21"/>
      <c r="L583" s="21"/>
      <c r="M583" s="21"/>
      <c r="N583" s="97"/>
      <c r="O583" s="76"/>
      <c r="P583" s="76"/>
      <c r="Q583" s="76"/>
    </row>
    <row r="584" ht="15.75" customHeight="1">
      <c r="K584" s="21"/>
      <c r="L584" s="21"/>
      <c r="M584" s="21"/>
      <c r="N584" s="97"/>
      <c r="O584" s="76"/>
      <c r="P584" s="76"/>
      <c r="Q584" s="76"/>
    </row>
    <row r="585" ht="15.75" customHeight="1">
      <c r="K585" s="21"/>
      <c r="L585" s="21"/>
      <c r="M585" s="21"/>
      <c r="N585" s="97"/>
      <c r="O585" s="76"/>
      <c r="P585" s="76"/>
      <c r="Q585" s="76"/>
    </row>
    <row r="586" ht="15.75" customHeight="1">
      <c r="K586" s="21"/>
      <c r="L586" s="21"/>
      <c r="M586" s="21"/>
      <c r="N586" s="97"/>
      <c r="O586" s="76"/>
      <c r="P586" s="76"/>
      <c r="Q586" s="76"/>
    </row>
    <row r="587" ht="15.75" customHeight="1">
      <c r="K587" s="21"/>
      <c r="L587" s="21"/>
      <c r="M587" s="21"/>
      <c r="N587" s="97"/>
      <c r="O587" s="76"/>
      <c r="P587" s="76"/>
      <c r="Q587" s="76"/>
    </row>
    <row r="588" ht="15.75" customHeight="1">
      <c r="K588" s="21"/>
      <c r="L588" s="21"/>
      <c r="M588" s="21"/>
      <c r="N588" s="97"/>
      <c r="O588" s="76"/>
      <c r="P588" s="76"/>
      <c r="Q588" s="76"/>
    </row>
    <row r="589" ht="15.75" customHeight="1">
      <c r="K589" s="21"/>
      <c r="L589" s="21"/>
      <c r="M589" s="21"/>
      <c r="N589" s="97"/>
      <c r="O589" s="76"/>
      <c r="P589" s="76"/>
      <c r="Q589" s="76"/>
    </row>
    <row r="590" ht="15.75" customHeight="1">
      <c r="K590" s="21"/>
      <c r="L590" s="21"/>
      <c r="M590" s="21"/>
      <c r="N590" s="97"/>
      <c r="O590" s="76"/>
      <c r="P590" s="76"/>
      <c r="Q590" s="76"/>
    </row>
    <row r="591" ht="15.75" customHeight="1">
      <c r="K591" s="21"/>
      <c r="L591" s="21"/>
      <c r="M591" s="21"/>
      <c r="N591" s="97"/>
      <c r="O591" s="76"/>
      <c r="P591" s="76"/>
      <c r="Q591" s="76"/>
    </row>
    <row r="592" ht="15.75" customHeight="1">
      <c r="K592" s="21"/>
      <c r="L592" s="21"/>
      <c r="M592" s="21"/>
      <c r="N592" s="97"/>
      <c r="O592" s="76"/>
      <c r="P592" s="76"/>
      <c r="Q592" s="76"/>
    </row>
    <row r="593" ht="15.75" customHeight="1">
      <c r="K593" s="21"/>
      <c r="L593" s="21"/>
      <c r="M593" s="21"/>
      <c r="N593" s="97"/>
      <c r="O593" s="76"/>
      <c r="P593" s="76"/>
      <c r="Q593" s="76"/>
    </row>
    <row r="594" ht="15.75" customHeight="1">
      <c r="K594" s="21"/>
      <c r="L594" s="21"/>
      <c r="M594" s="21"/>
      <c r="N594" s="97"/>
      <c r="O594" s="76"/>
      <c r="P594" s="76"/>
      <c r="Q594" s="76"/>
    </row>
    <row r="595" ht="15.75" customHeight="1">
      <c r="K595" s="21"/>
      <c r="L595" s="21"/>
      <c r="M595" s="21"/>
      <c r="N595" s="97"/>
      <c r="O595" s="76"/>
      <c r="P595" s="76"/>
      <c r="Q595" s="76"/>
    </row>
    <row r="596" ht="15.75" customHeight="1">
      <c r="K596" s="21"/>
      <c r="L596" s="21"/>
      <c r="M596" s="21"/>
      <c r="N596" s="97"/>
      <c r="O596" s="76"/>
      <c r="P596" s="76"/>
      <c r="Q596" s="76"/>
    </row>
    <row r="597" ht="15.75" customHeight="1">
      <c r="K597" s="21"/>
      <c r="L597" s="21"/>
      <c r="M597" s="21"/>
      <c r="N597" s="97"/>
      <c r="O597" s="76"/>
      <c r="P597" s="76"/>
      <c r="Q597" s="76"/>
    </row>
    <row r="598" ht="15.75" customHeight="1">
      <c r="K598" s="21"/>
      <c r="L598" s="21"/>
      <c r="M598" s="21"/>
      <c r="N598" s="97"/>
      <c r="O598" s="76"/>
      <c r="P598" s="76"/>
      <c r="Q598" s="76"/>
    </row>
    <row r="599" ht="15.75" customHeight="1">
      <c r="K599" s="21"/>
      <c r="L599" s="21"/>
      <c r="M599" s="21"/>
      <c r="N599" s="97"/>
      <c r="O599" s="76"/>
      <c r="P599" s="76"/>
      <c r="Q599" s="76"/>
    </row>
    <row r="600" ht="15.75" customHeight="1">
      <c r="K600" s="21"/>
      <c r="L600" s="21"/>
      <c r="M600" s="21"/>
      <c r="N600" s="97"/>
      <c r="O600" s="76"/>
      <c r="P600" s="76"/>
      <c r="Q600" s="76"/>
    </row>
    <row r="601" ht="15.75" customHeight="1">
      <c r="K601" s="21"/>
      <c r="L601" s="21"/>
      <c r="M601" s="21"/>
      <c r="N601" s="97"/>
      <c r="O601" s="76"/>
      <c r="P601" s="76"/>
      <c r="Q601" s="76"/>
    </row>
    <row r="602" ht="15.75" customHeight="1">
      <c r="K602" s="21"/>
      <c r="L602" s="21"/>
      <c r="M602" s="21"/>
      <c r="N602" s="97"/>
      <c r="O602" s="76"/>
      <c r="P602" s="76"/>
      <c r="Q602" s="76"/>
    </row>
    <row r="603" ht="15.75" customHeight="1">
      <c r="K603" s="21"/>
      <c r="L603" s="21"/>
      <c r="M603" s="21"/>
      <c r="N603" s="97"/>
      <c r="O603" s="76"/>
      <c r="P603" s="76"/>
      <c r="Q603" s="76"/>
    </row>
    <row r="604" ht="15.75" customHeight="1">
      <c r="K604" s="21"/>
      <c r="L604" s="21"/>
      <c r="M604" s="21"/>
      <c r="N604" s="97"/>
      <c r="O604" s="76"/>
      <c r="P604" s="76"/>
      <c r="Q604" s="76"/>
    </row>
    <row r="605" ht="15.75" customHeight="1">
      <c r="K605" s="21"/>
      <c r="L605" s="21"/>
      <c r="M605" s="21"/>
      <c r="N605" s="97"/>
      <c r="O605" s="76"/>
      <c r="P605" s="76"/>
      <c r="Q605" s="76"/>
    </row>
    <row r="606" ht="15.75" customHeight="1">
      <c r="K606" s="21"/>
      <c r="L606" s="21"/>
      <c r="M606" s="21"/>
      <c r="N606" s="97"/>
      <c r="O606" s="76"/>
      <c r="P606" s="76"/>
      <c r="Q606" s="76"/>
    </row>
    <row r="607" ht="15.75" customHeight="1">
      <c r="K607" s="21"/>
      <c r="L607" s="21"/>
      <c r="M607" s="21"/>
      <c r="N607" s="97"/>
      <c r="O607" s="76"/>
      <c r="P607" s="76"/>
      <c r="Q607" s="76"/>
    </row>
    <row r="608" ht="15.75" customHeight="1">
      <c r="K608" s="21"/>
      <c r="L608" s="21"/>
      <c r="M608" s="21"/>
      <c r="N608" s="97"/>
      <c r="O608" s="76"/>
      <c r="P608" s="76"/>
      <c r="Q608" s="76"/>
    </row>
    <row r="609" ht="15.75" customHeight="1">
      <c r="K609" s="21"/>
      <c r="L609" s="21"/>
      <c r="M609" s="21"/>
      <c r="N609" s="97"/>
      <c r="O609" s="76"/>
      <c r="P609" s="76"/>
      <c r="Q609" s="76"/>
    </row>
    <row r="610" ht="15.75" customHeight="1">
      <c r="K610" s="21"/>
      <c r="L610" s="21"/>
      <c r="M610" s="21"/>
      <c r="N610" s="97"/>
      <c r="O610" s="76"/>
      <c r="P610" s="76"/>
      <c r="Q610" s="76"/>
    </row>
    <row r="611" ht="15.75" customHeight="1">
      <c r="K611" s="21"/>
      <c r="L611" s="21"/>
      <c r="M611" s="21"/>
      <c r="N611" s="97"/>
      <c r="O611" s="76"/>
      <c r="P611" s="76"/>
      <c r="Q611" s="76"/>
    </row>
    <row r="612" ht="15.75" customHeight="1">
      <c r="K612" s="21"/>
      <c r="L612" s="21"/>
      <c r="M612" s="21"/>
      <c r="N612" s="97"/>
      <c r="O612" s="76"/>
      <c r="P612" s="76"/>
      <c r="Q612" s="76"/>
    </row>
    <row r="613" ht="15.75" customHeight="1">
      <c r="K613" s="21"/>
      <c r="L613" s="21"/>
      <c r="M613" s="21"/>
      <c r="N613" s="97"/>
      <c r="O613" s="76"/>
      <c r="P613" s="76"/>
      <c r="Q613" s="76"/>
    </row>
    <row r="614" ht="15.75" customHeight="1">
      <c r="K614" s="21"/>
      <c r="L614" s="21"/>
      <c r="M614" s="21"/>
      <c r="N614" s="97"/>
      <c r="O614" s="76"/>
      <c r="P614" s="76"/>
      <c r="Q614" s="76"/>
    </row>
    <row r="615" ht="15.75" customHeight="1">
      <c r="K615" s="21"/>
      <c r="L615" s="21"/>
      <c r="M615" s="21"/>
      <c r="N615" s="97"/>
      <c r="O615" s="76"/>
      <c r="P615" s="76"/>
      <c r="Q615" s="76"/>
    </row>
    <row r="616" ht="15.75" customHeight="1">
      <c r="K616" s="21"/>
      <c r="L616" s="21"/>
      <c r="M616" s="21"/>
      <c r="N616" s="97"/>
      <c r="O616" s="76"/>
      <c r="P616" s="76"/>
      <c r="Q616" s="76"/>
    </row>
    <row r="617" ht="15.75" customHeight="1">
      <c r="K617" s="21"/>
      <c r="L617" s="21"/>
      <c r="M617" s="21"/>
      <c r="N617" s="97"/>
      <c r="O617" s="76"/>
      <c r="P617" s="76"/>
      <c r="Q617" s="76"/>
    </row>
    <row r="618" ht="15.75" customHeight="1">
      <c r="K618" s="21"/>
      <c r="L618" s="21"/>
      <c r="M618" s="21"/>
      <c r="N618" s="97"/>
      <c r="O618" s="76"/>
      <c r="P618" s="76"/>
      <c r="Q618" s="76"/>
    </row>
    <row r="619" ht="15.75" customHeight="1">
      <c r="K619" s="21"/>
      <c r="L619" s="21"/>
      <c r="M619" s="21"/>
      <c r="N619" s="97"/>
      <c r="O619" s="76"/>
      <c r="P619" s="76"/>
      <c r="Q619" s="76"/>
    </row>
    <row r="620" ht="15.75" customHeight="1">
      <c r="K620" s="21"/>
      <c r="L620" s="21"/>
      <c r="M620" s="21"/>
      <c r="N620" s="97"/>
      <c r="O620" s="76"/>
      <c r="P620" s="76"/>
      <c r="Q620" s="76"/>
    </row>
    <row r="621" ht="15.75" customHeight="1">
      <c r="K621" s="21"/>
      <c r="L621" s="21"/>
      <c r="M621" s="21"/>
      <c r="N621" s="97"/>
      <c r="O621" s="76"/>
      <c r="P621" s="76"/>
      <c r="Q621" s="76"/>
    </row>
    <row r="622" ht="15.75" customHeight="1">
      <c r="K622" s="21"/>
      <c r="L622" s="21"/>
      <c r="M622" s="21"/>
      <c r="N622" s="97"/>
      <c r="O622" s="76"/>
      <c r="P622" s="76"/>
      <c r="Q622" s="76"/>
    </row>
    <row r="623" ht="15.75" customHeight="1">
      <c r="K623" s="21"/>
      <c r="L623" s="21"/>
      <c r="M623" s="21"/>
      <c r="N623" s="97"/>
      <c r="O623" s="76"/>
      <c r="P623" s="76"/>
      <c r="Q623" s="76"/>
    </row>
    <row r="624" ht="15.75" customHeight="1">
      <c r="K624" s="21"/>
      <c r="L624" s="21"/>
      <c r="M624" s="21"/>
      <c r="N624" s="97"/>
      <c r="O624" s="76"/>
      <c r="P624" s="76"/>
      <c r="Q624" s="76"/>
    </row>
    <row r="625" ht="15.75" customHeight="1">
      <c r="K625" s="21"/>
      <c r="L625" s="21"/>
      <c r="M625" s="21"/>
      <c r="N625" s="97"/>
      <c r="O625" s="76"/>
      <c r="P625" s="76"/>
      <c r="Q625" s="76"/>
    </row>
    <row r="626" ht="15.75" customHeight="1">
      <c r="K626" s="21"/>
      <c r="L626" s="21"/>
      <c r="M626" s="21"/>
      <c r="N626" s="97"/>
      <c r="O626" s="76"/>
      <c r="P626" s="76"/>
      <c r="Q626" s="76"/>
    </row>
    <row r="627" ht="15.75" customHeight="1">
      <c r="K627" s="21"/>
      <c r="L627" s="21"/>
      <c r="M627" s="21"/>
      <c r="N627" s="97"/>
      <c r="O627" s="76"/>
      <c r="P627" s="76"/>
      <c r="Q627" s="76"/>
    </row>
    <row r="628" ht="15.75" customHeight="1">
      <c r="K628" s="21"/>
      <c r="L628" s="21"/>
      <c r="M628" s="21"/>
      <c r="N628" s="97"/>
      <c r="O628" s="76"/>
      <c r="P628" s="76"/>
      <c r="Q628" s="76"/>
    </row>
    <row r="629" ht="15.75" customHeight="1">
      <c r="K629" s="21"/>
      <c r="L629" s="21"/>
      <c r="M629" s="21"/>
      <c r="N629" s="97"/>
      <c r="O629" s="76"/>
      <c r="P629" s="76"/>
      <c r="Q629" s="76"/>
    </row>
    <row r="630" ht="15.75" customHeight="1">
      <c r="K630" s="21"/>
      <c r="L630" s="21"/>
      <c r="M630" s="21"/>
      <c r="N630" s="97"/>
      <c r="O630" s="76"/>
      <c r="P630" s="76"/>
      <c r="Q630" s="76"/>
    </row>
    <row r="631" ht="15.75" customHeight="1">
      <c r="K631" s="21"/>
      <c r="L631" s="21"/>
      <c r="M631" s="21"/>
      <c r="N631" s="97"/>
      <c r="O631" s="76"/>
      <c r="P631" s="76"/>
      <c r="Q631" s="76"/>
    </row>
    <row r="632" ht="15.75" customHeight="1">
      <c r="K632" s="21"/>
      <c r="L632" s="21"/>
      <c r="M632" s="21"/>
      <c r="N632" s="97"/>
      <c r="O632" s="76"/>
      <c r="P632" s="76"/>
      <c r="Q632" s="76"/>
    </row>
    <row r="633" ht="15.75" customHeight="1">
      <c r="K633" s="21"/>
      <c r="L633" s="21"/>
      <c r="M633" s="21"/>
      <c r="N633" s="97"/>
      <c r="O633" s="76"/>
      <c r="P633" s="76"/>
      <c r="Q633" s="76"/>
    </row>
    <row r="634" ht="15.75" customHeight="1">
      <c r="K634" s="21"/>
      <c r="L634" s="21"/>
      <c r="M634" s="21"/>
      <c r="N634" s="97"/>
      <c r="O634" s="76"/>
      <c r="P634" s="76"/>
      <c r="Q634" s="76"/>
    </row>
    <row r="635" ht="15.75" customHeight="1">
      <c r="K635" s="21"/>
      <c r="L635" s="21"/>
      <c r="M635" s="21"/>
      <c r="N635" s="97"/>
      <c r="O635" s="76"/>
      <c r="P635" s="76"/>
      <c r="Q635" s="76"/>
    </row>
    <row r="636" ht="15.75" customHeight="1">
      <c r="K636" s="21"/>
      <c r="L636" s="21"/>
      <c r="M636" s="21"/>
      <c r="N636" s="97"/>
      <c r="O636" s="76"/>
      <c r="P636" s="76"/>
      <c r="Q636" s="76"/>
    </row>
    <row r="637" ht="15.75" customHeight="1">
      <c r="K637" s="21"/>
      <c r="L637" s="21"/>
      <c r="M637" s="21"/>
      <c r="N637" s="97"/>
      <c r="O637" s="76"/>
      <c r="P637" s="76"/>
      <c r="Q637" s="76"/>
    </row>
    <row r="638" ht="15.75" customHeight="1">
      <c r="K638" s="21"/>
      <c r="L638" s="21"/>
      <c r="M638" s="21"/>
      <c r="N638" s="97"/>
      <c r="O638" s="76"/>
      <c r="P638" s="76"/>
      <c r="Q638" s="76"/>
    </row>
    <row r="639" ht="15.75" customHeight="1">
      <c r="K639" s="21"/>
      <c r="L639" s="21"/>
      <c r="M639" s="21"/>
      <c r="N639" s="97"/>
      <c r="O639" s="76"/>
      <c r="P639" s="76"/>
      <c r="Q639" s="76"/>
    </row>
    <row r="640" ht="15.75" customHeight="1">
      <c r="K640" s="21"/>
      <c r="L640" s="21"/>
      <c r="M640" s="21"/>
      <c r="N640" s="97"/>
      <c r="O640" s="76"/>
      <c r="P640" s="76"/>
      <c r="Q640" s="76"/>
    </row>
    <row r="641" ht="15.75" customHeight="1">
      <c r="K641" s="21"/>
      <c r="L641" s="21"/>
      <c r="M641" s="21"/>
      <c r="N641" s="97"/>
      <c r="O641" s="76"/>
      <c r="P641" s="76"/>
      <c r="Q641" s="76"/>
    </row>
    <row r="642" ht="15.75" customHeight="1">
      <c r="K642" s="21"/>
      <c r="L642" s="21"/>
      <c r="M642" s="21"/>
      <c r="N642" s="97"/>
      <c r="O642" s="76"/>
      <c r="P642" s="76"/>
      <c r="Q642" s="76"/>
    </row>
    <row r="643" ht="15.75" customHeight="1">
      <c r="K643" s="21"/>
      <c r="L643" s="21"/>
      <c r="M643" s="21"/>
      <c r="N643" s="97"/>
      <c r="O643" s="76"/>
      <c r="P643" s="76"/>
      <c r="Q643" s="76"/>
    </row>
    <row r="644" ht="15.75" customHeight="1">
      <c r="K644" s="21"/>
      <c r="L644" s="21"/>
      <c r="M644" s="21"/>
      <c r="N644" s="97"/>
      <c r="O644" s="76"/>
      <c r="P644" s="76"/>
      <c r="Q644" s="76"/>
    </row>
    <row r="645" ht="15.75" customHeight="1">
      <c r="K645" s="21"/>
      <c r="L645" s="21"/>
      <c r="M645" s="21"/>
      <c r="N645" s="97"/>
      <c r="O645" s="76"/>
      <c r="P645" s="76"/>
      <c r="Q645" s="76"/>
    </row>
    <row r="646" ht="15.75" customHeight="1">
      <c r="K646" s="21"/>
      <c r="L646" s="21"/>
      <c r="M646" s="21"/>
      <c r="N646" s="97"/>
      <c r="O646" s="76"/>
      <c r="P646" s="76"/>
      <c r="Q646" s="76"/>
    </row>
    <row r="647" ht="15.75" customHeight="1">
      <c r="K647" s="21"/>
      <c r="L647" s="21"/>
      <c r="M647" s="21"/>
      <c r="N647" s="97"/>
      <c r="O647" s="76"/>
      <c r="P647" s="76"/>
      <c r="Q647" s="76"/>
    </row>
    <row r="648" ht="15.75" customHeight="1">
      <c r="K648" s="21"/>
      <c r="L648" s="21"/>
      <c r="M648" s="21"/>
      <c r="N648" s="97"/>
      <c r="O648" s="76"/>
      <c r="P648" s="76"/>
      <c r="Q648" s="76"/>
    </row>
    <row r="649" ht="15.75" customHeight="1">
      <c r="K649" s="21"/>
      <c r="L649" s="21"/>
      <c r="M649" s="21"/>
      <c r="N649" s="97"/>
      <c r="O649" s="76"/>
      <c r="P649" s="76"/>
      <c r="Q649" s="76"/>
    </row>
    <row r="650" ht="15.75" customHeight="1">
      <c r="K650" s="21"/>
      <c r="L650" s="21"/>
      <c r="M650" s="21"/>
      <c r="N650" s="97"/>
      <c r="O650" s="76"/>
      <c r="P650" s="76"/>
      <c r="Q650" s="76"/>
    </row>
    <row r="651" ht="15.75" customHeight="1">
      <c r="K651" s="21"/>
      <c r="L651" s="21"/>
      <c r="M651" s="21"/>
      <c r="N651" s="97"/>
      <c r="O651" s="76"/>
      <c r="P651" s="76"/>
      <c r="Q651" s="76"/>
    </row>
    <row r="652" ht="15.75" customHeight="1">
      <c r="K652" s="21"/>
      <c r="L652" s="21"/>
      <c r="M652" s="21"/>
      <c r="N652" s="97"/>
      <c r="O652" s="76"/>
      <c r="P652" s="76"/>
      <c r="Q652" s="76"/>
    </row>
    <row r="653" ht="15.75" customHeight="1">
      <c r="K653" s="21"/>
      <c r="L653" s="21"/>
      <c r="M653" s="21"/>
      <c r="N653" s="97"/>
      <c r="O653" s="76"/>
      <c r="P653" s="76"/>
      <c r="Q653" s="76"/>
    </row>
    <row r="654" ht="15.75" customHeight="1">
      <c r="K654" s="21"/>
      <c r="L654" s="21"/>
      <c r="M654" s="21"/>
      <c r="N654" s="97"/>
      <c r="O654" s="76"/>
      <c r="P654" s="76"/>
      <c r="Q654" s="76"/>
    </row>
    <row r="655" ht="15.75" customHeight="1">
      <c r="K655" s="21"/>
      <c r="L655" s="21"/>
      <c r="M655" s="21"/>
      <c r="N655" s="97"/>
      <c r="O655" s="76"/>
      <c r="P655" s="76"/>
      <c r="Q655" s="76"/>
    </row>
    <row r="656" ht="15.75" customHeight="1">
      <c r="K656" s="21"/>
      <c r="L656" s="21"/>
      <c r="M656" s="21"/>
      <c r="N656" s="97"/>
      <c r="O656" s="76"/>
      <c r="P656" s="76"/>
      <c r="Q656" s="76"/>
    </row>
    <row r="657" ht="15.75" customHeight="1">
      <c r="K657" s="21"/>
      <c r="L657" s="21"/>
      <c r="M657" s="21"/>
      <c r="N657" s="97"/>
      <c r="O657" s="76"/>
      <c r="P657" s="76"/>
      <c r="Q657" s="76"/>
    </row>
    <row r="658" ht="15.75" customHeight="1">
      <c r="K658" s="21"/>
      <c r="L658" s="21"/>
      <c r="M658" s="21"/>
      <c r="N658" s="97"/>
      <c r="O658" s="76"/>
      <c r="P658" s="76"/>
      <c r="Q658" s="76"/>
    </row>
    <row r="659" ht="15.75" customHeight="1">
      <c r="K659" s="21"/>
      <c r="L659" s="21"/>
      <c r="M659" s="21"/>
      <c r="N659" s="97"/>
      <c r="O659" s="76"/>
      <c r="P659" s="76"/>
      <c r="Q659" s="76"/>
    </row>
    <row r="660" ht="15.75" customHeight="1">
      <c r="K660" s="21"/>
      <c r="L660" s="21"/>
      <c r="M660" s="21"/>
      <c r="N660" s="97"/>
      <c r="O660" s="76"/>
      <c r="P660" s="76"/>
      <c r="Q660" s="76"/>
    </row>
    <row r="661" ht="15.75" customHeight="1">
      <c r="K661" s="21"/>
      <c r="L661" s="21"/>
      <c r="M661" s="21"/>
      <c r="N661" s="97"/>
      <c r="O661" s="76"/>
      <c r="P661" s="76"/>
      <c r="Q661" s="76"/>
    </row>
    <row r="662" ht="15.75" customHeight="1">
      <c r="K662" s="21"/>
      <c r="L662" s="21"/>
      <c r="M662" s="21"/>
      <c r="N662" s="97"/>
      <c r="O662" s="76"/>
      <c r="P662" s="76"/>
      <c r="Q662" s="76"/>
    </row>
    <row r="663" ht="15.75" customHeight="1">
      <c r="K663" s="21"/>
      <c r="L663" s="21"/>
      <c r="M663" s="21"/>
      <c r="N663" s="97"/>
      <c r="O663" s="76"/>
      <c r="P663" s="76"/>
      <c r="Q663" s="76"/>
    </row>
    <row r="664" ht="15.75" customHeight="1">
      <c r="K664" s="21"/>
      <c r="L664" s="21"/>
      <c r="M664" s="21"/>
      <c r="N664" s="97"/>
      <c r="O664" s="76"/>
      <c r="P664" s="76"/>
      <c r="Q664" s="76"/>
    </row>
    <row r="665" ht="15.75" customHeight="1">
      <c r="K665" s="21"/>
      <c r="L665" s="21"/>
      <c r="M665" s="21"/>
      <c r="N665" s="97"/>
      <c r="O665" s="76"/>
      <c r="P665" s="76"/>
      <c r="Q665" s="76"/>
    </row>
    <row r="666" ht="15.75" customHeight="1">
      <c r="K666" s="21"/>
      <c r="L666" s="21"/>
      <c r="M666" s="21"/>
      <c r="N666" s="97"/>
      <c r="O666" s="76"/>
      <c r="P666" s="76"/>
      <c r="Q666" s="76"/>
    </row>
    <row r="667" ht="15.75" customHeight="1">
      <c r="K667" s="21"/>
      <c r="L667" s="21"/>
      <c r="M667" s="21"/>
      <c r="N667" s="97"/>
      <c r="O667" s="76"/>
      <c r="P667" s="76"/>
      <c r="Q667" s="76"/>
    </row>
    <row r="668" ht="15.75" customHeight="1">
      <c r="K668" s="21"/>
      <c r="L668" s="21"/>
      <c r="M668" s="21"/>
      <c r="N668" s="97"/>
      <c r="O668" s="76"/>
      <c r="P668" s="76"/>
      <c r="Q668" s="76"/>
    </row>
    <row r="669" ht="15.75" customHeight="1">
      <c r="K669" s="21"/>
      <c r="L669" s="21"/>
      <c r="M669" s="21"/>
      <c r="N669" s="97"/>
      <c r="O669" s="76"/>
      <c r="P669" s="76"/>
      <c r="Q669" s="76"/>
    </row>
    <row r="670" ht="15.75" customHeight="1">
      <c r="K670" s="21"/>
      <c r="L670" s="21"/>
      <c r="M670" s="21"/>
      <c r="N670" s="97"/>
      <c r="O670" s="76"/>
      <c r="P670" s="76"/>
      <c r="Q670" s="76"/>
    </row>
    <row r="671" ht="15.75" customHeight="1">
      <c r="K671" s="21"/>
      <c r="L671" s="21"/>
      <c r="M671" s="21"/>
      <c r="N671" s="97"/>
      <c r="O671" s="76"/>
      <c r="P671" s="76"/>
      <c r="Q671" s="76"/>
    </row>
    <row r="672" ht="15.75" customHeight="1">
      <c r="K672" s="21"/>
      <c r="L672" s="21"/>
      <c r="M672" s="21"/>
      <c r="N672" s="97"/>
      <c r="O672" s="76"/>
      <c r="P672" s="76"/>
      <c r="Q672" s="76"/>
    </row>
    <row r="673" ht="15.75" customHeight="1">
      <c r="K673" s="21"/>
      <c r="L673" s="21"/>
      <c r="M673" s="21"/>
      <c r="N673" s="97"/>
      <c r="O673" s="76"/>
      <c r="P673" s="76"/>
      <c r="Q673" s="76"/>
    </row>
    <row r="674" ht="15.75" customHeight="1">
      <c r="K674" s="21"/>
      <c r="L674" s="21"/>
      <c r="M674" s="21"/>
      <c r="N674" s="97"/>
      <c r="O674" s="76"/>
      <c r="P674" s="76"/>
      <c r="Q674" s="76"/>
    </row>
    <row r="675" ht="15.75" customHeight="1">
      <c r="K675" s="21"/>
      <c r="L675" s="21"/>
      <c r="M675" s="21"/>
      <c r="N675" s="97"/>
      <c r="O675" s="76"/>
      <c r="P675" s="76"/>
      <c r="Q675" s="76"/>
    </row>
    <row r="676" ht="15.75" customHeight="1">
      <c r="K676" s="21"/>
      <c r="L676" s="21"/>
      <c r="M676" s="21"/>
      <c r="N676" s="97"/>
      <c r="O676" s="76"/>
      <c r="P676" s="76"/>
      <c r="Q676" s="76"/>
    </row>
    <row r="677" ht="15.75" customHeight="1">
      <c r="K677" s="21"/>
      <c r="L677" s="21"/>
      <c r="M677" s="21"/>
      <c r="N677" s="97"/>
      <c r="O677" s="76"/>
      <c r="P677" s="76"/>
      <c r="Q677" s="76"/>
    </row>
    <row r="678" ht="15.75" customHeight="1">
      <c r="K678" s="21"/>
      <c r="L678" s="21"/>
      <c r="M678" s="21"/>
      <c r="N678" s="97"/>
      <c r="O678" s="76"/>
      <c r="P678" s="76"/>
      <c r="Q678" s="76"/>
    </row>
    <row r="679" ht="15.75" customHeight="1">
      <c r="K679" s="21"/>
      <c r="L679" s="21"/>
      <c r="M679" s="21"/>
      <c r="N679" s="97"/>
      <c r="O679" s="76"/>
      <c r="P679" s="76"/>
      <c r="Q679" s="76"/>
    </row>
    <row r="680" ht="15.75" customHeight="1">
      <c r="K680" s="21"/>
      <c r="L680" s="21"/>
      <c r="M680" s="21"/>
      <c r="N680" s="97"/>
      <c r="O680" s="76"/>
      <c r="P680" s="76"/>
      <c r="Q680" s="76"/>
    </row>
    <row r="681" ht="15.75" customHeight="1">
      <c r="K681" s="21"/>
      <c r="L681" s="21"/>
      <c r="M681" s="21"/>
      <c r="N681" s="97"/>
      <c r="O681" s="76"/>
      <c r="P681" s="76"/>
      <c r="Q681" s="76"/>
    </row>
    <row r="682" ht="15.75" customHeight="1">
      <c r="K682" s="21"/>
      <c r="L682" s="21"/>
      <c r="M682" s="21"/>
      <c r="N682" s="97"/>
      <c r="O682" s="76"/>
      <c r="P682" s="76"/>
      <c r="Q682" s="76"/>
    </row>
    <row r="683" ht="15.75" customHeight="1">
      <c r="K683" s="21"/>
      <c r="L683" s="21"/>
      <c r="M683" s="21"/>
      <c r="N683" s="97"/>
      <c r="O683" s="76"/>
      <c r="P683" s="76"/>
      <c r="Q683" s="76"/>
    </row>
    <row r="684" ht="15.75" customHeight="1">
      <c r="K684" s="21"/>
      <c r="L684" s="21"/>
      <c r="M684" s="21"/>
      <c r="N684" s="97"/>
      <c r="O684" s="76"/>
      <c r="P684" s="76"/>
      <c r="Q684" s="76"/>
    </row>
    <row r="685" ht="15.75" customHeight="1">
      <c r="K685" s="21"/>
      <c r="L685" s="21"/>
      <c r="M685" s="21"/>
      <c r="N685" s="97"/>
      <c r="O685" s="76"/>
      <c r="P685" s="76"/>
      <c r="Q685" s="76"/>
    </row>
    <row r="686" ht="15.75" customHeight="1">
      <c r="K686" s="21"/>
      <c r="L686" s="21"/>
      <c r="M686" s="21"/>
      <c r="N686" s="97"/>
      <c r="O686" s="76"/>
      <c r="P686" s="76"/>
      <c r="Q686" s="76"/>
    </row>
    <row r="687" ht="15.75" customHeight="1">
      <c r="K687" s="21"/>
      <c r="L687" s="21"/>
      <c r="M687" s="21"/>
      <c r="N687" s="97"/>
      <c r="O687" s="76"/>
      <c r="P687" s="76"/>
      <c r="Q687" s="76"/>
    </row>
    <row r="688" ht="15.75" customHeight="1">
      <c r="K688" s="21"/>
      <c r="L688" s="21"/>
      <c r="M688" s="21"/>
      <c r="N688" s="97"/>
      <c r="O688" s="76"/>
      <c r="P688" s="76"/>
      <c r="Q688" s="76"/>
    </row>
    <row r="689" ht="15.75" customHeight="1">
      <c r="K689" s="21"/>
      <c r="L689" s="21"/>
      <c r="M689" s="21"/>
      <c r="N689" s="97"/>
      <c r="O689" s="76"/>
      <c r="P689" s="76"/>
      <c r="Q689" s="76"/>
    </row>
    <row r="690" ht="15.75" customHeight="1">
      <c r="K690" s="21"/>
      <c r="L690" s="21"/>
      <c r="M690" s="21"/>
      <c r="N690" s="97"/>
      <c r="O690" s="76"/>
      <c r="P690" s="76"/>
      <c r="Q690" s="76"/>
    </row>
    <row r="691" ht="15.75" customHeight="1">
      <c r="K691" s="21"/>
      <c r="L691" s="21"/>
      <c r="M691" s="21"/>
      <c r="N691" s="97"/>
      <c r="O691" s="76"/>
      <c r="P691" s="76"/>
      <c r="Q691" s="76"/>
    </row>
    <row r="692" ht="15.75" customHeight="1">
      <c r="K692" s="21"/>
      <c r="L692" s="21"/>
      <c r="M692" s="21"/>
      <c r="N692" s="97"/>
      <c r="O692" s="76"/>
      <c r="P692" s="76"/>
      <c r="Q692" s="76"/>
    </row>
    <row r="693" ht="15.75" customHeight="1">
      <c r="K693" s="21"/>
      <c r="L693" s="21"/>
      <c r="M693" s="21"/>
      <c r="N693" s="97"/>
      <c r="O693" s="76"/>
      <c r="P693" s="76"/>
      <c r="Q693" s="76"/>
    </row>
    <row r="694" ht="15.75" customHeight="1">
      <c r="K694" s="21"/>
      <c r="L694" s="21"/>
      <c r="M694" s="21"/>
      <c r="N694" s="97"/>
      <c r="O694" s="76"/>
      <c r="P694" s="76"/>
      <c r="Q694" s="76"/>
    </row>
    <row r="695" ht="15.75" customHeight="1">
      <c r="K695" s="21"/>
      <c r="L695" s="21"/>
      <c r="M695" s="21"/>
      <c r="N695" s="97"/>
      <c r="O695" s="76"/>
      <c r="P695" s="76"/>
      <c r="Q695" s="76"/>
    </row>
    <row r="696" ht="15.75" customHeight="1">
      <c r="K696" s="21"/>
      <c r="L696" s="21"/>
      <c r="M696" s="21"/>
      <c r="N696" s="97"/>
      <c r="O696" s="76"/>
      <c r="P696" s="76"/>
      <c r="Q696" s="76"/>
    </row>
    <row r="697" ht="15.75" customHeight="1">
      <c r="K697" s="21"/>
      <c r="L697" s="21"/>
      <c r="M697" s="21"/>
      <c r="N697" s="97"/>
      <c r="O697" s="76"/>
      <c r="P697" s="76"/>
      <c r="Q697" s="76"/>
    </row>
    <row r="698" ht="15.75" customHeight="1">
      <c r="K698" s="21"/>
      <c r="L698" s="21"/>
      <c r="M698" s="21"/>
      <c r="N698" s="97"/>
      <c r="O698" s="76"/>
      <c r="P698" s="76"/>
      <c r="Q698" s="76"/>
    </row>
    <row r="699" ht="15.75" customHeight="1">
      <c r="K699" s="21"/>
      <c r="L699" s="21"/>
      <c r="M699" s="21"/>
      <c r="N699" s="97"/>
      <c r="O699" s="76"/>
      <c r="P699" s="76"/>
      <c r="Q699" s="76"/>
    </row>
    <row r="700" ht="15.75" customHeight="1">
      <c r="K700" s="21"/>
      <c r="L700" s="21"/>
      <c r="M700" s="21"/>
      <c r="N700" s="97"/>
      <c r="O700" s="76"/>
      <c r="P700" s="76"/>
      <c r="Q700" s="76"/>
    </row>
    <row r="701" ht="15.75" customHeight="1">
      <c r="K701" s="21"/>
      <c r="L701" s="21"/>
      <c r="M701" s="21"/>
      <c r="N701" s="97"/>
      <c r="O701" s="76"/>
      <c r="P701" s="76"/>
      <c r="Q701" s="76"/>
    </row>
    <row r="702" ht="15.75" customHeight="1">
      <c r="K702" s="21"/>
      <c r="L702" s="21"/>
      <c r="M702" s="21"/>
      <c r="N702" s="97"/>
      <c r="O702" s="76"/>
      <c r="P702" s="76"/>
      <c r="Q702" s="76"/>
    </row>
    <row r="703" ht="15.75" customHeight="1">
      <c r="K703" s="21"/>
      <c r="L703" s="21"/>
      <c r="M703" s="21"/>
      <c r="N703" s="97"/>
      <c r="O703" s="76"/>
      <c r="P703" s="76"/>
      <c r="Q703" s="76"/>
    </row>
    <row r="704" ht="15.75" customHeight="1">
      <c r="K704" s="21"/>
      <c r="L704" s="21"/>
      <c r="M704" s="21"/>
      <c r="N704" s="97"/>
      <c r="O704" s="76"/>
      <c r="P704" s="76"/>
      <c r="Q704" s="76"/>
    </row>
    <row r="705" ht="15.75" customHeight="1">
      <c r="K705" s="21"/>
      <c r="L705" s="21"/>
      <c r="M705" s="21"/>
      <c r="N705" s="97"/>
      <c r="O705" s="76"/>
      <c r="P705" s="76"/>
      <c r="Q705" s="76"/>
    </row>
    <row r="706" ht="15.75" customHeight="1">
      <c r="K706" s="21"/>
      <c r="L706" s="21"/>
      <c r="M706" s="21"/>
      <c r="N706" s="97"/>
      <c r="O706" s="76"/>
      <c r="P706" s="76"/>
      <c r="Q706" s="76"/>
    </row>
    <row r="707" ht="15.75" customHeight="1">
      <c r="K707" s="21"/>
      <c r="L707" s="21"/>
      <c r="M707" s="21"/>
      <c r="N707" s="97"/>
      <c r="O707" s="76"/>
      <c r="P707" s="76"/>
      <c r="Q707" s="76"/>
    </row>
    <row r="708" ht="15.75" customHeight="1">
      <c r="K708" s="21"/>
      <c r="L708" s="21"/>
      <c r="M708" s="21"/>
      <c r="N708" s="97"/>
      <c r="O708" s="76"/>
      <c r="P708" s="76"/>
      <c r="Q708" s="76"/>
    </row>
    <row r="709" ht="15.75" customHeight="1">
      <c r="K709" s="21"/>
      <c r="L709" s="21"/>
      <c r="M709" s="21"/>
      <c r="N709" s="97"/>
      <c r="O709" s="76"/>
      <c r="P709" s="76"/>
      <c r="Q709" s="76"/>
    </row>
    <row r="710" ht="15.75" customHeight="1">
      <c r="K710" s="21"/>
      <c r="L710" s="21"/>
      <c r="M710" s="21"/>
      <c r="N710" s="97"/>
      <c r="O710" s="76"/>
      <c r="P710" s="76"/>
      <c r="Q710" s="76"/>
    </row>
    <row r="711" ht="15.75" customHeight="1">
      <c r="K711" s="21"/>
      <c r="L711" s="21"/>
      <c r="M711" s="21"/>
      <c r="N711" s="97"/>
      <c r="O711" s="76"/>
      <c r="P711" s="76"/>
      <c r="Q711" s="76"/>
    </row>
    <row r="712" ht="15.75" customHeight="1">
      <c r="K712" s="21"/>
      <c r="L712" s="21"/>
      <c r="M712" s="21"/>
      <c r="N712" s="97"/>
      <c r="O712" s="76"/>
      <c r="P712" s="76"/>
      <c r="Q712" s="76"/>
    </row>
    <row r="713" ht="15.75" customHeight="1">
      <c r="K713" s="21"/>
      <c r="L713" s="21"/>
      <c r="M713" s="21"/>
      <c r="N713" s="97"/>
      <c r="O713" s="76"/>
      <c r="P713" s="76"/>
      <c r="Q713" s="76"/>
    </row>
    <row r="714" ht="15.75" customHeight="1">
      <c r="K714" s="21"/>
      <c r="L714" s="21"/>
      <c r="M714" s="21"/>
      <c r="N714" s="97"/>
      <c r="O714" s="76"/>
      <c r="P714" s="76"/>
      <c r="Q714" s="76"/>
    </row>
    <row r="715" ht="15.75" customHeight="1">
      <c r="K715" s="21"/>
      <c r="L715" s="21"/>
      <c r="M715" s="21"/>
      <c r="N715" s="97"/>
      <c r="O715" s="76"/>
      <c r="P715" s="76"/>
      <c r="Q715" s="76"/>
    </row>
    <row r="716" ht="15.75" customHeight="1">
      <c r="K716" s="21"/>
      <c r="L716" s="21"/>
      <c r="M716" s="21"/>
      <c r="N716" s="97"/>
      <c r="O716" s="76"/>
      <c r="P716" s="76"/>
      <c r="Q716" s="76"/>
    </row>
    <row r="717" ht="15.75" customHeight="1">
      <c r="K717" s="21"/>
      <c r="L717" s="21"/>
      <c r="M717" s="21"/>
      <c r="N717" s="97"/>
      <c r="O717" s="76"/>
      <c r="P717" s="76"/>
      <c r="Q717" s="76"/>
    </row>
    <row r="718" ht="15.75" customHeight="1">
      <c r="K718" s="21"/>
      <c r="L718" s="21"/>
      <c r="M718" s="21"/>
      <c r="N718" s="97"/>
      <c r="O718" s="76"/>
      <c r="P718" s="76"/>
      <c r="Q718" s="76"/>
    </row>
    <row r="719" ht="15.75" customHeight="1">
      <c r="K719" s="21"/>
      <c r="L719" s="21"/>
      <c r="M719" s="21"/>
      <c r="N719" s="97"/>
      <c r="O719" s="76"/>
      <c r="P719" s="76"/>
      <c r="Q719" s="76"/>
    </row>
    <row r="720" ht="15.75" customHeight="1">
      <c r="K720" s="21"/>
      <c r="L720" s="21"/>
      <c r="M720" s="21"/>
      <c r="N720" s="97"/>
      <c r="O720" s="76"/>
      <c r="P720" s="76"/>
      <c r="Q720" s="76"/>
    </row>
    <row r="721" ht="15.75" customHeight="1">
      <c r="K721" s="21"/>
      <c r="L721" s="21"/>
      <c r="M721" s="21"/>
      <c r="N721" s="97"/>
      <c r="O721" s="76"/>
      <c r="P721" s="76"/>
      <c r="Q721" s="76"/>
    </row>
    <row r="722" ht="15.75" customHeight="1">
      <c r="K722" s="21"/>
      <c r="L722" s="21"/>
      <c r="M722" s="21"/>
      <c r="N722" s="97"/>
      <c r="O722" s="76"/>
      <c r="P722" s="76"/>
      <c r="Q722" s="76"/>
    </row>
    <row r="723" ht="15.75" customHeight="1">
      <c r="K723" s="21"/>
      <c r="L723" s="21"/>
      <c r="M723" s="21"/>
      <c r="N723" s="97"/>
      <c r="O723" s="76"/>
      <c r="P723" s="76"/>
      <c r="Q723" s="76"/>
    </row>
    <row r="724" ht="15.75" customHeight="1">
      <c r="K724" s="21"/>
      <c r="L724" s="21"/>
      <c r="M724" s="21"/>
      <c r="N724" s="97"/>
      <c r="O724" s="76"/>
      <c r="P724" s="76"/>
      <c r="Q724" s="76"/>
    </row>
    <row r="725" ht="15.75" customHeight="1">
      <c r="K725" s="21"/>
      <c r="L725" s="21"/>
      <c r="M725" s="21"/>
      <c r="N725" s="97"/>
      <c r="O725" s="76"/>
      <c r="P725" s="76"/>
      <c r="Q725" s="76"/>
    </row>
    <row r="726" ht="15.75" customHeight="1">
      <c r="K726" s="21"/>
      <c r="L726" s="21"/>
      <c r="M726" s="21"/>
      <c r="N726" s="97"/>
      <c r="O726" s="76"/>
      <c r="P726" s="76"/>
      <c r="Q726" s="76"/>
    </row>
    <row r="727" ht="15.75" customHeight="1">
      <c r="K727" s="21"/>
      <c r="L727" s="21"/>
      <c r="M727" s="21"/>
      <c r="N727" s="97"/>
      <c r="O727" s="76"/>
      <c r="P727" s="76"/>
      <c r="Q727" s="76"/>
    </row>
    <row r="728" ht="15.75" customHeight="1">
      <c r="K728" s="21"/>
      <c r="L728" s="21"/>
      <c r="M728" s="21"/>
      <c r="N728" s="97"/>
      <c r="O728" s="76"/>
      <c r="P728" s="76"/>
      <c r="Q728" s="76"/>
    </row>
    <row r="729" ht="15.75" customHeight="1">
      <c r="K729" s="21"/>
      <c r="L729" s="21"/>
      <c r="M729" s="21"/>
      <c r="N729" s="97"/>
      <c r="O729" s="76"/>
      <c r="P729" s="76"/>
      <c r="Q729" s="76"/>
    </row>
    <row r="730" ht="15.75" customHeight="1">
      <c r="K730" s="21"/>
      <c r="L730" s="21"/>
      <c r="M730" s="21"/>
      <c r="N730" s="97"/>
      <c r="O730" s="76"/>
      <c r="P730" s="76"/>
      <c r="Q730" s="76"/>
    </row>
    <row r="731" ht="15.75" customHeight="1">
      <c r="K731" s="21"/>
      <c r="L731" s="21"/>
      <c r="M731" s="21"/>
      <c r="N731" s="97"/>
      <c r="O731" s="76"/>
      <c r="P731" s="76"/>
      <c r="Q731" s="76"/>
    </row>
    <row r="732" ht="15.75" customHeight="1">
      <c r="K732" s="21"/>
      <c r="L732" s="21"/>
      <c r="M732" s="21"/>
      <c r="N732" s="97"/>
      <c r="O732" s="76"/>
      <c r="P732" s="76"/>
      <c r="Q732" s="76"/>
    </row>
    <row r="733" ht="15.75" customHeight="1">
      <c r="K733" s="21"/>
      <c r="L733" s="21"/>
      <c r="M733" s="21"/>
      <c r="N733" s="97"/>
      <c r="O733" s="76"/>
      <c r="P733" s="76"/>
      <c r="Q733" s="76"/>
    </row>
    <row r="734" ht="15.75" customHeight="1">
      <c r="K734" s="21"/>
      <c r="L734" s="21"/>
      <c r="M734" s="21"/>
      <c r="N734" s="97"/>
      <c r="O734" s="76"/>
      <c r="P734" s="76"/>
      <c r="Q734" s="76"/>
    </row>
    <row r="735" ht="15.75" customHeight="1">
      <c r="K735" s="21"/>
      <c r="L735" s="21"/>
      <c r="M735" s="21"/>
      <c r="N735" s="97"/>
      <c r="O735" s="76"/>
      <c r="P735" s="76"/>
      <c r="Q735" s="76"/>
    </row>
    <row r="736" ht="15.75" customHeight="1">
      <c r="K736" s="21"/>
      <c r="L736" s="21"/>
      <c r="M736" s="21"/>
      <c r="N736" s="97"/>
      <c r="O736" s="76"/>
      <c r="P736" s="76"/>
      <c r="Q736" s="76"/>
    </row>
    <row r="737" ht="15.75" customHeight="1">
      <c r="K737" s="21"/>
      <c r="L737" s="21"/>
      <c r="M737" s="21"/>
      <c r="N737" s="97"/>
      <c r="O737" s="76"/>
      <c r="P737" s="76"/>
      <c r="Q737" s="76"/>
    </row>
    <row r="738" ht="15.75" customHeight="1">
      <c r="K738" s="21"/>
      <c r="L738" s="21"/>
      <c r="M738" s="21"/>
      <c r="N738" s="97"/>
      <c r="O738" s="76"/>
      <c r="P738" s="76"/>
      <c r="Q738" s="76"/>
    </row>
    <row r="739" ht="15.75" customHeight="1">
      <c r="K739" s="21"/>
      <c r="L739" s="21"/>
      <c r="M739" s="21"/>
      <c r="N739" s="97"/>
      <c r="O739" s="76"/>
      <c r="P739" s="76"/>
      <c r="Q739" s="76"/>
    </row>
    <row r="740" ht="15.75" customHeight="1">
      <c r="K740" s="21"/>
      <c r="L740" s="21"/>
      <c r="M740" s="21"/>
      <c r="N740" s="97"/>
      <c r="O740" s="76"/>
      <c r="P740" s="76"/>
      <c r="Q740" s="76"/>
    </row>
    <row r="741" ht="15.75" customHeight="1">
      <c r="K741" s="21"/>
      <c r="L741" s="21"/>
      <c r="M741" s="21"/>
      <c r="N741" s="97"/>
      <c r="O741" s="76"/>
      <c r="P741" s="76"/>
      <c r="Q741" s="76"/>
    </row>
    <row r="742" ht="15.75" customHeight="1">
      <c r="K742" s="21"/>
      <c r="L742" s="21"/>
      <c r="M742" s="21"/>
      <c r="N742" s="97"/>
      <c r="O742" s="76"/>
      <c r="P742" s="76"/>
      <c r="Q742" s="76"/>
    </row>
    <row r="743" ht="15.75" customHeight="1">
      <c r="K743" s="21"/>
      <c r="L743" s="21"/>
      <c r="M743" s="21"/>
      <c r="N743" s="97"/>
      <c r="O743" s="76"/>
      <c r="P743" s="76"/>
      <c r="Q743" s="76"/>
    </row>
    <row r="744" ht="15.75" customHeight="1">
      <c r="K744" s="21"/>
      <c r="L744" s="21"/>
      <c r="M744" s="21"/>
      <c r="N744" s="97"/>
      <c r="O744" s="76"/>
      <c r="P744" s="76"/>
      <c r="Q744" s="76"/>
    </row>
    <row r="745" ht="15.75" customHeight="1">
      <c r="K745" s="21"/>
      <c r="L745" s="21"/>
      <c r="M745" s="21"/>
      <c r="N745" s="97"/>
      <c r="O745" s="76"/>
      <c r="P745" s="76"/>
      <c r="Q745" s="76"/>
    </row>
    <row r="746" ht="15.75" customHeight="1">
      <c r="K746" s="21"/>
      <c r="L746" s="21"/>
      <c r="M746" s="21"/>
      <c r="N746" s="97"/>
      <c r="O746" s="76"/>
      <c r="P746" s="76"/>
      <c r="Q746" s="76"/>
    </row>
    <row r="747" ht="15.75" customHeight="1">
      <c r="K747" s="21"/>
      <c r="L747" s="21"/>
      <c r="M747" s="21"/>
      <c r="N747" s="97"/>
      <c r="O747" s="76"/>
      <c r="P747" s="76"/>
      <c r="Q747" s="76"/>
    </row>
    <row r="748" ht="15.75" customHeight="1">
      <c r="K748" s="21"/>
      <c r="L748" s="21"/>
      <c r="M748" s="21"/>
      <c r="N748" s="97"/>
      <c r="O748" s="76"/>
      <c r="P748" s="76"/>
      <c r="Q748" s="76"/>
    </row>
    <row r="749" ht="15.75" customHeight="1">
      <c r="K749" s="21"/>
      <c r="L749" s="21"/>
      <c r="M749" s="21"/>
      <c r="N749" s="97"/>
      <c r="O749" s="76"/>
      <c r="P749" s="76"/>
      <c r="Q749" s="76"/>
    </row>
    <row r="750" ht="15.75" customHeight="1">
      <c r="K750" s="21"/>
      <c r="L750" s="21"/>
      <c r="M750" s="21"/>
      <c r="N750" s="97"/>
      <c r="O750" s="76"/>
      <c r="P750" s="76"/>
      <c r="Q750" s="76"/>
    </row>
    <row r="751" ht="15.75" customHeight="1">
      <c r="K751" s="21"/>
      <c r="L751" s="21"/>
      <c r="M751" s="21"/>
      <c r="N751" s="97"/>
      <c r="O751" s="76"/>
      <c r="P751" s="76"/>
      <c r="Q751" s="76"/>
    </row>
    <row r="752" ht="15.75" customHeight="1">
      <c r="K752" s="21"/>
      <c r="L752" s="21"/>
      <c r="M752" s="21"/>
      <c r="N752" s="97"/>
      <c r="O752" s="76"/>
      <c r="P752" s="76"/>
      <c r="Q752" s="76"/>
    </row>
    <row r="753" ht="15.75" customHeight="1">
      <c r="K753" s="21"/>
      <c r="L753" s="21"/>
      <c r="M753" s="21"/>
      <c r="N753" s="97"/>
      <c r="O753" s="76"/>
      <c r="P753" s="76"/>
      <c r="Q753" s="76"/>
    </row>
    <row r="754" ht="15.75" customHeight="1">
      <c r="K754" s="21"/>
      <c r="L754" s="21"/>
      <c r="M754" s="21"/>
      <c r="N754" s="97"/>
      <c r="O754" s="76"/>
      <c r="P754" s="76"/>
      <c r="Q754" s="76"/>
    </row>
    <row r="755" ht="15.75" customHeight="1">
      <c r="K755" s="21"/>
      <c r="L755" s="21"/>
      <c r="M755" s="21"/>
      <c r="N755" s="97"/>
      <c r="O755" s="76"/>
      <c r="P755" s="76"/>
      <c r="Q755" s="76"/>
    </row>
    <row r="756" ht="15.75" customHeight="1">
      <c r="K756" s="21"/>
      <c r="L756" s="21"/>
      <c r="M756" s="21"/>
      <c r="N756" s="97"/>
      <c r="O756" s="76"/>
      <c r="P756" s="76"/>
      <c r="Q756" s="76"/>
    </row>
    <row r="757" ht="15.75" customHeight="1">
      <c r="K757" s="21"/>
      <c r="L757" s="21"/>
      <c r="M757" s="21"/>
      <c r="N757" s="97"/>
      <c r="O757" s="76"/>
      <c r="P757" s="76"/>
      <c r="Q757" s="76"/>
    </row>
    <row r="758" ht="15.75" customHeight="1">
      <c r="K758" s="21"/>
      <c r="L758" s="21"/>
      <c r="M758" s="21"/>
      <c r="N758" s="97"/>
      <c r="O758" s="76"/>
      <c r="P758" s="76"/>
      <c r="Q758" s="76"/>
    </row>
    <row r="759" ht="15.75" customHeight="1">
      <c r="K759" s="21"/>
      <c r="L759" s="21"/>
      <c r="M759" s="21"/>
      <c r="N759" s="97"/>
      <c r="O759" s="76"/>
      <c r="P759" s="76"/>
      <c r="Q759" s="76"/>
    </row>
    <row r="760" ht="15.75" customHeight="1">
      <c r="K760" s="21"/>
      <c r="L760" s="21"/>
      <c r="M760" s="21"/>
      <c r="N760" s="97"/>
      <c r="O760" s="76"/>
      <c r="P760" s="76"/>
      <c r="Q760" s="76"/>
    </row>
    <row r="761" ht="15.75" customHeight="1">
      <c r="K761" s="21"/>
      <c r="L761" s="21"/>
      <c r="M761" s="21"/>
      <c r="N761" s="97"/>
      <c r="O761" s="76"/>
      <c r="P761" s="76"/>
      <c r="Q761" s="76"/>
    </row>
    <row r="762" ht="15.75" customHeight="1">
      <c r="K762" s="21"/>
      <c r="L762" s="21"/>
      <c r="M762" s="21"/>
      <c r="N762" s="97"/>
      <c r="O762" s="76"/>
      <c r="P762" s="76"/>
      <c r="Q762" s="76"/>
    </row>
    <row r="763" ht="15.75" customHeight="1">
      <c r="K763" s="21"/>
      <c r="L763" s="21"/>
      <c r="M763" s="21"/>
      <c r="N763" s="97"/>
      <c r="O763" s="76"/>
      <c r="P763" s="76"/>
      <c r="Q763" s="76"/>
    </row>
    <row r="764" ht="15.75" customHeight="1">
      <c r="K764" s="21"/>
      <c r="L764" s="21"/>
      <c r="M764" s="21"/>
      <c r="N764" s="97"/>
      <c r="O764" s="76"/>
      <c r="P764" s="76"/>
      <c r="Q764" s="76"/>
    </row>
    <row r="765" ht="15.75" customHeight="1">
      <c r="K765" s="21"/>
      <c r="L765" s="21"/>
      <c r="M765" s="21"/>
      <c r="N765" s="97"/>
      <c r="O765" s="76"/>
      <c r="P765" s="76"/>
      <c r="Q765" s="76"/>
    </row>
    <row r="766" ht="15.75" customHeight="1">
      <c r="K766" s="21"/>
      <c r="L766" s="21"/>
      <c r="M766" s="21"/>
      <c r="N766" s="97"/>
      <c r="O766" s="76"/>
      <c r="P766" s="76"/>
      <c r="Q766" s="76"/>
    </row>
    <row r="767" ht="15.75" customHeight="1">
      <c r="K767" s="21"/>
      <c r="L767" s="21"/>
      <c r="M767" s="21"/>
      <c r="N767" s="97"/>
      <c r="O767" s="76"/>
      <c r="P767" s="76"/>
      <c r="Q767" s="76"/>
    </row>
    <row r="768" ht="15.75" customHeight="1">
      <c r="K768" s="21"/>
      <c r="L768" s="21"/>
      <c r="M768" s="21"/>
      <c r="N768" s="97"/>
      <c r="O768" s="76"/>
      <c r="P768" s="76"/>
      <c r="Q768" s="76"/>
    </row>
    <row r="769" ht="15.75" customHeight="1">
      <c r="K769" s="21"/>
      <c r="L769" s="21"/>
      <c r="M769" s="21"/>
      <c r="N769" s="97"/>
      <c r="O769" s="76"/>
      <c r="P769" s="76"/>
      <c r="Q769" s="76"/>
    </row>
    <row r="770" ht="15.75" customHeight="1">
      <c r="K770" s="21"/>
      <c r="L770" s="21"/>
      <c r="M770" s="21"/>
      <c r="N770" s="97"/>
      <c r="O770" s="76"/>
      <c r="P770" s="76"/>
      <c r="Q770" s="76"/>
    </row>
    <row r="771" ht="15.75" customHeight="1">
      <c r="K771" s="21"/>
      <c r="L771" s="21"/>
      <c r="M771" s="21"/>
      <c r="N771" s="97"/>
      <c r="O771" s="76"/>
      <c r="P771" s="76"/>
      <c r="Q771" s="76"/>
    </row>
    <row r="772" ht="15.75" customHeight="1">
      <c r="K772" s="21"/>
      <c r="L772" s="21"/>
      <c r="M772" s="21"/>
      <c r="N772" s="97"/>
      <c r="O772" s="76"/>
      <c r="P772" s="76"/>
      <c r="Q772" s="76"/>
    </row>
    <row r="773" ht="15.75" customHeight="1">
      <c r="K773" s="21"/>
      <c r="L773" s="21"/>
      <c r="M773" s="21"/>
      <c r="N773" s="97"/>
      <c r="O773" s="76"/>
      <c r="P773" s="76"/>
      <c r="Q773" s="76"/>
    </row>
    <row r="774" ht="15.75" customHeight="1">
      <c r="K774" s="21"/>
      <c r="L774" s="21"/>
      <c r="M774" s="21"/>
      <c r="N774" s="97"/>
      <c r="O774" s="76"/>
      <c r="P774" s="76"/>
      <c r="Q774" s="76"/>
    </row>
    <row r="775" ht="15.75" customHeight="1">
      <c r="K775" s="21"/>
      <c r="L775" s="21"/>
      <c r="M775" s="21"/>
      <c r="N775" s="97"/>
      <c r="O775" s="76"/>
      <c r="P775" s="76"/>
      <c r="Q775" s="76"/>
    </row>
    <row r="776" ht="15.75" customHeight="1">
      <c r="K776" s="21"/>
      <c r="L776" s="21"/>
      <c r="M776" s="21"/>
      <c r="N776" s="97"/>
      <c r="O776" s="76"/>
      <c r="P776" s="76"/>
      <c r="Q776" s="76"/>
    </row>
    <row r="777" ht="15.75" customHeight="1">
      <c r="K777" s="21"/>
      <c r="L777" s="21"/>
      <c r="M777" s="21"/>
      <c r="N777" s="97"/>
      <c r="O777" s="76"/>
      <c r="P777" s="76"/>
      <c r="Q777" s="76"/>
    </row>
    <row r="778" ht="15.75" customHeight="1">
      <c r="K778" s="21"/>
      <c r="L778" s="21"/>
      <c r="M778" s="21"/>
      <c r="N778" s="97"/>
      <c r="O778" s="76"/>
      <c r="P778" s="76"/>
      <c r="Q778" s="76"/>
    </row>
    <row r="779" ht="15.75" customHeight="1">
      <c r="K779" s="21"/>
      <c r="L779" s="21"/>
      <c r="M779" s="21"/>
      <c r="N779" s="97"/>
      <c r="O779" s="76"/>
      <c r="P779" s="76"/>
      <c r="Q779" s="76"/>
    </row>
    <row r="780" ht="15.75" customHeight="1">
      <c r="K780" s="21"/>
      <c r="L780" s="21"/>
      <c r="M780" s="21"/>
      <c r="N780" s="97"/>
      <c r="O780" s="76"/>
      <c r="P780" s="76"/>
      <c r="Q780" s="76"/>
    </row>
    <row r="781" ht="15.75" customHeight="1">
      <c r="K781" s="21"/>
      <c r="L781" s="21"/>
      <c r="M781" s="21"/>
      <c r="N781" s="97"/>
      <c r="O781" s="76"/>
      <c r="P781" s="76"/>
      <c r="Q781" s="76"/>
    </row>
    <row r="782" ht="15.75" customHeight="1">
      <c r="K782" s="21"/>
      <c r="L782" s="21"/>
      <c r="M782" s="21"/>
      <c r="N782" s="97"/>
      <c r="O782" s="76"/>
      <c r="P782" s="76"/>
      <c r="Q782" s="76"/>
    </row>
    <row r="783" ht="15.75" customHeight="1">
      <c r="K783" s="21"/>
      <c r="L783" s="21"/>
      <c r="M783" s="21"/>
      <c r="N783" s="97"/>
      <c r="O783" s="76"/>
      <c r="P783" s="76"/>
      <c r="Q783" s="76"/>
    </row>
    <row r="784" ht="15.75" customHeight="1">
      <c r="K784" s="21"/>
      <c r="L784" s="21"/>
      <c r="M784" s="21"/>
      <c r="N784" s="97"/>
      <c r="O784" s="76"/>
      <c r="P784" s="76"/>
      <c r="Q784" s="76"/>
    </row>
    <row r="785" ht="15.75" customHeight="1">
      <c r="K785" s="21"/>
      <c r="L785" s="21"/>
      <c r="M785" s="21"/>
      <c r="N785" s="97"/>
      <c r="O785" s="76"/>
      <c r="P785" s="76"/>
      <c r="Q785" s="76"/>
    </row>
    <row r="786" ht="15.75" customHeight="1">
      <c r="K786" s="21"/>
      <c r="L786" s="21"/>
      <c r="M786" s="21"/>
      <c r="N786" s="97"/>
      <c r="O786" s="76"/>
      <c r="P786" s="76"/>
      <c r="Q786" s="76"/>
    </row>
    <row r="787" ht="15.75" customHeight="1">
      <c r="K787" s="21"/>
      <c r="L787" s="21"/>
      <c r="M787" s="21"/>
      <c r="N787" s="97"/>
      <c r="O787" s="76"/>
      <c r="P787" s="76"/>
      <c r="Q787" s="76"/>
    </row>
    <row r="788" ht="15.75" customHeight="1">
      <c r="K788" s="21"/>
      <c r="L788" s="21"/>
      <c r="M788" s="21"/>
      <c r="N788" s="97"/>
      <c r="O788" s="76"/>
      <c r="P788" s="76"/>
      <c r="Q788" s="76"/>
    </row>
    <row r="789" ht="15.75" customHeight="1">
      <c r="K789" s="21"/>
      <c r="L789" s="21"/>
      <c r="M789" s="21"/>
      <c r="N789" s="97"/>
      <c r="O789" s="76"/>
      <c r="P789" s="76"/>
      <c r="Q789" s="76"/>
    </row>
    <row r="790" ht="15.75" customHeight="1">
      <c r="K790" s="21"/>
      <c r="L790" s="21"/>
      <c r="M790" s="21"/>
      <c r="N790" s="97"/>
      <c r="O790" s="76"/>
      <c r="P790" s="76"/>
      <c r="Q790" s="76"/>
    </row>
    <row r="791" ht="15.75" customHeight="1">
      <c r="K791" s="21"/>
      <c r="L791" s="21"/>
      <c r="M791" s="21"/>
      <c r="N791" s="97"/>
      <c r="O791" s="76"/>
      <c r="P791" s="76"/>
      <c r="Q791" s="76"/>
    </row>
    <row r="792" ht="15.75" customHeight="1">
      <c r="K792" s="21"/>
      <c r="L792" s="21"/>
      <c r="M792" s="21"/>
      <c r="N792" s="97"/>
      <c r="O792" s="76"/>
      <c r="P792" s="76"/>
      <c r="Q792" s="76"/>
    </row>
    <row r="793" ht="15.75" customHeight="1">
      <c r="K793" s="21"/>
      <c r="L793" s="21"/>
      <c r="M793" s="21"/>
      <c r="N793" s="97"/>
      <c r="O793" s="76"/>
      <c r="P793" s="76"/>
      <c r="Q793" s="76"/>
    </row>
    <row r="794" ht="15.75" customHeight="1">
      <c r="K794" s="21"/>
      <c r="L794" s="21"/>
      <c r="M794" s="21"/>
      <c r="N794" s="97"/>
      <c r="O794" s="76"/>
      <c r="P794" s="76"/>
      <c r="Q794" s="76"/>
    </row>
    <row r="795" ht="15.75" customHeight="1">
      <c r="K795" s="21"/>
      <c r="L795" s="21"/>
      <c r="M795" s="21"/>
      <c r="N795" s="97"/>
      <c r="O795" s="76"/>
      <c r="P795" s="76"/>
      <c r="Q795" s="76"/>
    </row>
    <row r="796" ht="15.75" customHeight="1">
      <c r="K796" s="21"/>
      <c r="L796" s="21"/>
      <c r="M796" s="21"/>
      <c r="N796" s="97"/>
      <c r="O796" s="76"/>
      <c r="P796" s="76"/>
      <c r="Q796" s="76"/>
    </row>
    <row r="797" ht="15.75" customHeight="1">
      <c r="K797" s="21"/>
      <c r="L797" s="21"/>
      <c r="M797" s="21"/>
      <c r="N797" s="97"/>
      <c r="O797" s="76"/>
      <c r="P797" s="76"/>
      <c r="Q797" s="76"/>
    </row>
    <row r="798" ht="15.75" customHeight="1">
      <c r="K798" s="21"/>
      <c r="L798" s="21"/>
      <c r="M798" s="21"/>
      <c r="N798" s="97"/>
      <c r="O798" s="76"/>
      <c r="P798" s="76"/>
      <c r="Q798" s="76"/>
    </row>
    <row r="799" ht="15.75" customHeight="1">
      <c r="K799" s="21"/>
      <c r="L799" s="21"/>
      <c r="M799" s="21"/>
      <c r="N799" s="97"/>
      <c r="O799" s="76"/>
      <c r="P799" s="76"/>
      <c r="Q799" s="76"/>
    </row>
    <row r="800" ht="15.75" customHeight="1">
      <c r="K800" s="21"/>
      <c r="L800" s="21"/>
      <c r="M800" s="21"/>
      <c r="N800" s="97"/>
      <c r="O800" s="76"/>
      <c r="P800" s="76"/>
      <c r="Q800" s="76"/>
    </row>
    <row r="801" ht="15.75" customHeight="1">
      <c r="K801" s="21"/>
      <c r="L801" s="21"/>
      <c r="M801" s="21"/>
      <c r="N801" s="97"/>
      <c r="O801" s="76"/>
      <c r="P801" s="76"/>
      <c r="Q801" s="76"/>
    </row>
    <row r="802" ht="15.75" customHeight="1">
      <c r="K802" s="21"/>
      <c r="L802" s="21"/>
      <c r="M802" s="21"/>
      <c r="N802" s="97"/>
      <c r="O802" s="76"/>
      <c r="P802" s="76"/>
      <c r="Q802" s="76"/>
    </row>
    <row r="803" ht="15.75" customHeight="1">
      <c r="K803" s="21"/>
      <c r="L803" s="21"/>
      <c r="M803" s="21"/>
      <c r="N803" s="97"/>
      <c r="O803" s="76"/>
      <c r="P803" s="76"/>
      <c r="Q803" s="76"/>
    </row>
    <row r="804" ht="15.75" customHeight="1">
      <c r="K804" s="21"/>
      <c r="L804" s="21"/>
      <c r="M804" s="21"/>
      <c r="N804" s="97"/>
      <c r="O804" s="76"/>
      <c r="P804" s="76"/>
      <c r="Q804" s="76"/>
    </row>
    <row r="805" ht="15.75" customHeight="1">
      <c r="K805" s="21"/>
      <c r="L805" s="21"/>
      <c r="M805" s="21"/>
      <c r="N805" s="97"/>
      <c r="O805" s="76"/>
      <c r="P805" s="76"/>
      <c r="Q805" s="76"/>
    </row>
    <row r="806" ht="15.75" customHeight="1">
      <c r="K806" s="21"/>
      <c r="L806" s="21"/>
      <c r="M806" s="21"/>
      <c r="N806" s="97"/>
      <c r="O806" s="76"/>
      <c r="P806" s="76"/>
      <c r="Q806" s="76"/>
    </row>
    <row r="807" ht="15.75" customHeight="1">
      <c r="K807" s="21"/>
      <c r="L807" s="21"/>
      <c r="M807" s="21"/>
      <c r="N807" s="97"/>
      <c r="O807" s="76"/>
      <c r="P807" s="76"/>
      <c r="Q807" s="76"/>
    </row>
    <row r="808" ht="15.75" customHeight="1">
      <c r="K808" s="21"/>
      <c r="L808" s="21"/>
      <c r="M808" s="21"/>
      <c r="N808" s="97"/>
      <c r="O808" s="76"/>
      <c r="P808" s="76"/>
      <c r="Q808" s="76"/>
    </row>
    <row r="809" ht="15.75" customHeight="1">
      <c r="K809" s="21"/>
      <c r="L809" s="21"/>
      <c r="M809" s="21"/>
      <c r="N809" s="97"/>
      <c r="O809" s="76"/>
      <c r="P809" s="76"/>
      <c r="Q809" s="76"/>
    </row>
    <row r="810" ht="15.75" customHeight="1">
      <c r="K810" s="21"/>
      <c r="L810" s="21"/>
      <c r="M810" s="21"/>
      <c r="N810" s="97"/>
      <c r="O810" s="76"/>
      <c r="P810" s="76"/>
      <c r="Q810" s="76"/>
    </row>
    <row r="811" ht="15.75" customHeight="1">
      <c r="K811" s="21"/>
      <c r="L811" s="21"/>
      <c r="M811" s="21"/>
      <c r="N811" s="97"/>
      <c r="O811" s="76"/>
      <c r="P811" s="76"/>
      <c r="Q811" s="76"/>
    </row>
    <row r="812" ht="15.75" customHeight="1">
      <c r="K812" s="21"/>
      <c r="L812" s="21"/>
      <c r="M812" s="21"/>
      <c r="N812" s="97"/>
      <c r="O812" s="76"/>
      <c r="P812" s="76"/>
      <c r="Q812" s="76"/>
    </row>
    <row r="813" ht="15.75" customHeight="1">
      <c r="K813" s="21"/>
      <c r="L813" s="21"/>
      <c r="M813" s="21"/>
      <c r="N813" s="97"/>
      <c r="O813" s="76"/>
      <c r="P813" s="76"/>
      <c r="Q813" s="76"/>
    </row>
    <row r="814" ht="15.75" customHeight="1">
      <c r="K814" s="21"/>
      <c r="L814" s="21"/>
      <c r="M814" s="21"/>
      <c r="N814" s="97"/>
      <c r="O814" s="76"/>
      <c r="P814" s="76"/>
      <c r="Q814" s="76"/>
    </row>
    <row r="815" ht="15.75" customHeight="1">
      <c r="K815" s="21"/>
      <c r="L815" s="21"/>
      <c r="M815" s="21"/>
      <c r="N815" s="97"/>
      <c r="O815" s="76"/>
      <c r="P815" s="76"/>
      <c r="Q815" s="76"/>
    </row>
    <row r="816" ht="15.75" customHeight="1">
      <c r="K816" s="21"/>
      <c r="L816" s="21"/>
      <c r="M816" s="21"/>
      <c r="N816" s="97"/>
      <c r="O816" s="76"/>
      <c r="P816" s="76"/>
      <c r="Q816" s="76"/>
    </row>
    <row r="817" ht="15.75" customHeight="1">
      <c r="K817" s="21"/>
      <c r="L817" s="21"/>
      <c r="M817" s="21"/>
      <c r="N817" s="97"/>
      <c r="O817" s="76"/>
      <c r="P817" s="76"/>
      <c r="Q817" s="76"/>
    </row>
    <row r="818" ht="15.75" customHeight="1">
      <c r="K818" s="21"/>
      <c r="L818" s="21"/>
      <c r="M818" s="21"/>
      <c r="N818" s="97"/>
      <c r="O818" s="76"/>
      <c r="P818" s="76"/>
      <c r="Q818" s="76"/>
    </row>
    <row r="819" ht="15.75" customHeight="1">
      <c r="K819" s="21"/>
      <c r="L819" s="21"/>
      <c r="M819" s="21"/>
      <c r="N819" s="97"/>
      <c r="O819" s="76"/>
      <c r="P819" s="76"/>
      <c r="Q819" s="76"/>
    </row>
    <row r="820" ht="15.75" customHeight="1">
      <c r="K820" s="21"/>
      <c r="L820" s="21"/>
      <c r="M820" s="21"/>
      <c r="N820" s="97"/>
      <c r="O820" s="76"/>
      <c r="P820" s="76"/>
      <c r="Q820" s="76"/>
    </row>
    <row r="821" ht="15.75" customHeight="1">
      <c r="K821" s="21"/>
      <c r="L821" s="21"/>
      <c r="M821" s="21"/>
      <c r="N821" s="97"/>
      <c r="O821" s="76"/>
      <c r="P821" s="76"/>
      <c r="Q821" s="76"/>
    </row>
    <row r="822" ht="15.75" customHeight="1">
      <c r="K822" s="21"/>
      <c r="L822" s="21"/>
      <c r="M822" s="21"/>
      <c r="N822" s="97"/>
      <c r="O822" s="76"/>
      <c r="P822" s="76"/>
      <c r="Q822" s="76"/>
    </row>
    <row r="823" ht="15.75" customHeight="1">
      <c r="K823" s="21"/>
      <c r="L823" s="21"/>
      <c r="M823" s="21"/>
      <c r="N823" s="97"/>
      <c r="O823" s="76"/>
      <c r="P823" s="76"/>
      <c r="Q823" s="76"/>
    </row>
    <row r="824" ht="15.75" customHeight="1">
      <c r="K824" s="21"/>
      <c r="L824" s="21"/>
      <c r="M824" s="21"/>
      <c r="N824" s="97"/>
      <c r="O824" s="76"/>
      <c r="P824" s="76"/>
      <c r="Q824" s="76"/>
    </row>
    <row r="825" ht="15.75" customHeight="1">
      <c r="K825" s="21"/>
      <c r="L825" s="21"/>
      <c r="M825" s="21"/>
      <c r="N825" s="97"/>
      <c r="O825" s="76"/>
      <c r="P825" s="76"/>
      <c r="Q825" s="76"/>
    </row>
    <row r="826" ht="15.75" customHeight="1">
      <c r="K826" s="21"/>
      <c r="L826" s="21"/>
      <c r="M826" s="21"/>
      <c r="N826" s="97"/>
      <c r="O826" s="76"/>
      <c r="P826" s="76"/>
      <c r="Q826" s="76"/>
    </row>
    <row r="827" ht="15.75" customHeight="1">
      <c r="K827" s="21"/>
      <c r="L827" s="21"/>
      <c r="M827" s="21"/>
      <c r="N827" s="97"/>
      <c r="O827" s="76"/>
      <c r="P827" s="76"/>
      <c r="Q827" s="76"/>
    </row>
    <row r="828" ht="15.75" customHeight="1">
      <c r="K828" s="21"/>
      <c r="L828" s="21"/>
      <c r="M828" s="21"/>
      <c r="N828" s="97"/>
      <c r="O828" s="76"/>
      <c r="P828" s="76"/>
      <c r="Q828" s="76"/>
    </row>
    <row r="829" ht="15.75" customHeight="1">
      <c r="K829" s="21"/>
      <c r="L829" s="21"/>
      <c r="M829" s="21"/>
      <c r="N829" s="97"/>
      <c r="O829" s="76"/>
      <c r="P829" s="76"/>
      <c r="Q829" s="76"/>
    </row>
    <row r="830" ht="15.75" customHeight="1">
      <c r="K830" s="21"/>
      <c r="L830" s="21"/>
      <c r="M830" s="21"/>
      <c r="N830" s="97"/>
      <c r="O830" s="76"/>
      <c r="P830" s="76"/>
      <c r="Q830" s="76"/>
    </row>
    <row r="831" ht="15.75" customHeight="1">
      <c r="K831" s="21"/>
      <c r="L831" s="21"/>
      <c r="M831" s="21"/>
      <c r="N831" s="97"/>
      <c r="O831" s="76"/>
      <c r="P831" s="76"/>
      <c r="Q831" s="76"/>
    </row>
    <row r="832" ht="15.75" customHeight="1">
      <c r="K832" s="21"/>
      <c r="L832" s="21"/>
      <c r="M832" s="21"/>
      <c r="N832" s="97"/>
      <c r="O832" s="76"/>
      <c r="P832" s="76"/>
      <c r="Q832" s="76"/>
    </row>
    <row r="833" ht="15.75" customHeight="1">
      <c r="K833" s="21"/>
      <c r="L833" s="21"/>
      <c r="M833" s="21"/>
      <c r="N833" s="97"/>
      <c r="O833" s="76"/>
      <c r="P833" s="76"/>
      <c r="Q833" s="76"/>
    </row>
    <row r="834" ht="15.75" customHeight="1">
      <c r="K834" s="21"/>
      <c r="L834" s="21"/>
      <c r="M834" s="21"/>
      <c r="N834" s="97"/>
      <c r="O834" s="76"/>
      <c r="P834" s="76"/>
      <c r="Q834" s="76"/>
    </row>
    <row r="835" ht="15.75" customHeight="1">
      <c r="K835" s="21"/>
      <c r="L835" s="21"/>
      <c r="M835" s="21"/>
      <c r="N835" s="97"/>
      <c r="O835" s="76"/>
      <c r="P835" s="76"/>
      <c r="Q835" s="76"/>
    </row>
    <row r="836" ht="15.75" customHeight="1">
      <c r="K836" s="21"/>
      <c r="L836" s="21"/>
      <c r="M836" s="21"/>
      <c r="N836" s="97"/>
      <c r="O836" s="76"/>
      <c r="P836" s="76"/>
      <c r="Q836" s="76"/>
    </row>
    <row r="837" ht="15.75" customHeight="1">
      <c r="K837" s="21"/>
      <c r="L837" s="21"/>
      <c r="M837" s="21"/>
      <c r="N837" s="97"/>
      <c r="O837" s="76"/>
      <c r="P837" s="76"/>
      <c r="Q837" s="76"/>
    </row>
    <row r="838" ht="15.75" customHeight="1">
      <c r="K838" s="21"/>
      <c r="L838" s="21"/>
      <c r="M838" s="21"/>
      <c r="N838" s="97"/>
      <c r="O838" s="76"/>
      <c r="P838" s="76"/>
      <c r="Q838" s="76"/>
    </row>
    <row r="839" ht="15.75" customHeight="1">
      <c r="K839" s="21"/>
      <c r="L839" s="21"/>
      <c r="M839" s="21"/>
      <c r="N839" s="97"/>
      <c r="O839" s="76"/>
      <c r="P839" s="76"/>
      <c r="Q839" s="76"/>
    </row>
    <row r="840" ht="15.75" customHeight="1">
      <c r="K840" s="21"/>
      <c r="L840" s="21"/>
      <c r="M840" s="21"/>
      <c r="N840" s="97"/>
      <c r="O840" s="76"/>
      <c r="P840" s="76"/>
      <c r="Q840" s="76"/>
    </row>
    <row r="841" ht="15.75" customHeight="1">
      <c r="K841" s="21"/>
      <c r="L841" s="21"/>
      <c r="M841" s="21"/>
      <c r="N841" s="97"/>
      <c r="O841" s="76"/>
      <c r="P841" s="76"/>
      <c r="Q841" s="76"/>
    </row>
    <row r="842" ht="15.75" customHeight="1">
      <c r="K842" s="21"/>
      <c r="L842" s="21"/>
      <c r="M842" s="21"/>
      <c r="N842" s="97"/>
      <c r="O842" s="76"/>
      <c r="P842" s="76"/>
      <c r="Q842" s="76"/>
    </row>
    <row r="843" ht="15.75" customHeight="1">
      <c r="K843" s="21"/>
      <c r="L843" s="21"/>
      <c r="M843" s="21"/>
      <c r="N843" s="97"/>
      <c r="O843" s="76"/>
      <c r="P843" s="76"/>
      <c r="Q843" s="76"/>
    </row>
    <row r="844" ht="15.75" customHeight="1">
      <c r="K844" s="21"/>
      <c r="L844" s="21"/>
      <c r="M844" s="21"/>
      <c r="N844" s="97"/>
      <c r="O844" s="76"/>
      <c r="P844" s="76"/>
      <c r="Q844" s="76"/>
    </row>
    <row r="845" ht="15.75" customHeight="1">
      <c r="K845" s="21"/>
      <c r="L845" s="21"/>
      <c r="M845" s="21"/>
      <c r="N845" s="97"/>
      <c r="O845" s="76"/>
      <c r="P845" s="76"/>
      <c r="Q845" s="76"/>
    </row>
    <row r="846" ht="15.75" customHeight="1">
      <c r="K846" s="21"/>
      <c r="L846" s="21"/>
      <c r="M846" s="21"/>
      <c r="N846" s="97"/>
      <c r="O846" s="76"/>
      <c r="P846" s="76"/>
      <c r="Q846" s="76"/>
    </row>
    <row r="847" ht="15.75" customHeight="1">
      <c r="K847" s="21"/>
      <c r="L847" s="21"/>
      <c r="M847" s="21"/>
      <c r="N847" s="97"/>
      <c r="O847" s="76"/>
      <c r="P847" s="76"/>
      <c r="Q847" s="76"/>
    </row>
    <row r="848" ht="15.75" customHeight="1">
      <c r="K848" s="21"/>
      <c r="L848" s="21"/>
      <c r="M848" s="21"/>
      <c r="N848" s="97"/>
      <c r="O848" s="76"/>
      <c r="P848" s="76"/>
      <c r="Q848" s="76"/>
    </row>
    <row r="849" ht="15.75" customHeight="1">
      <c r="K849" s="21"/>
      <c r="L849" s="21"/>
      <c r="M849" s="21"/>
      <c r="N849" s="97"/>
      <c r="O849" s="76"/>
      <c r="P849" s="76"/>
      <c r="Q849" s="76"/>
    </row>
    <row r="850" ht="15.75" customHeight="1">
      <c r="K850" s="21"/>
      <c r="L850" s="21"/>
      <c r="M850" s="21"/>
      <c r="N850" s="97"/>
      <c r="O850" s="76"/>
      <c r="P850" s="76"/>
      <c r="Q850" s="76"/>
    </row>
    <row r="851" ht="15.75" customHeight="1">
      <c r="K851" s="21"/>
      <c r="L851" s="21"/>
      <c r="M851" s="21"/>
      <c r="N851" s="97"/>
      <c r="O851" s="76"/>
      <c r="P851" s="76"/>
      <c r="Q851" s="76"/>
    </row>
    <row r="852" ht="15.75" customHeight="1">
      <c r="K852" s="21"/>
      <c r="L852" s="21"/>
      <c r="M852" s="21"/>
      <c r="N852" s="97"/>
      <c r="O852" s="76"/>
      <c r="P852" s="76"/>
      <c r="Q852" s="76"/>
    </row>
    <row r="853" ht="15.75" customHeight="1">
      <c r="K853" s="21"/>
      <c r="L853" s="21"/>
      <c r="M853" s="21"/>
      <c r="N853" s="97"/>
      <c r="O853" s="76"/>
      <c r="P853" s="76"/>
      <c r="Q853" s="76"/>
    </row>
    <row r="854" ht="15.75" customHeight="1">
      <c r="K854" s="21"/>
      <c r="L854" s="21"/>
      <c r="M854" s="21"/>
      <c r="N854" s="97"/>
      <c r="O854" s="76"/>
      <c r="P854" s="76"/>
      <c r="Q854" s="76"/>
    </row>
    <row r="855" ht="15.75" customHeight="1">
      <c r="K855" s="21"/>
      <c r="L855" s="21"/>
      <c r="M855" s="21"/>
      <c r="N855" s="97"/>
      <c r="O855" s="76"/>
      <c r="P855" s="76"/>
      <c r="Q855" s="76"/>
    </row>
    <row r="856" ht="15.75" customHeight="1">
      <c r="K856" s="21"/>
      <c r="L856" s="21"/>
      <c r="M856" s="21"/>
      <c r="N856" s="97"/>
      <c r="O856" s="76"/>
      <c r="P856" s="76"/>
      <c r="Q856" s="76"/>
    </row>
    <row r="857" ht="15.75" customHeight="1">
      <c r="K857" s="21"/>
      <c r="L857" s="21"/>
      <c r="M857" s="21"/>
      <c r="N857" s="97"/>
      <c r="O857" s="76"/>
      <c r="P857" s="76"/>
      <c r="Q857" s="76"/>
    </row>
    <row r="858" ht="15.75" customHeight="1">
      <c r="K858" s="21"/>
      <c r="L858" s="21"/>
      <c r="M858" s="21"/>
      <c r="N858" s="97"/>
      <c r="O858" s="76"/>
      <c r="P858" s="76"/>
      <c r="Q858" s="76"/>
    </row>
    <row r="859" ht="15.75" customHeight="1">
      <c r="K859" s="21"/>
      <c r="L859" s="21"/>
      <c r="M859" s="21"/>
      <c r="N859" s="97"/>
      <c r="O859" s="76"/>
      <c r="P859" s="76"/>
      <c r="Q859" s="76"/>
    </row>
    <row r="860" ht="15.75" customHeight="1">
      <c r="K860" s="21"/>
      <c r="L860" s="21"/>
      <c r="M860" s="21"/>
      <c r="N860" s="97"/>
      <c r="O860" s="76"/>
      <c r="P860" s="76"/>
      <c r="Q860" s="76"/>
    </row>
    <row r="861" ht="15.75" customHeight="1">
      <c r="K861" s="21"/>
      <c r="L861" s="21"/>
      <c r="M861" s="21"/>
      <c r="N861" s="97"/>
      <c r="O861" s="76"/>
      <c r="P861" s="76"/>
      <c r="Q861" s="76"/>
    </row>
    <row r="862" ht="15.75" customHeight="1">
      <c r="K862" s="21"/>
      <c r="L862" s="21"/>
      <c r="M862" s="21"/>
      <c r="N862" s="97"/>
      <c r="O862" s="76"/>
      <c r="P862" s="76"/>
      <c r="Q862" s="76"/>
    </row>
    <row r="863" ht="15.75" customHeight="1">
      <c r="K863" s="21"/>
      <c r="L863" s="21"/>
      <c r="M863" s="21"/>
      <c r="N863" s="97"/>
      <c r="O863" s="76"/>
      <c r="P863" s="76"/>
      <c r="Q863" s="76"/>
    </row>
    <row r="864" ht="15.75" customHeight="1">
      <c r="K864" s="21"/>
      <c r="L864" s="21"/>
      <c r="M864" s="21"/>
      <c r="N864" s="97"/>
      <c r="O864" s="76"/>
      <c r="P864" s="76"/>
      <c r="Q864" s="76"/>
    </row>
    <row r="865" ht="15.75" customHeight="1">
      <c r="K865" s="21"/>
      <c r="L865" s="21"/>
      <c r="M865" s="21"/>
      <c r="N865" s="97"/>
      <c r="O865" s="76"/>
      <c r="P865" s="76"/>
      <c r="Q865" s="76"/>
    </row>
    <row r="866" ht="15.75" customHeight="1">
      <c r="K866" s="21"/>
      <c r="L866" s="21"/>
      <c r="M866" s="21"/>
      <c r="N866" s="97"/>
      <c r="O866" s="76"/>
      <c r="P866" s="76"/>
      <c r="Q866" s="76"/>
    </row>
    <row r="867" ht="15.75" customHeight="1">
      <c r="K867" s="21"/>
      <c r="L867" s="21"/>
      <c r="M867" s="21"/>
      <c r="N867" s="97"/>
      <c r="O867" s="76"/>
      <c r="P867" s="76"/>
      <c r="Q867" s="76"/>
    </row>
    <row r="868" ht="15.75" customHeight="1">
      <c r="K868" s="21"/>
      <c r="L868" s="21"/>
      <c r="M868" s="21"/>
      <c r="N868" s="97"/>
      <c r="O868" s="76"/>
      <c r="P868" s="76"/>
      <c r="Q868" s="76"/>
    </row>
    <row r="869" ht="15.75" customHeight="1">
      <c r="K869" s="21"/>
      <c r="L869" s="21"/>
      <c r="M869" s="21"/>
      <c r="N869" s="97"/>
      <c r="O869" s="76"/>
      <c r="P869" s="76"/>
      <c r="Q869" s="76"/>
    </row>
    <row r="870" ht="15.75" customHeight="1">
      <c r="K870" s="21"/>
      <c r="L870" s="21"/>
      <c r="M870" s="21"/>
      <c r="N870" s="97"/>
      <c r="O870" s="76"/>
      <c r="P870" s="76"/>
      <c r="Q870" s="76"/>
    </row>
    <row r="871" ht="15.75" customHeight="1">
      <c r="K871" s="21"/>
      <c r="L871" s="21"/>
      <c r="M871" s="21"/>
      <c r="N871" s="97"/>
      <c r="O871" s="76"/>
      <c r="P871" s="76"/>
      <c r="Q871" s="76"/>
    </row>
    <row r="872" ht="15.75" customHeight="1">
      <c r="K872" s="21"/>
      <c r="L872" s="21"/>
      <c r="M872" s="21"/>
      <c r="N872" s="97"/>
      <c r="O872" s="76"/>
      <c r="P872" s="76"/>
      <c r="Q872" s="76"/>
    </row>
    <row r="873" ht="15.75" customHeight="1">
      <c r="K873" s="21"/>
      <c r="L873" s="21"/>
      <c r="M873" s="21"/>
      <c r="N873" s="97"/>
      <c r="O873" s="76"/>
      <c r="P873" s="76"/>
      <c r="Q873" s="76"/>
    </row>
    <row r="874" ht="15.75" customHeight="1">
      <c r="K874" s="21"/>
      <c r="L874" s="21"/>
      <c r="M874" s="21"/>
      <c r="N874" s="97"/>
      <c r="O874" s="76"/>
      <c r="P874" s="76"/>
      <c r="Q874" s="76"/>
    </row>
    <row r="875" ht="15.75" customHeight="1">
      <c r="K875" s="21"/>
      <c r="L875" s="21"/>
      <c r="M875" s="21"/>
      <c r="N875" s="97"/>
      <c r="O875" s="76"/>
      <c r="P875" s="76"/>
      <c r="Q875" s="76"/>
    </row>
    <row r="876" ht="15.75" customHeight="1">
      <c r="K876" s="21"/>
      <c r="L876" s="21"/>
      <c r="M876" s="21"/>
      <c r="N876" s="97"/>
      <c r="O876" s="76"/>
      <c r="P876" s="76"/>
      <c r="Q876" s="76"/>
    </row>
    <row r="877" ht="15.75" customHeight="1">
      <c r="K877" s="21"/>
      <c r="L877" s="21"/>
      <c r="M877" s="21"/>
      <c r="N877" s="97"/>
      <c r="O877" s="76"/>
      <c r="P877" s="76"/>
      <c r="Q877" s="76"/>
    </row>
    <row r="878" ht="15.75" customHeight="1">
      <c r="K878" s="21"/>
      <c r="L878" s="21"/>
      <c r="M878" s="21"/>
      <c r="N878" s="97"/>
      <c r="O878" s="76"/>
      <c r="P878" s="76"/>
      <c r="Q878" s="76"/>
    </row>
    <row r="879" ht="15.75" customHeight="1">
      <c r="K879" s="21"/>
      <c r="L879" s="21"/>
      <c r="M879" s="21"/>
      <c r="N879" s="97"/>
      <c r="O879" s="76"/>
      <c r="P879" s="76"/>
      <c r="Q879" s="76"/>
    </row>
    <row r="880" ht="15.75" customHeight="1">
      <c r="K880" s="21"/>
      <c r="L880" s="21"/>
      <c r="M880" s="21"/>
      <c r="N880" s="97"/>
      <c r="O880" s="76"/>
      <c r="P880" s="76"/>
      <c r="Q880" s="76"/>
    </row>
    <row r="881" ht="15.75" customHeight="1">
      <c r="K881" s="21"/>
      <c r="L881" s="21"/>
      <c r="M881" s="21"/>
      <c r="N881" s="97"/>
      <c r="O881" s="76"/>
      <c r="P881" s="76"/>
      <c r="Q881" s="76"/>
    </row>
    <row r="882" ht="15.75" customHeight="1">
      <c r="K882" s="21"/>
      <c r="L882" s="21"/>
      <c r="M882" s="21"/>
      <c r="N882" s="97"/>
      <c r="O882" s="76"/>
      <c r="P882" s="76"/>
      <c r="Q882" s="76"/>
    </row>
    <row r="883" ht="15.75" customHeight="1">
      <c r="K883" s="21"/>
      <c r="L883" s="21"/>
      <c r="M883" s="21"/>
      <c r="N883" s="97"/>
      <c r="O883" s="76"/>
      <c r="P883" s="76"/>
      <c r="Q883" s="76"/>
    </row>
    <row r="884" ht="15.75" customHeight="1">
      <c r="K884" s="21"/>
      <c r="L884" s="21"/>
      <c r="M884" s="21"/>
      <c r="N884" s="97"/>
      <c r="O884" s="76"/>
      <c r="P884" s="76"/>
      <c r="Q884" s="76"/>
    </row>
    <row r="885" ht="15.75" customHeight="1">
      <c r="K885" s="21"/>
      <c r="L885" s="21"/>
      <c r="M885" s="21"/>
      <c r="N885" s="97"/>
      <c r="O885" s="76"/>
      <c r="P885" s="76"/>
      <c r="Q885" s="76"/>
    </row>
    <row r="886" ht="15.75" customHeight="1">
      <c r="K886" s="21"/>
      <c r="L886" s="21"/>
      <c r="M886" s="21"/>
      <c r="N886" s="97"/>
      <c r="O886" s="76"/>
      <c r="P886" s="76"/>
      <c r="Q886" s="76"/>
    </row>
    <row r="887" ht="15.75" customHeight="1">
      <c r="K887" s="21"/>
      <c r="L887" s="21"/>
      <c r="M887" s="21"/>
      <c r="N887" s="97"/>
      <c r="O887" s="76"/>
      <c r="P887" s="76"/>
      <c r="Q887" s="76"/>
    </row>
    <row r="888" ht="15.75" customHeight="1">
      <c r="K888" s="21"/>
      <c r="L888" s="21"/>
      <c r="M888" s="21"/>
      <c r="N888" s="97"/>
      <c r="O888" s="76"/>
      <c r="P888" s="76"/>
      <c r="Q888" s="76"/>
    </row>
    <row r="889" ht="15.75" customHeight="1">
      <c r="K889" s="21"/>
      <c r="L889" s="21"/>
      <c r="M889" s="21"/>
      <c r="N889" s="97"/>
      <c r="O889" s="76"/>
      <c r="P889" s="76"/>
      <c r="Q889" s="76"/>
    </row>
    <row r="890" ht="15.75" customHeight="1">
      <c r="K890" s="21"/>
      <c r="L890" s="21"/>
      <c r="M890" s="21"/>
      <c r="N890" s="97"/>
      <c r="O890" s="76"/>
      <c r="P890" s="76"/>
      <c r="Q890" s="76"/>
    </row>
    <row r="891" ht="15.75" customHeight="1">
      <c r="K891" s="21"/>
      <c r="L891" s="21"/>
      <c r="M891" s="21"/>
      <c r="N891" s="97"/>
      <c r="O891" s="76"/>
      <c r="P891" s="76"/>
      <c r="Q891" s="76"/>
    </row>
    <row r="892" ht="15.75" customHeight="1">
      <c r="K892" s="21"/>
      <c r="L892" s="21"/>
      <c r="M892" s="21"/>
      <c r="N892" s="97"/>
      <c r="O892" s="76"/>
      <c r="P892" s="76"/>
      <c r="Q892" s="76"/>
    </row>
    <row r="893" ht="15.75" customHeight="1">
      <c r="K893" s="21"/>
      <c r="L893" s="21"/>
      <c r="M893" s="21"/>
      <c r="N893" s="97"/>
      <c r="O893" s="76"/>
      <c r="P893" s="76"/>
      <c r="Q893" s="76"/>
    </row>
    <row r="894" ht="15.75" customHeight="1">
      <c r="K894" s="21"/>
      <c r="L894" s="21"/>
      <c r="M894" s="21"/>
      <c r="N894" s="97"/>
      <c r="O894" s="76"/>
      <c r="P894" s="76"/>
      <c r="Q894" s="76"/>
    </row>
    <row r="895" ht="15.75" customHeight="1">
      <c r="K895" s="21"/>
      <c r="L895" s="21"/>
      <c r="M895" s="21"/>
      <c r="N895" s="97"/>
      <c r="O895" s="76"/>
      <c r="P895" s="76"/>
      <c r="Q895" s="76"/>
    </row>
    <row r="896" ht="15.75" customHeight="1">
      <c r="K896" s="21"/>
      <c r="L896" s="21"/>
      <c r="M896" s="21"/>
      <c r="N896" s="97"/>
      <c r="O896" s="76"/>
      <c r="P896" s="76"/>
      <c r="Q896" s="76"/>
    </row>
    <row r="897" ht="15.75" customHeight="1">
      <c r="K897" s="21"/>
      <c r="L897" s="21"/>
      <c r="M897" s="21"/>
      <c r="N897" s="97"/>
      <c r="O897" s="76"/>
      <c r="P897" s="76"/>
      <c r="Q897" s="76"/>
    </row>
    <row r="898" ht="15.75" customHeight="1">
      <c r="K898" s="21"/>
      <c r="L898" s="21"/>
      <c r="M898" s="21"/>
      <c r="N898" s="97"/>
      <c r="O898" s="76"/>
      <c r="P898" s="76"/>
      <c r="Q898" s="76"/>
    </row>
    <row r="899" ht="15.75" customHeight="1">
      <c r="K899" s="21"/>
      <c r="L899" s="21"/>
      <c r="M899" s="21"/>
      <c r="N899" s="97"/>
      <c r="O899" s="76"/>
      <c r="P899" s="76"/>
      <c r="Q899" s="76"/>
    </row>
    <row r="900" ht="15.75" customHeight="1">
      <c r="K900" s="21"/>
      <c r="L900" s="21"/>
      <c r="M900" s="21"/>
      <c r="N900" s="97"/>
      <c r="O900" s="76"/>
      <c r="P900" s="76"/>
      <c r="Q900" s="76"/>
    </row>
    <row r="901" ht="15.75" customHeight="1">
      <c r="K901" s="21"/>
      <c r="L901" s="21"/>
      <c r="M901" s="21"/>
      <c r="N901" s="97"/>
      <c r="O901" s="76"/>
      <c r="P901" s="76"/>
      <c r="Q901" s="76"/>
    </row>
    <row r="902" ht="15.75" customHeight="1">
      <c r="K902" s="21"/>
      <c r="L902" s="21"/>
      <c r="M902" s="21"/>
      <c r="N902" s="97"/>
      <c r="O902" s="76"/>
      <c r="P902" s="76"/>
      <c r="Q902" s="76"/>
    </row>
    <row r="903" ht="15.75" customHeight="1">
      <c r="K903" s="21"/>
      <c r="L903" s="21"/>
      <c r="M903" s="21"/>
      <c r="N903" s="97"/>
      <c r="O903" s="76"/>
      <c r="P903" s="76"/>
      <c r="Q903" s="76"/>
    </row>
    <row r="904" ht="15.75" customHeight="1">
      <c r="K904" s="21"/>
      <c r="L904" s="21"/>
      <c r="M904" s="21"/>
      <c r="N904" s="97"/>
      <c r="O904" s="76"/>
      <c r="P904" s="76"/>
      <c r="Q904" s="76"/>
    </row>
    <row r="905" ht="15.75" customHeight="1">
      <c r="K905" s="21"/>
      <c r="L905" s="21"/>
      <c r="M905" s="21"/>
      <c r="N905" s="97"/>
      <c r="O905" s="76"/>
      <c r="P905" s="76"/>
      <c r="Q905" s="76"/>
    </row>
    <row r="906" ht="15.75" customHeight="1">
      <c r="K906" s="21"/>
      <c r="L906" s="21"/>
      <c r="M906" s="21"/>
      <c r="N906" s="97"/>
      <c r="O906" s="76"/>
      <c r="P906" s="76"/>
      <c r="Q906" s="76"/>
    </row>
    <row r="907" ht="15.75" customHeight="1">
      <c r="K907" s="21"/>
      <c r="L907" s="21"/>
      <c r="M907" s="21"/>
      <c r="N907" s="97"/>
      <c r="O907" s="76"/>
      <c r="P907" s="76"/>
      <c r="Q907" s="76"/>
    </row>
    <row r="908" ht="15.75" customHeight="1">
      <c r="K908" s="21"/>
      <c r="L908" s="21"/>
      <c r="M908" s="21"/>
      <c r="N908" s="97"/>
      <c r="O908" s="76"/>
      <c r="P908" s="76"/>
      <c r="Q908" s="76"/>
    </row>
    <row r="909" ht="15.75" customHeight="1">
      <c r="K909" s="21"/>
      <c r="L909" s="21"/>
      <c r="M909" s="21"/>
      <c r="N909" s="97"/>
      <c r="O909" s="76"/>
      <c r="P909" s="76"/>
      <c r="Q909" s="76"/>
    </row>
    <row r="910" ht="15.75" customHeight="1">
      <c r="K910" s="21"/>
      <c r="L910" s="21"/>
      <c r="M910" s="21"/>
      <c r="N910" s="97"/>
      <c r="O910" s="76"/>
      <c r="P910" s="76"/>
      <c r="Q910" s="76"/>
    </row>
    <row r="911" ht="15.75" customHeight="1">
      <c r="K911" s="21"/>
      <c r="L911" s="21"/>
      <c r="M911" s="21"/>
      <c r="N911" s="97"/>
      <c r="O911" s="76"/>
      <c r="P911" s="76"/>
      <c r="Q911" s="76"/>
    </row>
    <row r="912" ht="15.75" customHeight="1">
      <c r="K912" s="21"/>
      <c r="L912" s="21"/>
      <c r="M912" s="21"/>
      <c r="N912" s="97"/>
      <c r="O912" s="76"/>
      <c r="P912" s="76"/>
      <c r="Q912" s="76"/>
    </row>
    <row r="913" ht="15.75" customHeight="1">
      <c r="K913" s="21"/>
      <c r="L913" s="21"/>
      <c r="M913" s="21"/>
      <c r="N913" s="97"/>
      <c r="O913" s="76"/>
      <c r="P913" s="76"/>
      <c r="Q913" s="76"/>
    </row>
    <row r="914" ht="15.75" customHeight="1">
      <c r="K914" s="21"/>
      <c r="L914" s="21"/>
      <c r="M914" s="21"/>
      <c r="N914" s="97"/>
      <c r="O914" s="76"/>
      <c r="P914" s="76"/>
      <c r="Q914" s="76"/>
    </row>
    <row r="915" ht="15.75" customHeight="1">
      <c r="K915" s="21"/>
      <c r="L915" s="21"/>
      <c r="M915" s="21"/>
      <c r="N915" s="97"/>
      <c r="O915" s="76"/>
      <c r="P915" s="76"/>
      <c r="Q915" s="76"/>
    </row>
    <row r="916" ht="15.75" customHeight="1">
      <c r="K916" s="21"/>
      <c r="L916" s="21"/>
      <c r="M916" s="21"/>
      <c r="N916" s="97"/>
      <c r="O916" s="76"/>
      <c r="P916" s="76"/>
      <c r="Q916" s="76"/>
    </row>
    <row r="917" ht="15.75" customHeight="1">
      <c r="K917" s="21"/>
      <c r="L917" s="21"/>
      <c r="M917" s="21"/>
      <c r="N917" s="97"/>
      <c r="O917" s="76"/>
      <c r="P917" s="76"/>
      <c r="Q917" s="76"/>
    </row>
    <row r="918" ht="15.75" customHeight="1">
      <c r="K918" s="21"/>
      <c r="L918" s="21"/>
      <c r="M918" s="21"/>
      <c r="N918" s="97"/>
      <c r="O918" s="76"/>
      <c r="P918" s="76"/>
      <c r="Q918" s="76"/>
    </row>
    <row r="919" ht="15.75" customHeight="1">
      <c r="K919" s="21"/>
      <c r="L919" s="21"/>
      <c r="M919" s="21"/>
      <c r="N919" s="97"/>
      <c r="O919" s="76"/>
      <c r="P919" s="76"/>
      <c r="Q919" s="76"/>
    </row>
    <row r="920" ht="15.75" customHeight="1">
      <c r="K920" s="21"/>
      <c r="L920" s="21"/>
      <c r="M920" s="21"/>
      <c r="N920" s="97"/>
      <c r="O920" s="76"/>
      <c r="P920" s="76"/>
      <c r="Q920" s="76"/>
    </row>
    <row r="921" ht="15.75" customHeight="1">
      <c r="K921" s="21"/>
      <c r="L921" s="21"/>
      <c r="M921" s="21"/>
      <c r="N921" s="97"/>
      <c r="O921" s="76"/>
      <c r="P921" s="76"/>
      <c r="Q921" s="76"/>
    </row>
    <row r="922" ht="15.75" customHeight="1">
      <c r="K922" s="21"/>
      <c r="L922" s="21"/>
      <c r="M922" s="21"/>
      <c r="N922" s="97"/>
      <c r="O922" s="76"/>
      <c r="P922" s="76"/>
      <c r="Q922" s="76"/>
    </row>
    <row r="923" ht="15.75" customHeight="1">
      <c r="K923" s="21"/>
      <c r="L923" s="21"/>
      <c r="M923" s="21"/>
      <c r="N923" s="97"/>
      <c r="O923" s="76"/>
      <c r="P923" s="76"/>
      <c r="Q923" s="76"/>
    </row>
    <row r="924" ht="15.75" customHeight="1">
      <c r="K924" s="21"/>
      <c r="L924" s="21"/>
      <c r="M924" s="21"/>
      <c r="N924" s="97"/>
      <c r="O924" s="76"/>
      <c r="P924" s="76"/>
      <c r="Q924" s="76"/>
    </row>
    <row r="925" ht="15.75" customHeight="1">
      <c r="K925" s="21"/>
      <c r="L925" s="21"/>
      <c r="M925" s="21"/>
      <c r="N925" s="97"/>
      <c r="O925" s="76"/>
      <c r="P925" s="76"/>
      <c r="Q925" s="76"/>
    </row>
    <row r="926" ht="15.75" customHeight="1">
      <c r="K926" s="21"/>
      <c r="L926" s="21"/>
      <c r="M926" s="21"/>
      <c r="N926" s="97"/>
      <c r="O926" s="76"/>
      <c r="P926" s="76"/>
      <c r="Q926" s="76"/>
    </row>
    <row r="927" ht="15.75" customHeight="1">
      <c r="K927" s="21"/>
      <c r="L927" s="21"/>
      <c r="M927" s="21"/>
      <c r="N927" s="97"/>
      <c r="O927" s="76"/>
      <c r="P927" s="76"/>
      <c r="Q927" s="76"/>
    </row>
    <row r="928" ht="15.75" customHeight="1">
      <c r="K928" s="21"/>
      <c r="L928" s="21"/>
      <c r="M928" s="21"/>
      <c r="N928" s="97"/>
      <c r="O928" s="76"/>
      <c r="P928" s="76"/>
      <c r="Q928" s="76"/>
    </row>
    <row r="929" ht="15.75" customHeight="1">
      <c r="K929" s="21"/>
      <c r="L929" s="21"/>
      <c r="M929" s="21"/>
      <c r="N929" s="97"/>
      <c r="O929" s="76"/>
      <c r="P929" s="76"/>
      <c r="Q929" s="76"/>
    </row>
    <row r="930" ht="15.75" customHeight="1">
      <c r="K930" s="21"/>
      <c r="L930" s="21"/>
      <c r="M930" s="21"/>
      <c r="N930" s="97"/>
      <c r="O930" s="76"/>
      <c r="P930" s="76"/>
      <c r="Q930" s="76"/>
    </row>
    <row r="931" ht="15.75" customHeight="1">
      <c r="K931" s="21"/>
      <c r="L931" s="21"/>
      <c r="M931" s="21"/>
      <c r="N931" s="97"/>
      <c r="O931" s="76"/>
      <c r="P931" s="76"/>
      <c r="Q931" s="76"/>
    </row>
    <row r="932" ht="15.75" customHeight="1">
      <c r="K932" s="21"/>
      <c r="L932" s="21"/>
      <c r="M932" s="21"/>
      <c r="N932" s="97"/>
      <c r="O932" s="76"/>
      <c r="P932" s="76"/>
      <c r="Q932" s="76"/>
    </row>
    <row r="933" ht="15.75" customHeight="1">
      <c r="K933" s="21"/>
      <c r="L933" s="21"/>
      <c r="M933" s="21"/>
      <c r="N933" s="97"/>
      <c r="O933" s="76"/>
      <c r="P933" s="76"/>
      <c r="Q933" s="76"/>
    </row>
    <row r="934" ht="15.75" customHeight="1">
      <c r="K934" s="21"/>
      <c r="L934" s="21"/>
      <c r="M934" s="21"/>
      <c r="N934" s="97"/>
      <c r="O934" s="76"/>
      <c r="P934" s="76"/>
      <c r="Q934" s="76"/>
    </row>
    <row r="935" ht="15.75" customHeight="1">
      <c r="K935" s="21"/>
      <c r="L935" s="21"/>
      <c r="M935" s="21"/>
      <c r="N935" s="97"/>
      <c r="O935" s="76"/>
      <c r="P935" s="76"/>
      <c r="Q935" s="76"/>
    </row>
    <row r="936" ht="15.75" customHeight="1">
      <c r="K936" s="21"/>
      <c r="L936" s="21"/>
      <c r="M936" s="21"/>
      <c r="N936" s="97"/>
      <c r="O936" s="76"/>
      <c r="P936" s="76"/>
      <c r="Q936" s="76"/>
    </row>
    <row r="937" ht="15.75" customHeight="1">
      <c r="K937" s="21"/>
      <c r="L937" s="21"/>
      <c r="M937" s="21"/>
      <c r="N937" s="97"/>
      <c r="O937" s="76"/>
      <c r="P937" s="76"/>
      <c r="Q937" s="76"/>
    </row>
    <row r="938" ht="15.75" customHeight="1">
      <c r="K938" s="21"/>
      <c r="L938" s="21"/>
      <c r="M938" s="21"/>
      <c r="N938" s="97"/>
      <c r="O938" s="76"/>
      <c r="P938" s="76"/>
      <c r="Q938" s="76"/>
    </row>
    <row r="939" ht="15.75" customHeight="1">
      <c r="K939" s="21"/>
      <c r="L939" s="21"/>
      <c r="M939" s="21"/>
      <c r="N939" s="97"/>
      <c r="O939" s="76"/>
      <c r="P939" s="76"/>
      <c r="Q939" s="76"/>
    </row>
    <row r="940" ht="15.75" customHeight="1">
      <c r="K940" s="21"/>
      <c r="L940" s="21"/>
      <c r="M940" s="21"/>
      <c r="N940" s="97"/>
      <c r="O940" s="76"/>
      <c r="P940" s="76"/>
      <c r="Q940" s="76"/>
    </row>
    <row r="941" ht="15.75" customHeight="1">
      <c r="K941" s="21"/>
      <c r="L941" s="21"/>
      <c r="M941" s="21"/>
      <c r="N941" s="97"/>
      <c r="O941" s="76"/>
      <c r="P941" s="76"/>
      <c r="Q941" s="76"/>
    </row>
    <row r="942" ht="15.75" customHeight="1">
      <c r="K942" s="21"/>
      <c r="L942" s="21"/>
      <c r="M942" s="21"/>
      <c r="N942" s="97"/>
      <c r="O942" s="76"/>
      <c r="P942" s="76"/>
      <c r="Q942" s="76"/>
    </row>
    <row r="943" ht="15.75" customHeight="1">
      <c r="K943" s="21"/>
      <c r="L943" s="21"/>
      <c r="M943" s="21"/>
      <c r="N943" s="97"/>
      <c r="O943" s="76"/>
      <c r="P943" s="76"/>
      <c r="Q943" s="76"/>
    </row>
    <row r="944" ht="15.75" customHeight="1">
      <c r="K944" s="21"/>
      <c r="L944" s="21"/>
      <c r="M944" s="21"/>
      <c r="N944" s="97"/>
      <c r="O944" s="76"/>
      <c r="P944" s="76"/>
      <c r="Q944" s="76"/>
    </row>
    <row r="945" ht="15.75" customHeight="1">
      <c r="K945" s="21"/>
      <c r="L945" s="21"/>
      <c r="M945" s="21"/>
      <c r="N945" s="97"/>
      <c r="O945" s="76"/>
      <c r="P945" s="76"/>
      <c r="Q945" s="76"/>
    </row>
    <row r="946" ht="15.75" customHeight="1">
      <c r="K946" s="21"/>
      <c r="L946" s="21"/>
      <c r="M946" s="21"/>
      <c r="N946" s="97"/>
      <c r="O946" s="76"/>
      <c r="P946" s="76"/>
      <c r="Q946" s="76"/>
    </row>
    <row r="947" ht="15.75" customHeight="1">
      <c r="K947" s="21"/>
      <c r="L947" s="21"/>
      <c r="M947" s="21"/>
      <c r="N947" s="97"/>
      <c r="O947" s="76"/>
      <c r="P947" s="76"/>
      <c r="Q947" s="76"/>
    </row>
    <row r="948" ht="15.75" customHeight="1">
      <c r="K948" s="21"/>
      <c r="L948" s="21"/>
      <c r="M948" s="21"/>
      <c r="N948" s="97"/>
      <c r="O948" s="76"/>
      <c r="P948" s="76"/>
      <c r="Q948" s="76"/>
    </row>
    <row r="949" ht="15.75" customHeight="1">
      <c r="K949" s="21"/>
      <c r="L949" s="21"/>
      <c r="M949" s="21"/>
      <c r="N949" s="97"/>
      <c r="O949" s="76"/>
      <c r="P949" s="76"/>
      <c r="Q949" s="76"/>
    </row>
    <row r="950" ht="15.75" customHeight="1">
      <c r="K950" s="21"/>
      <c r="L950" s="21"/>
      <c r="M950" s="21"/>
      <c r="N950" s="97"/>
      <c r="O950" s="76"/>
      <c r="P950" s="76"/>
      <c r="Q950" s="76"/>
    </row>
    <row r="951" ht="15.75" customHeight="1">
      <c r="K951" s="21"/>
      <c r="L951" s="21"/>
      <c r="M951" s="21"/>
      <c r="N951" s="97"/>
      <c r="O951" s="76"/>
      <c r="P951" s="76"/>
      <c r="Q951" s="76"/>
    </row>
    <row r="952" ht="15.75" customHeight="1">
      <c r="K952" s="21"/>
      <c r="L952" s="21"/>
      <c r="M952" s="21"/>
      <c r="N952" s="97"/>
      <c r="O952" s="76"/>
      <c r="P952" s="76"/>
      <c r="Q952" s="76"/>
    </row>
    <row r="953" ht="15.75" customHeight="1">
      <c r="K953" s="21"/>
      <c r="L953" s="21"/>
      <c r="M953" s="21"/>
      <c r="N953" s="97"/>
      <c r="O953" s="76"/>
      <c r="P953" s="76"/>
      <c r="Q953" s="76"/>
    </row>
    <row r="954" ht="15.75" customHeight="1">
      <c r="K954" s="21"/>
      <c r="L954" s="21"/>
      <c r="M954" s="21"/>
      <c r="N954" s="97"/>
      <c r="O954" s="76"/>
      <c r="P954" s="76"/>
      <c r="Q954" s="76"/>
    </row>
    <row r="955" ht="15.75" customHeight="1">
      <c r="K955" s="21"/>
      <c r="L955" s="21"/>
      <c r="M955" s="21"/>
      <c r="N955" s="97"/>
      <c r="O955" s="76"/>
      <c r="P955" s="76"/>
      <c r="Q955" s="76"/>
    </row>
    <row r="956" ht="15.75" customHeight="1">
      <c r="K956" s="21"/>
      <c r="L956" s="21"/>
      <c r="M956" s="21"/>
      <c r="N956" s="97"/>
      <c r="O956" s="76"/>
      <c r="P956" s="76"/>
      <c r="Q956" s="76"/>
    </row>
    <row r="957" ht="15.75" customHeight="1">
      <c r="K957" s="21"/>
      <c r="L957" s="21"/>
      <c r="M957" s="21"/>
      <c r="N957" s="97"/>
      <c r="O957" s="76"/>
      <c r="P957" s="76"/>
      <c r="Q957" s="76"/>
    </row>
    <row r="958" ht="15.75" customHeight="1">
      <c r="K958" s="21"/>
      <c r="L958" s="21"/>
      <c r="M958" s="21"/>
      <c r="N958" s="97"/>
      <c r="O958" s="76"/>
      <c r="P958" s="76"/>
      <c r="Q958" s="76"/>
    </row>
    <row r="959" ht="15.75" customHeight="1">
      <c r="K959" s="21"/>
      <c r="L959" s="21"/>
      <c r="M959" s="21"/>
      <c r="N959" s="97"/>
      <c r="O959" s="76"/>
      <c r="P959" s="76"/>
      <c r="Q959" s="76"/>
    </row>
    <row r="960" ht="15.75" customHeight="1">
      <c r="K960" s="21"/>
      <c r="L960" s="21"/>
      <c r="M960" s="21"/>
      <c r="N960" s="97"/>
      <c r="O960" s="76"/>
      <c r="P960" s="76"/>
      <c r="Q960" s="76"/>
    </row>
    <row r="961" ht="15.75" customHeight="1">
      <c r="K961" s="21"/>
      <c r="L961" s="21"/>
      <c r="M961" s="21"/>
      <c r="N961" s="97"/>
      <c r="O961" s="76"/>
      <c r="P961" s="76"/>
      <c r="Q961" s="76"/>
    </row>
    <row r="962" ht="15.75" customHeight="1">
      <c r="K962" s="21"/>
      <c r="L962" s="21"/>
      <c r="M962" s="21"/>
      <c r="N962" s="97"/>
      <c r="O962" s="76"/>
      <c r="P962" s="76"/>
      <c r="Q962" s="76"/>
    </row>
    <row r="963" ht="15.75" customHeight="1">
      <c r="K963" s="21"/>
      <c r="L963" s="21"/>
      <c r="M963" s="21"/>
      <c r="N963" s="97"/>
      <c r="O963" s="76"/>
      <c r="P963" s="76"/>
      <c r="Q963" s="76"/>
    </row>
    <row r="964" ht="15.75" customHeight="1">
      <c r="K964" s="21"/>
      <c r="L964" s="21"/>
      <c r="M964" s="21"/>
      <c r="N964" s="97"/>
      <c r="O964" s="76"/>
      <c r="P964" s="76"/>
      <c r="Q964" s="76"/>
    </row>
    <row r="965" ht="15.75" customHeight="1">
      <c r="K965" s="21"/>
      <c r="L965" s="21"/>
      <c r="M965" s="21"/>
      <c r="N965" s="97"/>
      <c r="O965" s="76"/>
      <c r="P965" s="76"/>
      <c r="Q965" s="76"/>
    </row>
    <row r="966" ht="15.75" customHeight="1">
      <c r="K966" s="21"/>
      <c r="L966" s="21"/>
      <c r="M966" s="21"/>
      <c r="N966" s="97"/>
      <c r="O966" s="76"/>
      <c r="P966" s="76"/>
      <c r="Q966" s="76"/>
    </row>
    <row r="967" ht="15.75" customHeight="1">
      <c r="K967" s="21"/>
      <c r="L967" s="21"/>
      <c r="M967" s="21"/>
      <c r="N967" s="97"/>
      <c r="O967" s="76"/>
      <c r="P967" s="76"/>
      <c r="Q967" s="76"/>
    </row>
    <row r="968" ht="15.75" customHeight="1">
      <c r="K968" s="21"/>
      <c r="L968" s="21"/>
      <c r="M968" s="21"/>
      <c r="N968" s="97"/>
      <c r="O968" s="76"/>
      <c r="P968" s="76"/>
      <c r="Q968" s="76"/>
    </row>
    <row r="969" ht="15.75" customHeight="1">
      <c r="K969" s="21"/>
      <c r="L969" s="21"/>
      <c r="M969" s="21"/>
      <c r="N969" s="97"/>
      <c r="O969" s="76"/>
      <c r="P969" s="76"/>
      <c r="Q969" s="76"/>
    </row>
    <row r="970" ht="15.75" customHeight="1">
      <c r="K970" s="21"/>
      <c r="L970" s="21"/>
      <c r="M970" s="21"/>
      <c r="N970" s="97"/>
      <c r="O970" s="76"/>
      <c r="P970" s="76"/>
      <c r="Q970" s="76"/>
    </row>
    <row r="971" ht="15.75" customHeight="1">
      <c r="K971" s="21"/>
      <c r="L971" s="21"/>
      <c r="M971" s="21"/>
      <c r="N971" s="97"/>
      <c r="O971" s="76"/>
      <c r="P971" s="76"/>
      <c r="Q971" s="76"/>
    </row>
    <row r="972" ht="15.75" customHeight="1">
      <c r="K972" s="21"/>
      <c r="L972" s="21"/>
      <c r="M972" s="21"/>
      <c r="N972" s="97"/>
      <c r="O972" s="76"/>
      <c r="P972" s="76"/>
      <c r="Q972" s="76"/>
    </row>
    <row r="973" ht="15.75" customHeight="1">
      <c r="K973" s="21"/>
      <c r="L973" s="21"/>
      <c r="M973" s="21"/>
      <c r="N973" s="97"/>
      <c r="O973" s="76"/>
      <c r="P973" s="76"/>
      <c r="Q973" s="76"/>
    </row>
    <row r="974" ht="15.75" customHeight="1">
      <c r="K974" s="21"/>
      <c r="L974" s="21"/>
      <c r="M974" s="21"/>
      <c r="N974" s="97"/>
      <c r="O974" s="76"/>
      <c r="P974" s="76"/>
      <c r="Q974" s="76"/>
    </row>
    <row r="975" ht="15.75" customHeight="1">
      <c r="K975" s="21"/>
      <c r="L975" s="21"/>
      <c r="M975" s="21"/>
      <c r="N975" s="97"/>
      <c r="O975" s="76"/>
      <c r="P975" s="76"/>
      <c r="Q975" s="76"/>
    </row>
    <row r="976" ht="15.75" customHeight="1">
      <c r="K976" s="21"/>
      <c r="L976" s="21"/>
      <c r="M976" s="21"/>
      <c r="N976" s="97"/>
      <c r="O976" s="76"/>
      <c r="P976" s="76"/>
      <c r="Q976" s="76"/>
    </row>
    <row r="977" ht="15.75" customHeight="1">
      <c r="K977" s="21"/>
      <c r="L977" s="21"/>
      <c r="M977" s="21"/>
      <c r="N977" s="97"/>
      <c r="O977" s="76"/>
      <c r="P977" s="76"/>
      <c r="Q977" s="76"/>
    </row>
    <row r="978" ht="15.75" customHeight="1">
      <c r="K978" s="21"/>
      <c r="L978" s="21"/>
      <c r="M978" s="21"/>
      <c r="N978" s="97"/>
      <c r="O978" s="76"/>
      <c r="P978" s="76"/>
      <c r="Q978" s="76"/>
    </row>
    <row r="979" ht="15.75" customHeight="1">
      <c r="K979" s="21"/>
      <c r="L979" s="21"/>
      <c r="M979" s="21"/>
      <c r="N979" s="97"/>
      <c r="O979" s="76"/>
      <c r="P979" s="76"/>
      <c r="Q979" s="76"/>
    </row>
    <row r="980" ht="15.75" customHeight="1">
      <c r="K980" s="21"/>
      <c r="L980" s="21"/>
      <c r="M980" s="21"/>
      <c r="N980" s="97"/>
      <c r="O980" s="76"/>
      <c r="P980" s="76"/>
      <c r="Q980" s="76"/>
    </row>
    <row r="981" ht="15.75" customHeight="1">
      <c r="K981" s="21"/>
      <c r="L981" s="21"/>
      <c r="M981" s="21"/>
      <c r="N981" s="97"/>
      <c r="O981" s="76"/>
      <c r="P981" s="76"/>
      <c r="Q981" s="76"/>
    </row>
    <row r="982" ht="15.75" customHeight="1">
      <c r="K982" s="21"/>
      <c r="L982" s="21"/>
      <c r="M982" s="21"/>
      <c r="N982" s="97"/>
      <c r="O982" s="76"/>
      <c r="P982" s="76"/>
      <c r="Q982" s="76"/>
    </row>
    <row r="983" ht="15.75" customHeight="1">
      <c r="K983" s="21"/>
      <c r="L983" s="21"/>
      <c r="M983" s="21"/>
      <c r="N983" s="97"/>
      <c r="O983" s="76"/>
      <c r="P983" s="76"/>
      <c r="Q983" s="76"/>
    </row>
    <row r="984" ht="15.75" customHeight="1">
      <c r="K984" s="21"/>
      <c r="L984" s="21"/>
      <c r="M984" s="21"/>
      <c r="N984" s="97"/>
      <c r="O984" s="76"/>
      <c r="P984" s="76"/>
      <c r="Q984" s="76"/>
    </row>
    <row r="985" ht="15.75" customHeight="1">
      <c r="K985" s="21"/>
      <c r="L985" s="21"/>
      <c r="M985" s="21"/>
      <c r="N985" s="97"/>
      <c r="O985" s="76"/>
      <c r="P985" s="76"/>
      <c r="Q985" s="76"/>
    </row>
    <row r="986" ht="15.75" customHeight="1">
      <c r="K986" s="21"/>
      <c r="L986" s="21"/>
      <c r="M986" s="21"/>
      <c r="N986" s="97"/>
      <c r="O986" s="76"/>
      <c r="P986" s="76"/>
      <c r="Q986" s="76"/>
    </row>
    <row r="987" ht="15.75" customHeight="1">
      <c r="K987" s="21"/>
      <c r="L987" s="21"/>
      <c r="M987" s="21"/>
      <c r="N987" s="97"/>
      <c r="O987" s="76"/>
      <c r="P987" s="76"/>
      <c r="Q987" s="76"/>
    </row>
    <row r="988" ht="15.75" customHeight="1">
      <c r="K988" s="21"/>
      <c r="L988" s="21"/>
      <c r="M988" s="21"/>
      <c r="N988" s="97"/>
      <c r="O988" s="76"/>
      <c r="P988" s="76"/>
      <c r="Q988" s="76"/>
    </row>
    <row r="989" ht="15.75" customHeight="1">
      <c r="K989" s="21"/>
      <c r="L989" s="21"/>
      <c r="M989" s="21"/>
      <c r="N989" s="97"/>
      <c r="O989" s="76"/>
      <c r="P989" s="76"/>
      <c r="Q989" s="76"/>
    </row>
    <row r="990" ht="15.75" customHeight="1">
      <c r="K990" s="21"/>
      <c r="L990" s="21"/>
      <c r="M990" s="21"/>
      <c r="N990" s="97"/>
      <c r="O990" s="76"/>
      <c r="P990" s="76"/>
      <c r="Q990" s="76"/>
    </row>
    <row r="991" ht="15.75" customHeight="1">
      <c r="K991" s="21"/>
      <c r="L991" s="21"/>
      <c r="M991" s="21"/>
      <c r="N991" s="97"/>
      <c r="O991" s="76"/>
      <c r="P991" s="76"/>
      <c r="Q991" s="76"/>
    </row>
    <row r="992" ht="15.75" customHeight="1">
      <c r="K992" s="21"/>
      <c r="L992" s="21"/>
      <c r="M992" s="21"/>
      <c r="N992" s="97"/>
      <c r="O992" s="76"/>
      <c r="P992" s="76"/>
      <c r="Q992" s="76"/>
    </row>
    <row r="993" ht="15.75" customHeight="1">
      <c r="K993" s="21"/>
      <c r="L993" s="21"/>
      <c r="M993" s="21"/>
      <c r="N993" s="97"/>
      <c r="O993" s="76"/>
      <c r="P993" s="76"/>
      <c r="Q993" s="76"/>
    </row>
    <row r="994" ht="15.75" customHeight="1">
      <c r="K994" s="21"/>
      <c r="L994" s="21"/>
      <c r="M994" s="21"/>
      <c r="N994" s="97"/>
      <c r="O994" s="76"/>
      <c r="P994" s="76"/>
      <c r="Q994" s="76"/>
    </row>
    <row r="995" ht="15.75" customHeight="1">
      <c r="K995" s="21"/>
      <c r="L995" s="21"/>
      <c r="M995" s="21"/>
      <c r="N995" s="97"/>
      <c r="O995" s="76"/>
      <c r="P995" s="76"/>
      <c r="Q995" s="76"/>
    </row>
    <row r="996" ht="15.75" customHeight="1">
      <c r="K996" s="21"/>
      <c r="L996" s="21"/>
      <c r="M996" s="21"/>
      <c r="N996" s="97"/>
      <c r="O996" s="76"/>
      <c r="P996" s="76"/>
      <c r="Q996" s="76"/>
    </row>
    <row r="997" ht="15.75" customHeight="1">
      <c r="K997" s="21"/>
      <c r="L997" s="21"/>
      <c r="M997" s="21"/>
      <c r="N997" s="97"/>
      <c r="O997" s="76"/>
      <c r="P997" s="76"/>
      <c r="Q997" s="76"/>
    </row>
    <row r="998" ht="15.75" customHeight="1">
      <c r="K998" s="21"/>
      <c r="L998" s="21"/>
      <c r="M998" s="21"/>
      <c r="N998" s="97"/>
      <c r="O998" s="76"/>
      <c r="P998" s="76"/>
      <c r="Q998" s="76"/>
    </row>
    <row r="999" ht="15.75" customHeight="1">
      <c r="K999" s="21"/>
      <c r="L999" s="21"/>
      <c r="M999" s="21"/>
      <c r="N999" s="97"/>
      <c r="O999" s="76"/>
      <c r="P999" s="76"/>
      <c r="Q999" s="76"/>
    </row>
    <row r="1000" ht="15.75" customHeight="1">
      <c r="K1000" s="21"/>
      <c r="L1000" s="21"/>
      <c r="M1000" s="21"/>
      <c r="N1000" s="97"/>
      <c r="O1000" s="76"/>
      <c r="P1000" s="76"/>
      <c r="Q1000" s="76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Row="2"/>
  <cols>
    <col customWidth="1" min="1" max="1" width="2.0"/>
    <col customWidth="1" min="2" max="2" width="26.57"/>
    <col customWidth="1" min="3" max="3" width="16.57"/>
    <col customWidth="1" min="4" max="8" width="14.86"/>
    <col customWidth="1" min="9" max="9" width="3.43"/>
    <col customWidth="1" min="10" max="12" width="13.43"/>
  </cols>
  <sheetData>
    <row r="1" ht="18.0" customHeight="1">
      <c r="A1" s="1"/>
      <c r="B1" s="2" t="s">
        <v>0</v>
      </c>
      <c r="C1" s="31"/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1"/>
      <c r="J1" s="3" t="s">
        <v>11</v>
      </c>
      <c r="K1" s="3" t="s">
        <v>12</v>
      </c>
      <c r="L1" s="3" t="s">
        <v>13</v>
      </c>
      <c r="M1" s="3" t="s">
        <v>14</v>
      </c>
    </row>
    <row r="2" ht="18.0" customHeight="1" outlineLevel="2">
      <c r="A2" s="4"/>
      <c r="B2" s="5" t="s">
        <v>17</v>
      </c>
      <c r="C2" s="32"/>
      <c r="D2" s="7">
        <v>1033.0</v>
      </c>
      <c r="E2" s="7">
        <v>842.0</v>
      </c>
      <c r="F2" s="7">
        <v>225.0</v>
      </c>
      <c r="G2" s="7">
        <v>2100.0</v>
      </c>
      <c r="H2" s="7"/>
      <c r="I2" s="4"/>
      <c r="J2" s="21"/>
      <c r="K2" s="21"/>
      <c r="L2" s="21"/>
      <c r="M2" s="21"/>
    </row>
    <row r="3" ht="18.0" customHeight="1" outlineLevel="2">
      <c r="A3" s="4"/>
      <c r="B3" s="5" t="s">
        <v>18</v>
      </c>
      <c r="C3" s="32"/>
      <c r="D3" s="7">
        <v>3763.0</v>
      </c>
      <c r="E3" s="7">
        <v>3246.0</v>
      </c>
      <c r="F3" s="7">
        <v>4298.0</v>
      </c>
      <c r="G3" s="7">
        <v>11307.0</v>
      </c>
      <c r="H3" s="7"/>
      <c r="I3" s="4"/>
      <c r="J3" s="21"/>
      <c r="K3" s="21"/>
      <c r="L3" s="21"/>
      <c r="M3" s="21"/>
    </row>
    <row r="4" ht="18.0" customHeight="1" outlineLevel="2">
      <c r="A4" s="4"/>
      <c r="B4" s="79" t="s">
        <v>96</v>
      </c>
      <c r="C4" s="5" t="s">
        <v>40</v>
      </c>
      <c r="D4" s="7">
        <v>4741.0</v>
      </c>
      <c r="E4" s="7">
        <v>4492.0</v>
      </c>
      <c r="F4" s="7">
        <v>4177.0</v>
      </c>
      <c r="G4" s="7">
        <v>13410.0</v>
      </c>
      <c r="H4" s="7"/>
      <c r="I4" s="4"/>
      <c r="J4" s="21"/>
      <c r="K4" s="21"/>
      <c r="L4" s="21"/>
      <c r="M4" s="21"/>
    </row>
    <row r="5" ht="18.0" customHeight="1" outlineLevel="2">
      <c r="A5" s="4"/>
      <c r="B5" s="5"/>
      <c r="C5" s="79" t="s">
        <v>41</v>
      </c>
      <c r="D5" s="80">
        <v>4796.0</v>
      </c>
      <c r="E5" s="80">
        <v>4088.0</v>
      </c>
      <c r="F5" s="80">
        <v>4523.0</v>
      </c>
      <c r="G5" s="80">
        <v>13407.0</v>
      </c>
      <c r="H5" s="7"/>
      <c r="I5" s="4"/>
      <c r="J5" s="21">
        <v>55.0</v>
      </c>
      <c r="K5" s="21">
        <v>-404.0</v>
      </c>
      <c r="L5" s="21">
        <v>346.0</v>
      </c>
      <c r="M5" s="21">
        <v>-3.0</v>
      </c>
    </row>
    <row r="6" ht="18.0" customHeight="1" outlineLevel="2">
      <c r="A6" s="4"/>
      <c r="B6" s="79" t="s">
        <v>97</v>
      </c>
      <c r="C6" s="5" t="s">
        <v>40</v>
      </c>
      <c r="D6" s="7">
        <v>1372.0</v>
      </c>
      <c r="E6" s="7">
        <v>1285.0</v>
      </c>
      <c r="F6" s="7">
        <v>1290.0</v>
      </c>
      <c r="G6" s="7">
        <v>3947.0</v>
      </c>
      <c r="H6" s="7"/>
      <c r="I6" s="4"/>
      <c r="J6" s="21"/>
      <c r="K6" s="21"/>
      <c r="L6" s="21"/>
      <c r="M6" s="21"/>
    </row>
    <row r="7" ht="18.0" customHeight="1" outlineLevel="2">
      <c r="A7" s="4"/>
      <c r="B7" s="5"/>
      <c r="C7" s="79" t="s">
        <v>41</v>
      </c>
      <c r="D7" s="80">
        <v>1390.0</v>
      </c>
      <c r="E7" s="80">
        <v>1175.0</v>
      </c>
      <c r="F7" s="80">
        <v>1329.0</v>
      </c>
      <c r="G7" s="80">
        <v>3894.0</v>
      </c>
      <c r="H7" s="7"/>
      <c r="I7" s="4"/>
      <c r="J7" s="21">
        <v>18.0</v>
      </c>
      <c r="K7" s="21">
        <v>-110.0</v>
      </c>
      <c r="L7" s="21">
        <v>39.0</v>
      </c>
      <c r="M7" s="21">
        <v>-53.0</v>
      </c>
    </row>
    <row r="8" ht="18.0" customHeight="1" outlineLevel="2">
      <c r="A8" s="4"/>
      <c r="B8" s="98" t="s">
        <v>98</v>
      </c>
      <c r="C8" s="5" t="s">
        <v>40</v>
      </c>
      <c r="D8" s="9">
        <v>0.7876004592422503</v>
      </c>
      <c r="E8" s="9">
        <v>0.6908602150537635</v>
      </c>
      <c r="F8" s="9">
        <v>0.80625</v>
      </c>
      <c r="G8" s="81">
        <v>0.776204523107178</v>
      </c>
      <c r="H8" s="7"/>
      <c r="I8" s="4"/>
      <c r="J8" s="21"/>
      <c r="K8" s="21"/>
      <c r="L8" s="21"/>
      <c r="M8" s="21"/>
    </row>
    <row r="9" ht="18.0" customHeight="1" outlineLevel="2">
      <c r="A9" s="4"/>
      <c r="B9" s="8"/>
      <c r="C9" s="79" t="s">
        <v>41</v>
      </c>
      <c r="D9" s="82">
        <v>0.7979334098737084</v>
      </c>
      <c r="E9" s="82">
        <v>0.6317204301075269</v>
      </c>
      <c r="F9" s="82">
        <v>0.830625</v>
      </c>
      <c r="G9" s="82">
        <v>0.7657817109144542</v>
      </c>
      <c r="H9" s="9"/>
      <c r="I9" s="4"/>
      <c r="J9" s="21">
        <v>0.010332950631458115</v>
      </c>
      <c r="K9" s="21">
        <v>-0.05913978494623662</v>
      </c>
      <c r="L9" s="21">
        <v>0.024374999999999925</v>
      </c>
      <c r="M9" s="21">
        <v>-0.010422812192723785</v>
      </c>
    </row>
    <row r="10" ht="18.0" customHeight="1" outlineLevel="2">
      <c r="A10" s="4"/>
      <c r="B10" s="79" t="s">
        <v>99</v>
      </c>
      <c r="C10" s="5" t="s">
        <v>40</v>
      </c>
      <c r="D10" s="83">
        <v>11701.0</v>
      </c>
      <c r="E10" s="83">
        <v>10239.0</v>
      </c>
      <c r="F10" s="83">
        <v>13403.374910222648</v>
      </c>
      <c r="G10" s="83">
        <v>12413.0</v>
      </c>
      <c r="H10" s="9"/>
      <c r="I10" s="4"/>
      <c r="J10" s="21"/>
      <c r="K10" s="21"/>
      <c r="L10" s="21"/>
      <c r="M10" s="21"/>
    </row>
    <row r="11" ht="18.0" customHeight="1" outlineLevel="2">
      <c r="A11" s="4"/>
      <c r="B11" s="5"/>
      <c r="C11" s="79" t="s">
        <v>41</v>
      </c>
      <c r="D11" s="80">
        <v>11946.0</v>
      </c>
      <c r="E11" s="80">
        <v>10006.0</v>
      </c>
      <c r="F11" s="80">
        <v>13056.0</v>
      </c>
      <c r="G11" s="80">
        <v>12366.0</v>
      </c>
      <c r="H11" s="7"/>
      <c r="I11" s="4"/>
      <c r="J11" s="21">
        <v>245.0</v>
      </c>
      <c r="K11" s="21">
        <v>-233.0</v>
      </c>
      <c r="L11" s="21">
        <v>-347.3749102226484</v>
      </c>
      <c r="M11" s="21">
        <v>-47.0</v>
      </c>
    </row>
    <row r="12" ht="18.0" customHeight="1" outlineLevel="2">
      <c r="A12" s="4"/>
      <c r="B12" s="99" t="s">
        <v>100</v>
      </c>
      <c r="C12" s="5" t="s">
        <v>40</v>
      </c>
      <c r="D12" s="85">
        <v>3.456</v>
      </c>
      <c r="E12" s="85">
        <v>3.496</v>
      </c>
      <c r="F12" s="85">
        <v>3.238</v>
      </c>
      <c r="G12" s="85">
        <v>3.397517101596149</v>
      </c>
      <c r="H12" s="7"/>
      <c r="I12" s="4"/>
      <c r="J12" s="21"/>
      <c r="K12" s="21"/>
      <c r="L12" s="21"/>
      <c r="M12" s="21"/>
    </row>
    <row r="13" ht="18.0" customHeight="1" outlineLevel="2">
      <c r="A13" s="86"/>
      <c r="B13" s="84"/>
      <c r="C13" s="79" t="s">
        <v>41</v>
      </c>
      <c r="D13" s="87">
        <v>3.450359712230216</v>
      </c>
      <c r="E13" s="87">
        <v>3.479148936170213</v>
      </c>
      <c r="F13" s="87">
        <v>3.4033107599699024</v>
      </c>
      <c r="G13" s="87">
        <v>3.442989214175655</v>
      </c>
      <c r="H13" s="85"/>
      <c r="I13" s="86"/>
      <c r="J13" s="88">
        <v>-0.005640287769784091</v>
      </c>
      <c r="K13" s="88">
        <v>-0.016851063829787183</v>
      </c>
      <c r="L13" s="88">
        <v>0.1653107599699024</v>
      </c>
      <c r="M13" s="88">
        <v>0.0454721125795059</v>
      </c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8.0" customHeight="1" outlineLevel="1">
      <c r="A14" s="4"/>
      <c r="B14" s="33" t="s">
        <v>101</v>
      </c>
      <c r="C14" s="4"/>
      <c r="D14" s="34">
        <v>7367813.0</v>
      </c>
      <c r="E14" s="34">
        <v>7657382.0</v>
      </c>
      <c r="F14" s="34">
        <v>1.620982E7</v>
      </c>
      <c r="G14" s="34">
        <v>3.1235015E7</v>
      </c>
      <c r="H14" s="34">
        <v>0.0</v>
      </c>
      <c r="I14" s="4"/>
      <c r="J14" s="21"/>
      <c r="K14" s="21"/>
      <c r="L14" s="21"/>
      <c r="M14" s="21"/>
    </row>
    <row r="15" ht="18.0" customHeight="1" outlineLevel="1">
      <c r="A15" s="4"/>
      <c r="B15" s="33" t="s">
        <v>102</v>
      </c>
      <c r="C15" s="4"/>
      <c r="D15" s="34">
        <v>4.8573679E7</v>
      </c>
      <c r="E15" s="34">
        <v>4.0737713E7</v>
      </c>
      <c r="F15" s="34">
        <v>2.9202205E7</v>
      </c>
      <c r="G15" s="34">
        <v>1.18513597E8</v>
      </c>
      <c r="H15" s="34">
        <v>0.0</v>
      </c>
      <c r="I15" s="4"/>
      <c r="J15" s="21"/>
      <c r="K15" s="21"/>
      <c r="L15" s="21"/>
      <c r="M15" s="21"/>
    </row>
    <row r="16" ht="18.0" customHeight="1" outlineLevel="1">
      <c r="A16" s="4"/>
      <c r="B16" s="33" t="s">
        <v>39</v>
      </c>
      <c r="C16" s="4"/>
      <c r="D16" s="34">
        <v>1278875.0</v>
      </c>
      <c r="E16" s="34">
        <v>906626.0</v>
      </c>
      <c r="F16" s="34">
        <v>1936455.0</v>
      </c>
      <c r="G16" s="34">
        <v>4121956.0</v>
      </c>
      <c r="H16" s="34">
        <v>0.0</v>
      </c>
      <c r="I16" s="4"/>
      <c r="J16" s="21"/>
      <c r="K16" s="21"/>
      <c r="L16" s="21"/>
      <c r="M16" s="21"/>
    </row>
    <row r="17" ht="18.0" customHeight="1" outlineLevel="1">
      <c r="A17" s="4"/>
      <c r="B17" s="33" t="s">
        <v>103</v>
      </c>
      <c r="C17" s="4"/>
      <c r="D17" s="34">
        <v>0.0</v>
      </c>
      <c r="E17" s="34">
        <v>0.0</v>
      </c>
      <c r="F17" s="34">
        <v>1.1669214E7</v>
      </c>
      <c r="G17" s="34">
        <v>1.1669214E7</v>
      </c>
      <c r="H17" s="34">
        <v>0.0</v>
      </c>
      <c r="I17" s="4"/>
      <c r="J17" s="21"/>
      <c r="K17" s="21"/>
      <c r="L17" s="21"/>
      <c r="M17" s="21"/>
    </row>
    <row r="18" ht="18.0" customHeight="1" outlineLevel="1">
      <c r="A18" s="4"/>
      <c r="B18" s="33" t="s">
        <v>104</v>
      </c>
      <c r="C18" s="4"/>
      <c r="D18" s="34">
        <v>68797.0</v>
      </c>
      <c r="E18" s="34">
        <v>139619.0</v>
      </c>
      <c r="F18" s="34">
        <v>0.0</v>
      </c>
      <c r="G18" s="34">
        <v>208416.0</v>
      </c>
      <c r="H18" s="34">
        <v>0.0</v>
      </c>
      <c r="I18" s="4"/>
      <c r="J18" s="21"/>
      <c r="K18" s="21"/>
      <c r="L18" s="21"/>
      <c r="M18" s="21"/>
    </row>
    <row r="19" ht="18.0" customHeight="1" outlineLevel="1">
      <c r="A19" s="4"/>
      <c r="B19" s="33" t="s">
        <v>105</v>
      </c>
      <c r="C19" s="4"/>
      <c r="D19" s="34">
        <v>0.0</v>
      </c>
      <c r="E19" s="34">
        <v>0.0</v>
      </c>
      <c r="F19" s="34">
        <v>34480.0</v>
      </c>
      <c r="G19" s="34">
        <v>34480.0</v>
      </c>
      <c r="H19" s="34">
        <v>0.0</v>
      </c>
      <c r="I19" s="4"/>
      <c r="J19" s="21"/>
      <c r="K19" s="21"/>
      <c r="L19" s="21"/>
      <c r="M19" s="21"/>
    </row>
    <row r="20" ht="18.0" customHeight="1">
      <c r="A20" s="4"/>
      <c r="B20" s="15" t="s">
        <v>24</v>
      </c>
      <c r="C20" s="35" t="s">
        <v>40</v>
      </c>
      <c r="D20" s="36">
        <v>5.5474441E7</v>
      </c>
      <c r="E20" s="36">
        <v>5.4993588E7</v>
      </c>
      <c r="F20" s="36">
        <v>5.5985897E7</v>
      </c>
      <c r="G20" s="36">
        <v>1.66453926E8</v>
      </c>
      <c r="H20" s="36">
        <v>0.0</v>
      </c>
      <c r="I20" s="4"/>
      <c r="J20" s="21"/>
      <c r="K20" s="21"/>
      <c r="L20" s="21"/>
      <c r="M20" s="21"/>
    </row>
    <row r="21" ht="18.0" customHeight="1">
      <c r="A21" s="4"/>
      <c r="B21" s="15"/>
      <c r="C21" s="15" t="s">
        <v>41</v>
      </c>
      <c r="D21" s="16">
        <v>5.7289164E7</v>
      </c>
      <c r="E21" s="16">
        <v>4.944134E7</v>
      </c>
      <c r="F21" s="16">
        <v>5.9052174E7</v>
      </c>
      <c r="G21" s="16">
        <v>1.65782678E8</v>
      </c>
      <c r="H21" s="16">
        <v>0.0</v>
      </c>
      <c r="I21" s="4"/>
      <c r="J21" s="21">
        <v>1814723.0</v>
      </c>
      <c r="K21" s="21">
        <v>-5552248.0</v>
      </c>
      <c r="L21" s="21">
        <v>3066277.0</v>
      </c>
      <c r="M21" s="21">
        <v>-671248.0</v>
      </c>
    </row>
    <row r="22" ht="18.0" hidden="1" customHeight="1" outlineLevel="1">
      <c r="A22" s="4"/>
      <c r="B22" s="33" t="s">
        <v>106</v>
      </c>
      <c r="C22" s="4"/>
      <c r="D22" s="34">
        <v>2960919.0</v>
      </c>
      <c r="E22" s="34">
        <v>3646402.0</v>
      </c>
      <c r="F22" s="34">
        <v>6975584.0</v>
      </c>
      <c r="G22" s="34">
        <v>1.3582905E7</v>
      </c>
      <c r="H22" s="34">
        <v>0.0</v>
      </c>
      <c r="I22" s="4"/>
      <c r="J22" s="21"/>
      <c r="K22" s="21"/>
      <c r="L22" s="21"/>
      <c r="M22" s="21"/>
    </row>
    <row r="23" ht="18.0" hidden="1" customHeight="1" outlineLevel="1">
      <c r="A23" s="4"/>
      <c r="B23" s="33" t="s">
        <v>107</v>
      </c>
      <c r="C23" s="4"/>
      <c r="D23" s="34">
        <v>771582.0</v>
      </c>
      <c r="E23" s="34">
        <v>826554.0</v>
      </c>
      <c r="F23" s="34">
        <v>1226269.0</v>
      </c>
      <c r="G23" s="34">
        <v>2824405.0</v>
      </c>
      <c r="H23" s="34">
        <v>0.0</v>
      </c>
      <c r="I23" s="4"/>
      <c r="J23" s="21"/>
      <c r="K23" s="21"/>
      <c r="L23" s="21"/>
      <c r="M23" s="21"/>
    </row>
    <row r="24" ht="18.0" customHeight="1" collapsed="1">
      <c r="A24" s="4"/>
      <c r="B24" s="15" t="s">
        <v>25</v>
      </c>
      <c r="C24" s="35" t="s">
        <v>40</v>
      </c>
      <c r="D24" s="36">
        <v>2342091.0</v>
      </c>
      <c r="E24" s="36">
        <v>4553923.0</v>
      </c>
      <c r="F24" s="36">
        <v>4079615.0</v>
      </c>
      <c r="G24" s="36">
        <v>1.0975629E7</v>
      </c>
      <c r="H24" s="36">
        <v>0.0</v>
      </c>
      <c r="I24" s="4"/>
      <c r="J24" s="21"/>
      <c r="K24" s="21"/>
      <c r="L24" s="21"/>
      <c r="M24" s="21"/>
    </row>
    <row r="25" ht="18.0" customHeight="1">
      <c r="A25" s="4"/>
      <c r="B25" s="15"/>
      <c r="C25" s="15" t="s">
        <v>41</v>
      </c>
      <c r="D25" s="16">
        <v>3732501.0</v>
      </c>
      <c r="E25" s="16">
        <v>4472956.0</v>
      </c>
      <c r="F25" s="16">
        <v>8201853.0</v>
      </c>
      <c r="G25" s="16">
        <v>1.640731E7</v>
      </c>
      <c r="H25" s="16">
        <v>0.0</v>
      </c>
      <c r="I25" s="4"/>
      <c r="J25" s="21">
        <v>1390410.0</v>
      </c>
      <c r="K25" s="21">
        <v>-80967.0</v>
      </c>
      <c r="L25" s="21">
        <v>4122238.0</v>
      </c>
      <c r="M25" s="21">
        <v>5431681.0</v>
      </c>
    </row>
    <row r="26" ht="18.0" hidden="1" customHeight="1">
      <c r="A26" s="17"/>
      <c r="B26" s="18" t="s">
        <v>26</v>
      </c>
      <c r="C26" s="18"/>
      <c r="D26" s="16"/>
      <c r="E26" s="16"/>
      <c r="F26" s="16"/>
      <c r="G26" s="16"/>
      <c r="H26" s="16"/>
      <c r="I26" s="17"/>
      <c r="J26" s="21"/>
      <c r="K26" s="21"/>
      <c r="L26" s="21"/>
      <c r="M26" s="21"/>
    </row>
    <row r="27" ht="18.0" customHeight="1">
      <c r="A27" s="21"/>
      <c r="B27" s="22" t="s">
        <v>27</v>
      </c>
      <c r="C27" s="35" t="s">
        <v>40</v>
      </c>
      <c r="D27" s="37">
        <v>5.313235E7</v>
      </c>
      <c r="E27" s="37">
        <v>5.0439665E7</v>
      </c>
      <c r="F27" s="37">
        <v>5.1906282E7</v>
      </c>
      <c r="G27" s="37">
        <v>1.55478297E8</v>
      </c>
      <c r="H27" s="37">
        <v>0.0</v>
      </c>
      <c r="I27" s="21"/>
      <c r="J27" s="21"/>
      <c r="K27" s="21"/>
      <c r="L27" s="21"/>
      <c r="M27" s="21"/>
    </row>
    <row r="28" ht="18.0" customHeight="1">
      <c r="A28" s="21"/>
      <c r="B28" s="22"/>
      <c r="C28" s="15" t="s">
        <v>41</v>
      </c>
      <c r="D28" s="23">
        <v>5.3556663E7</v>
      </c>
      <c r="E28" s="23">
        <v>4.4968384E7</v>
      </c>
      <c r="F28" s="23">
        <v>5.0850321E7</v>
      </c>
      <c r="G28" s="23">
        <v>1.49375368E8</v>
      </c>
      <c r="H28" s="23">
        <v>0.0</v>
      </c>
      <c r="I28" s="21"/>
      <c r="J28" s="21">
        <v>424313.0</v>
      </c>
      <c r="K28" s="21">
        <v>-5471281.0</v>
      </c>
      <c r="L28" s="21">
        <v>-1055961.0</v>
      </c>
      <c r="M28" s="21">
        <v>-6102929.0</v>
      </c>
    </row>
    <row r="29" ht="18.0" customHeight="1">
      <c r="A29" s="21"/>
      <c r="B29" s="21" t="s">
        <v>28</v>
      </c>
      <c r="C29" s="4" t="s">
        <v>40</v>
      </c>
      <c r="D29" s="24">
        <v>1.3994363E7</v>
      </c>
      <c r="E29" s="24">
        <v>1.5396197E7</v>
      </c>
      <c r="F29" s="24">
        <v>1.727966E7</v>
      </c>
      <c r="G29" s="24">
        <v>4.667022E7</v>
      </c>
      <c r="H29" s="24">
        <v>0.0</v>
      </c>
      <c r="I29" s="21"/>
      <c r="J29" s="21"/>
      <c r="K29" s="21"/>
      <c r="L29" s="21"/>
      <c r="M29" s="21"/>
    </row>
    <row r="30" ht="18.0" customHeight="1">
      <c r="A30" s="21"/>
      <c r="B30" s="21"/>
      <c r="C30" s="38" t="s">
        <v>41</v>
      </c>
      <c r="D30" s="39">
        <v>1.6291987E7</v>
      </c>
      <c r="E30" s="39">
        <v>1.6813696E7</v>
      </c>
      <c r="F30" s="39">
        <v>1.739892E7</v>
      </c>
      <c r="G30" s="39">
        <v>5.0504603E7</v>
      </c>
      <c r="H30" s="39">
        <v>9449342.0</v>
      </c>
      <c r="I30" s="21"/>
      <c r="J30" s="21">
        <v>2297624.0</v>
      </c>
      <c r="K30" s="21">
        <v>1417499.0</v>
      </c>
      <c r="L30" s="21">
        <v>119260.0</v>
      </c>
      <c r="M30" s="21">
        <v>3834383.0</v>
      </c>
    </row>
    <row r="31" ht="18.0" hidden="1" customHeight="1" outlineLevel="1">
      <c r="A31" s="21"/>
      <c r="B31" s="40" t="s">
        <v>42</v>
      </c>
      <c r="C31" s="41" t="s">
        <v>40</v>
      </c>
      <c r="D31" s="42">
        <v>0.0</v>
      </c>
      <c r="E31" s="42">
        <v>0.0</v>
      </c>
      <c r="F31" s="42">
        <v>0.0</v>
      </c>
      <c r="G31" s="42">
        <v>0.0</v>
      </c>
      <c r="H31" s="42"/>
      <c r="I31" s="21"/>
      <c r="J31" s="21"/>
      <c r="K31" s="21"/>
      <c r="L31" s="21"/>
      <c r="M31" s="21"/>
    </row>
    <row r="32" ht="18.0" hidden="1" customHeight="1" outlineLevel="1">
      <c r="A32" s="21"/>
      <c r="B32" s="40"/>
      <c r="C32" s="43" t="s">
        <v>41</v>
      </c>
      <c r="D32" s="44">
        <v>0.0</v>
      </c>
      <c r="E32" s="44">
        <v>0.0</v>
      </c>
      <c r="F32" s="44">
        <v>0.0</v>
      </c>
      <c r="G32" s="44">
        <v>0.0</v>
      </c>
      <c r="H32" s="44">
        <v>0.0</v>
      </c>
      <c r="I32" s="21"/>
      <c r="J32" s="21">
        <v>0.0</v>
      </c>
      <c r="K32" s="21">
        <v>0.0</v>
      </c>
      <c r="L32" s="21">
        <v>0.0</v>
      </c>
      <c r="M32" s="21">
        <v>0.0</v>
      </c>
    </row>
    <row r="33" ht="18.0" hidden="1" customHeight="1" outlineLevel="1">
      <c r="A33" s="21"/>
      <c r="B33" s="40" t="s">
        <v>43</v>
      </c>
      <c r="C33" s="41" t="s">
        <v>40</v>
      </c>
      <c r="D33" s="42">
        <v>5588225.0</v>
      </c>
      <c r="E33" s="42">
        <v>7021141.0</v>
      </c>
      <c r="F33" s="42">
        <v>8972464.0</v>
      </c>
      <c r="G33" s="42">
        <v>2.158183E7</v>
      </c>
      <c r="H33" s="42"/>
      <c r="I33" s="21"/>
      <c r="J33" s="21"/>
      <c r="K33" s="21"/>
      <c r="L33" s="21"/>
      <c r="M33" s="21"/>
    </row>
    <row r="34" ht="18.0" hidden="1" customHeight="1" outlineLevel="1">
      <c r="A34" s="21"/>
      <c r="B34" s="40"/>
      <c r="C34" s="43" t="s">
        <v>41</v>
      </c>
      <c r="D34" s="44">
        <v>6340949.0</v>
      </c>
      <c r="E34" s="44">
        <v>6834762.0</v>
      </c>
      <c r="F34" s="44">
        <v>6779742.0</v>
      </c>
      <c r="G34" s="44">
        <v>1.9955453E7</v>
      </c>
      <c r="H34" s="44">
        <v>3879398.0</v>
      </c>
      <c r="I34" s="21"/>
      <c r="J34" s="21">
        <v>752724.0</v>
      </c>
      <c r="K34" s="21">
        <v>-186379.0</v>
      </c>
      <c r="L34" s="21">
        <v>-2192722.0</v>
      </c>
      <c r="M34" s="21">
        <v>-1626377.0</v>
      </c>
    </row>
    <row r="35" ht="18.0" hidden="1" customHeight="1" outlineLevel="1">
      <c r="A35" s="21"/>
      <c r="B35" s="40" t="s">
        <v>44</v>
      </c>
      <c r="C35" s="41" t="s">
        <v>40</v>
      </c>
      <c r="D35" s="42">
        <v>5859209.0</v>
      </c>
      <c r="E35" s="42">
        <v>5273249.0</v>
      </c>
      <c r="F35" s="42">
        <v>5095844.0</v>
      </c>
      <c r="G35" s="42">
        <v>1.6228302E7</v>
      </c>
      <c r="H35" s="42"/>
      <c r="I35" s="21"/>
      <c r="J35" s="21"/>
      <c r="K35" s="21"/>
      <c r="L35" s="21"/>
      <c r="M35" s="21"/>
    </row>
    <row r="36" ht="18.0" hidden="1" customHeight="1" outlineLevel="1">
      <c r="A36" s="21"/>
      <c r="B36" s="40"/>
      <c r="C36" s="43" t="s">
        <v>41</v>
      </c>
      <c r="D36" s="44">
        <v>6473006.0</v>
      </c>
      <c r="E36" s="44">
        <v>6512867.0</v>
      </c>
      <c r="F36" s="44">
        <v>6288440.0</v>
      </c>
      <c r="G36" s="44">
        <v>1.9274313E7</v>
      </c>
      <c r="H36" s="44">
        <v>432841.0</v>
      </c>
      <c r="I36" s="21"/>
      <c r="J36" s="21">
        <v>613797.0</v>
      </c>
      <c r="K36" s="21">
        <v>1239618.0</v>
      </c>
      <c r="L36" s="21">
        <v>1192596.0</v>
      </c>
      <c r="M36" s="21">
        <v>3046011.0</v>
      </c>
    </row>
    <row r="37" ht="18.0" hidden="1" customHeight="1" outlineLevel="1">
      <c r="A37" s="21"/>
      <c r="B37" s="40" t="s">
        <v>45</v>
      </c>
      <c r="C37" s="41" t="s">
        <v>40</v>
      </c>
      <c r="D37" s="42">
        <v>0.0</v>
      </c>
      <c r="E37" s="42">
        <v>500000.0</v>
      </c>
      <c r="F37" s="42">
        <v>0.0</v>
      </c>
      <c r="G37" s="42">
        <v>500000.0</v>
      </c>
      <c r="H37" s="42"/>
      <c r="I37" s="21"/>
      <c r="J37" s="21"/>
      <c r="K37" s="21"/>
      <c r="L37" s="21"/>
      <c r="M37" s="21"/>
    </row>
    <row r="38" ht="18.0" hidden="1" customHeight="1" outlineLevel="1">
      <c r="A38" s="21"/>
      <c r="B38" s="40"/>
      <c r="C38" s="43" t="s">
        <v>41</v>
      </c>
      <c r="D38" s="44">
        <v>0.0</v>
      </c>
      <c r="E38" s="44">
        <v>0.0</v>
      </c>
      <c r="F38" s="44">
        <v>0.0</v>
      </c>
      <c r="G38" s="44">
        <v>0.0</v>
      </c>
      <c r="H38" s="44">
        <v>0.0</v>
      </c>
      <c r="I38" s="21"/>
      <c r="J38" s="21">
        <v>0.0</v>
      </c>
      <c r="K38" s="21">
        <v>-500000.0</v>
      </c>
      <c r="L38" s="21">
        <v>0.0</v>
      </c>
      <c r="M38" s="21">
        <v>-500000.0</v>
      </c>
    </row>
    <row r="39" ht="18.0" hidden="1" customHeight="1" outlineLevel="1">
      <c r="A39" s="21"/>
      <c r="B39" s="40" t="s">
        <v>48</v>
      </c>
      <c r="C39" s="41" t="s">
        <v>40</v>
      </c>
      <c r="D39" s="42">
        <v>1783483.0</v>
      </c>
      <c r="E39" s="42">
        <v>2005591.0</v>
      </c>
      <c r="F39" s="42">
        <v>2202296.0</v>
      </c>
      <c r="G39" s="42">
        <v>5991370.0</v>
      </c>
      <c r="H39" s="42"/>
      <c r="I39" s="21"/>
      <c r="J39" s="21"/>
      <c r="K39" s="21"/>
      <c r="L39" s="21"/>
      <c r="M39" s="21"/>
    </row>
    <row r="40" ht="18.0" hidden="1" customHeight="1" outlineLevel="1">
      <c r="A40" s="21"/>
      <c r="B40" s="40"/>
      <c r="C40" s="43" t="s">
        <v>41</v>
      </c>
      <c r="D40" s="44">
        <v>1856493.0</v>
      </c>
      <c r="E40" s="44">
        <v>2371179.0</v>
      </c>
      <c r="F40" s="44">
        <v>2228084.0</v>
      </c>
      <c r="G40" s="44">
        <v>6455756.0</v>
      </c>
      <c r="H40" s="44">
        <v>843739.0</v>
      </c>
      <c r="I40" s="21"/>
      <c r="J40" s="21">
        <v>73010.0</v>
      </c>
      <c r="K40" s="21">
        <v>365588.0</v>
      </c>
      <c r="L40" s="21">
        <v>25788.0</v>
      </c>
      <c r="M40" s="21">
        <v>464386.0</v>
      </c>
    </row>
    <row r="41" ht="18.0" hidden="1" customHeight="1" outlineLevel="1">
      <c r="A41" s="21"/>
      <c r="B41" s="40" t="s">
        <v>47</v>
      </c>
      <c r="C41" s="41" t="s">
        <v>40</v>
      </c>
      <c r="D41" s="42">
        <v>442446.0</v>
      </c>
      <c r="E41" s="42">
        <v>576216.0</v>
      </c>
      <c r="F41" s="42">
        <v>613661.0</v>
      </c>
      <c r="G41" s="42">
        <v>1632323.0</v>
      </c>
      <c r="H41" s="42"/>
      <c r="I41" s="21"/>
      <c r="J41" s="21"/>
      <c r="K41" s="21"/>
      <c r="L41" s="21"/>
      <c r="M41" s="21"/>
    </row>
    <row r="42" ht="18.0" hidden="1" customHeight="1" outlineLevel="1">
      <c r="A42" s="21"/>
      <c r="B42" s="40"/>
      <c r="C42" s="43" t="s">
        <v>41</v>
      </c>
      <c r="D42" s="44">
        <v>442446.0</v>
      </c>
      <c r="E42" s="44">
        <v>505914.0</v>
      </c>
      <c r="F42" s="44">
        <v>548750.0</v>
      </c>
      <c r="G42" s="44">
        <v>1497110.0</v>
      </c>
      <c r="H42" s="44">
        <v>454260.0</v>
      </c>
      <c r="I42" s="21"/>
      <c r="J42" s="21">
        <v>0.0</v>
      </c>
      <c r="K42" s="21">
        <v>-70302.0</v>
      </c>
      <c r="L42" s="21">
        <v>-64911.0</v>
      </c>
      <c r="M42" s="21">
        <v>-135213.0</v>
      </c>
    </row>
    <row r="43" ht="18.0" hidden="1" customHeight="1" outlineLevel="1">
      <c r="A43" s="21"/>
      <c r="B43" s="40" t="s">
        <v>49</v>
      </c>
      <c r="C43" s="41" t="s">
        <v>40</v>
      </c>
      <c r="D43" s="42">
        <v>78000.0</v>
      </c>
      <c r="E43" s="42">
        <v>20000.0</v>
      </c>
      <c r="F43" s="42">
        <v>143334.0</v>
      </c>
      <c r="G43" s="42">
        <v>241334.0</v>
      </c>
      <c r="H43" s="42"/>
      <c r="I43" s="21"/>
      <c r="J43" s="21"/>
      <c r="K43" s="21"/>
      <c r="L43" s="21"/>
      <c r="M43" s="21"/>
    </row>
    <row r="44" ht="18.0" hidden="1" customHeight="1" outlineLevel="1">
      <c r="A44" s="21"/>
      <c r="B44" s="40"/>
      <c r="C44" s="43" t="s">
        <v>41</v>
      </c>
      <c r="D44" s="44">
        <v>96891.0</v>
      </c>
      <c r="E44" s="44">
        <v>351706.0</v>
      </c>
      <c r="F44" s="44">
        <v>182181.0</v>
      </c>
      <c r="G44" s="44">
        <v>630778.0</v>
      </c>
      <c r="H44" s="44">
        <v>348682.0</v>
      </c>
      <c r="I44" s="21"/>
      <c r="J44" s="21">
        <v>18891.0</v>
      </c>
      <c r="K44" s="21">
        <v>331706.0</v>
      </c>
      <c r="L44" s="21">
        <v>38847.0</v>
      </c>
      <c r="M44" s="21">
        <v>389444.0</v>
      </c>
    </row>
    <row r="45" ht="18.0" hidden="1" customHeight="1" outlineLevel="1">
      <c r="A45" s="21"/>
      <c r="B45" s="40" t="s">
        <v>108</v>
      </c>
      <c r="C45" s="41" t="s">
        <v>40</v>
      </c>
      <c r="D45" s="42">
        <v>0.0</v>
      </c>
      <c r="E45" s="42">
        <v>0.0</v>
      </c>
      <c r="F45" s="42">
        <v>0.0</v>
      </c>
      <c r="G45" s="42">
        <v>0.0</v>
      </c>
      <c r="H45" s="42"/>
      <c r="I45" s="21"/>
      <c r="J45" s="21"/>
      <c r="K45" s="21"/>
      <c r="L45" s="21"/>
      <c r="M45" s="21"/>
    </row>
    <row r="46" ht="18.0" hidden="1" customHeight="1" outlineLevel="1">
      <c r="A46" s="21"/>
      <c r="B46" s="40"/>
      <c r="C46" s="43" t="s">
        <v>41</v>
      </c>
      <c r="D46" s="44">
        <v>0.0</v>
      </c>
      <c r="E46" s="44">
        <v>0.0</v>
      </c>
      <c r="F46" s="44">
        <v>0.0</v>
      </c>
      <c r="G46" s="44">
        <v>0.0</v>
      </c>
      <c r="H46" s="44">
        <v>0.0</v>
      </c>
      <c r="I46" s="21"/>
      <c r="J46" s="21">
        <v>0.0</v>
      </c>
      <c r="K46" s="21">
        <v>0.0</v>
      </c>
      <c r="L46" s="21">
        <v>0.0</v>
      </c>
      <c r="M46" s="21">
        <v>0.0</v>
      </c>
    </row>
    <row r="47" ht="18.0" hidden="1" customHeight="1" outlineLevel="1">
      <c r="A47" s="21"/>
      <c r="B47" s="40" t="s">
        <v>50</v>
      </c>
      <c r="C47" s="41" t="s">
        <v>40</v>
      </c>
      <c r="D47" s="42">
        <v>243000.0</v>
      </c>
      <c r="E47" s="42">
        <v>0.0</v>
      </c>
      <c r="F47" s="42">
        <v>252061.0</v>
      </c>
      <c r="G47" s="42">
        <v>495061.0</v>
      </c>
      <c r="H47" s="42"/>
      <c r="I47" s="21"/>
      <c r="J47" s="21"/>
      <c r="K47" s="21"/>
      <c r="L47" s="21"/>
      <c r="M47" s="21"/>
    </row>
    <row r="48" ht="18.0" hidden="1" customHeight="1" outlineLevel="1">
      <c r="A48" s="21"/>
      <c r="B48" s="40"/>
      <c r="C48" s="43" t="s">
        <v>41</v>
      </c>
      <c r="D48" s="44">
        <v>1079322.0</v>
      </c>
      <c r="E48" s="44">
        <v>237268.0</v>
      </c>
      <c r="F48" s="44">
        <v>1371723.0</v>
      </c>
      <c r="G48" s="44">
        <v>2688313.0</v>
      </c>
      <c r="H48" s="44">
        <v>1797591.0</v>
      </c>
      <c r="I48" s="21"/>
      <c r="J48" s="21">
        <v>836322.0</v>
      </c>
      <c r="K48" s="21">
        <v>237268.0</v>
      </c>
      <c r="L48" s="21">
        <v>1119662.0</v>
      </c>
      <c r="M48" s="21">
        <v>2193252.0</v>
      </c>
    </row>
    <row r="49" ht="18.0" hidden="1" customHeight="1" outlineLevel="1">
      <c r="A49" s="21"/>
      <c r="B49" s="40" t="s">
        <v>51</v>
      </c>
      <c r="C49" s="41" t="s">
        <v>40</v>
      </c>
      <c r="D49" s="42">
        <v>0.0</v>
      </c>
      <c r="E49" s="42">
        <v>0.0</v>
      </c>
      <c r="F49" s="42">
        <v>0.0</v>
      </c>
      <c r="G49" s="42">
        <v>0.0</v>
      </c>
      <c r="H49" s="42"/>
      <c r="I49" s="21"/>
      <c r="J49" s="21"/>
      <c r="K49" s="21"/>
      <c r="L49" s="21"/>
      <c r="M49" s="21"/>
    </row>
    <row r="50" ht="18.0" hidden="1" customHeight="1" outlineLevel="1">
      <c r="A50" s="21"/>
      <c r="B50" s="40"/>
      <c r="C50" s="43" t="s">
        <v>41</v>
      </c>
      <c r="D50" s="44">
        <v>2880.0</v>
      </c>
      <c r="E50" s="44">
        <v>0.0</v>
      </c>
      <c r="F50" s="44">
        <v>0.0</v>
      </c>
      <c r="G50" s="44">
        <v>2880.0</v>
      </c>
      <c r="H50" s="44">
        <v>1192831.0</v>
      </c>
      <c r="I50" s="21"/>
      <c r="J50" s="21">
        <v>2880.0</v>
      </c>
      <c r="K50" s="21">
        <v>0.0</v>
      </c>
      <c r="L50" s="21">
        <v>0.0</v>
      </c>
      <c r="M50" s="21">
        <v>2880.0</v>
      </c>
    </row>
    <row r="51" ht="18.0" hidden="1" customHeight="1" outlineLevel="1">
      <c r="A51" s="21"/>
      <c r="B51" s="40" t="s">
        <v>54</v>
      </c>
      <c r="C51" s="41" t="s">
        <v>40</v>
      </c>
      <c r="D51" s="42">
        <v>0.0</v>
      </c>
      <c r="E51" s="42">
        <v>0.0</v>
      </c>
      <c r="F51" s="42">
        <v>0.0</v>
      </c>
      <c r="G51" s="42">
        <v>0.0</v>
      </c>
      <c r="H51" s="42"/>
      <c r="I51" s="21"/>
      <c r="J51" s="21"/>
      <c r="K51" s="21"/>
      <c r="L51" s="21"/>
      <c r="M51" s="21"/>
    </row>
    <row r="52" ht="18.0" hidden="1" customHeight="1" outlineLevel="1">
      <c r="A52" s="21"/>
      <c r="B52" s="40"/>
      <c r="C52" s="43" t="s">
        <v>41</v>
      </c>
      <c r="D52" s="44">
        <v>0.0</v>
      </c>
      <c r="E52" s="44">
        <v>0.0</v>
      </c>
      <c r="F52" s="44">
        <v>0.0</v>
      </c>
      <c r="G52" s="44">
        <v>0.0</v>
      </c>
      <c r="H52" s="44">
        <v>500000.0</v>
      </c>
      <c r="I52" s="21"/>
      <c r="J52" s="21">
        <v>0.0</v>
      </c>
      <c r="K52" s="21">
        <v>0.0</v>
      </c>
      <c r="L52" s="21">
        <v>0.0</v>
      </c>
      <c r="M52" s="21">
        <v>0.0</v>
      </c>
    </row>
    <row r="53" ht="18.0" customHeight="1" collapsed="1">
      <c r="A53" s="21"/>
      <c r="B53" s="21" t="s">
        <v>29</v>
      </c>
      <c r="C53" s="4" t="s">
        <v>40</v>
      </c>
      <c r="D53" s="24">
        <v>1.2855029E7</v>
      </c>
      <c r="E53" s="24">
        <v>2.2389537E7</v>
      </c>
      <c r="F53" s="24">
        <v>1.9708802E7</v>
      </c>
      <c r="G53" s="24">
        <v>5.4953368E7</v>
      </c>
      <c r="H53" s="24">
        <v>0.0</v>
      </c>
      <c r="I53" s="21"/>
      <c r="J53" s="21"/>
      <c r="K53" s="21"/>
      <c r="L53" s="21"/>
      <c r="M53" s="21"/>
    </row>
    <row r="54" ht="18.0" customHeight="1">
      <c r="A54" s="21"/>
      <c r="B54" s="21"/>
      <c r="C54" s="38" t="s">
        <v>41</v>
      </c>
      <c r="D54" s="39">
        <v>1.2562412E7</v>
      </c>
      <c r="E54" s="39">
        <v>2.2310447E7</v>
      </c>
      <c r="F54" s="39">
        <v>1.5287451E7</v>
      </c>
      <c r="G54" s="39">
        <v>5.016031E7</v>
      </c>
      <c r="H54" s="39">
        <v>105247.0</v>
      </c>
      <c r="I54" s="21"/>
      <c r="J54" s="21">
        <v>-292617.0</v>
      </c>
      <c r="K54" s="21">
        <v>-79090.0</v>
      </c>
      <c r="L54" s="21">
        <v>-4421351.0</v>
      </c>
      <c r="M54" s="21">
        <v>-4793058.0</v>
      </c>
    </row>
    <row r="55" ht="18.0" hidden="1" customHeight="1" outlineLevel="1">
      <c r="A55" s="45"/>
      <c r="B55" s="46" t="s">
        <v>55</v>
      </c>
      <c r="C55" s="47" t="s">
        <v>40</v>
      </c>
      <c r="D55" s="48">
        <v>80000.0</v>
      </c>
      <c r="E55" s="48">
        <v>80000.0</v>
      </c>
      <c r="F55" s="48">
        <v>80000.0</v>
      </c>
      <c r="G55" s="48">
        <v>240000.0</v>
      </c>
      <c r="H55" s="48"/>
      <c r="I55" s="21"/>
      <c r="J55" s="21"/>
      <c r="K55" s="21"/>
      <c r="L55" s="21"/>
      <c r="M55" s="21"/>
    </row>
    <row r="56" ht="18.0" hidden="1" customHeight="1" outlineLevel="1">
      <c r="A56" s="45"/>
      <c r="B56" s="46"/>
      <c r="C56" s="49" t="s">
        <v>41</v>
      </c>
      <c r="D56" s="50">
        <v>90000.0</v>
      </c>
      <c r="E56" s="50">
        <v>80000.0</v>
      </c>
      <c r="F56" s="50">
        <v>90000.0</v>
      </c>
      <c r="G56" s="50">
        <v>260000.0</v>
      </c>
      <c r="H56" s="50">
        <v>0.0</v>
      </c>
      <c r="I56" s="21"/>
      <c r="J56" s="21">
        <v>10000.0</v>
      </c>
      <c r="K56" s="21">
        <v>0.0</v>
      </c>
      <c r="L56" s="21">
        <v>10000.0</v>
      </c>
      <c r="M56" s="21">
        <v>20000.0</v>
      </c>
    </row>
    <row r="57" ht="18.0" hidden="1" customHeight="1" outlineLevel="1">
      <c r="A57" s="45"/>
      <c r="B57" s="46" t="s">
        <v>56</v>
      </c>
      <c r="C57" s="47" t="s">
        <v>40</v>
      </c>
      <c r="D57" s="48">
        <v>3028283.0</v>
      </c>
      <c r="E57" s="48">
        <v>9910000.0</v>
      </c>
      <c r="F57" s="48">
        <v>880000.0</v>
      </c>
      <c r="G57" s="48">
        <v>1.3818283E7</v>
      </c>
      <c r="H57" s="48"/>
      <c r="I57" s="21"/>
      <c r="J57" s="21"/>
      <c r="K57" s="21"/>
      <c r="L57" s="21"/>
      <c r="M57" s="21"/>
    </row>
    <row r="58" ht="18.0" hidden="1" customHeight="1" outlineLevel="1">
      <c r="A58" s="45"/>
      <c r="B58" s="46"/>
      <c r="C58" s="49" t="s">
        <v>41</v>
      </c>
      <c r="D58" s="50">
        <v>1729096.0</v>
      </c>
      <c r="E58" s="50">
        <v>1.0415356E7</v>
      </c>
      <c r="F58" s="50">
        <v>571576.0</v>
      </c>
      <c r="G58" s="50">
        <v>1.2716028E7</v>
      </c>
      <c r="H58" s="50">
        <v>0.0</v>
      </c>
      <c r="I58" s="21"/>
      <c r="J58" s="21">
        <v>-1299187.0</v>
      </c>
      <c r="K58" s="21">
        <v>505356.0</v>
      </c>
      <c r="L58" s="21">
        <v>-308424.0</v>
      </c>
      <c r="M58" s="21">
        <v>-1102255.0</v>
      </c>
    </row>
    <row r="59" ht="18.0" hidden="1" customHeight="1" outlineLevel="1">
      <c r="A59" s="21"/>
      <c r="B59" s="46" t="s">
        <v>57</v>
      </c>
      <c r="C59" s="47" t="s">
        <v>40</v>
      </c>
      <c r="D59" s="48">
        <v>724000.0</v>
      </c>
      <c r="E59" s="48">
        <v>916704.0</v>
      </c>
      <c r="F59" s="48">
        <v>2750345.0</v>
      </c>
      <c r="G59" s="48">
        <v>4391049.0</v>
      </c>
      <c r="H59" s="48"/>
      <c r="I59" s="21"/>
      <c r="J59" s="21"/>
      <c r="K59" s="21"/>
      <c r="L59" s="21"/>
      <c r="M59" s="21"/>
    </row>
    <row r="60" ht="18.0" hidden="1" customHeight="1" outlineLevel="1">
      <c r="A60" s="21"/>
      <c r="B60" s="46"/>
      <c r="C60" s="49" t="s">
        <v>41</v>
      </c>
      <c r="D60" s="50">
        <v>1117546.0</v>
      </c>
      <c r="E60" s="50">
        <v>962543.0</v>
      </c>
      <c r="F60" s="50">
        <v>3301284.0</v>
      </c>
      <c r="G60" s="50">
        <v>5381373.0</v>
      </c>
      <c r="H60" s="50">
        <v>0.0</v>
      </c>
      <c r="I60" s="21"/>
      <c r="J60" s="21">
        <v>393546.0</v>
      </c>
      <c r="K60" s="21">
        <v>45839.0</v>
      </c>
      <c r="L60" s="21">
        <v>550939.0</v>
      </c>
      <c r="M60" s="21">
        <v>990324.0</v>
      </c>
    </row>
    <row r="61" ht="18.0" hidden="1" customHeight="1" outlineLevel="1">
      <c r="A61" s="21"/>
      <c r="B61" s="46" t="s">
        <v>59</v>
      </c>
      <c r="C61" s="47" t="s">
        <v>40</v>
      </c>
      <c r="D61" s="48">
        <v>699850.0</v>
      </c>
      <c r="E61" s="48">
        <v>525226.0</v>
      </c>
      <c r="F61" s="48">
        <v>541843.0</v>
      </c>
      <c r="G61" s="48">
        <v>1766919.0</v>
      </c>
      <c r="H61" s="48"/>
      <c r="I61" s="21"/>
      <c r="J61" s="21"/>
      <c r="K61" s="21"/>
      <c r="L61" s="21"/>
      <c r="M61" s="21"/>
    </row>
    <row r="62" ht="18.0" hidden="1" customHeight="1" outlineLevel="1">
      <c r="A62" s="21"/>
      <c r="B62" s="46"/>
      <c r="C62" s="49" t="s">
        <v>41</v>
      </c>
      <c r="D62" s="50">
        <v>560446.0</v>
      </c>
      <c r="E62" s="50">
        <v>384365.0</v>
      </c>
      <c r="F62" s="50">
        <v>355710.0</v>
      </c>
      <c r="G62" s="50">
        <v>1300521.0</v>
      </c>
      <c r="H62" s="50">
        <v>0.0</v>
      </c>
      <c r="I62" s="21"/>
      <c r="J62" s="21">
        <v>-139404.0</v>
      </c>
      <c r="K62" s="21">
        <v>-140861.0</v>
      </c>
      <c r="L62" s="21">
        <v>-186133.0</v>
      </c>
      <c r="M62" s="21">
        <v>-466398.0</v>
      </c>
    </row>
    <row r="63" ht="18.0" hidden="1" customHeight="1" outlineLevel="1">
      <c r="A63" s="21"/>
      <c r="B63" s="46" t="s">
        <v>60</v>
      </c>
      <c r="C63" s="47" t="s">
        <v>40</v>
      </c>
      <c r="D63" s="48">
        <v>1656000.0</v>
      </c>
      <c r="E63" s="48">
        <v>1684005.0</v>
      </c>
      <c r="F63" s="48">
        <v>2528965.0</v>
      </c>
      <c r="G63" s="48">
        <v>5868970.0</v>
      </c>
      <c r="H63" s="48"/>
      <c r="I63" s="21"/>
      <c r="J63" s="21"/>
      <c r="K63" s="21"/>
      <c r="L63" s="21"/>
      <c r="M63" s="21"/>
    </row>
    <row r="64" ht="18.0" hidden="1" customHeight="1" outlineLevel="1">
      <c r="A64" s="21"/>
      <c r="B64" s="46"/>
      <c r="C64" s="49" t="s">
        <v>41</v>
      </c>
      <c r="D64" s="50">
        <v>1694678.0</v>
      </c>
      <c r="E64" s="50">
        <v>1497133.0</v>
      </c>
      <c r="F64" s="50">
        <v>2503147.0</v>
      </c>
      <c r="G64" s="50">
        <v>5694958.0</v>
      </c>
      <c r="H64" s="50">
        <v>0.0</v>
      </c>
      <c r="I64" s="21"/>
      <c r="J64" s="21">
        <v>38678.0</v>
      </c>
      <c r="K64" s="21">
        <v>-186872.0</v>
      </c>
      <c r="L64" s="21">
        <v>-25818.0</v>
      </c>
      <c r="M64" s="21">
        <v>-174012.0</v>
      </c>
    </row>
    <row r="65" ht="18.0" hidden="1" customHeight="1" outlineLevel="1">
      <c r="A65" s="21"/>
      <c r="B65" s="46" t="s">
        <v>61</v>
      </c>
      <c r="C65" s="47" t="s">
        <v>40</v>
      </c>
      <c r="D65" s="48">
        <v>500000.0</v>
      </c>
      <c r="E65" s="48">
        <v>500000.0</v>
      </c>
      <c r="F65" s="48">
        <v>500000.0</v>
      </c>
      <c r="G65" s="48">
        <v>1500000.0</v>
      </c>
      <c r="H65" s="48"/>
      <c r="I65" s="21"/>
      <c r="J65" s="21"/>
      <c r="K65" s="21"/>
      <c r="L65" s="21"/>
      <c r="M65" s="21"/>
    </row>
    <row r="66" ht="18.0" hidden="1" customHeight="1" outlineLevel="1">
      <c r="A66" s="21"/>
      <c r="B66" s="46"/>
      <c r="C66" s="49" t="s">
        <v>41</v>
      </c>
      <c r="D66" s="50">
        <v>500000.0</v>
      </c>
      <c r="E66" s="50">
        <v>500000.0</v>
      </c>
      <c r="F66" s="50">
        <v>500000.0</v>
      </c>
      <c r="G66" s="50">
        <v>1500000.0</v>
      </c>
      <c r="H66" s="50">
        <v>0.0</v>
      </c>
      <c r="I66" s="21"/>
      <c r="J66" s="21">
        <v>0.0</v>
      </c>
      <c r="K66" s="21">
        <v>0.0</v>
      </c>
      <c r="L66" s="21">
        <v>0.0</v>
      </c>
      <c r="M66" s="21">
        <v>0.0</v>
      </c>
    </row>
    <row r="67" ht="18.0" hidden="1" customHeight="1" outlineLevel="1">
      <c r="A67" s="21"/>
      <c r="B67" s="46" t="s">
        <v>62</v>
      </c>
      <c r="C67" s="47" t="s">
        <v>40</v>
      </c>
      <c r="D67" s="48">
        <v>0.0</v>
      </c>
      <c r="E67" s="48">
        <v>0.0</v>
      </c>
      <c r="F67" s="48">
        <v>0.0</v>
      </c>
      <c r="G67" s="48">
        <v>0.0</v>
      </c>
      <c r="H67" s="48"/>
      <c r="I67" s="21"/>
      <c r="J67" s="21"/>
      <c r="K67" s="21"/>
      <c r="L67" s="21"/>
      <c r="M67" s="21"/>
    </row>
    <row r="68" ht="18.0" hidden="1" customHeight="1" outlineLevel="1">
      <c r="A68" s="21"/>
      <c r="B68" s="46"/>
      <c r="C68" s="49" t="s">
        <v>41</v>
      </c>
      <c r="D68" s="50">
        <v>0.0</v>
      </c>
      <c r="E68" s="50">
        <v>0.0</v>
      </c>
      <c r="F68" s="50">
        <v>0.0</v>
      </c>
      <c r="G68" s="50">
        <v>0.0</v>
      </c>
      <c r="H68" s="50">
        <v>0.0</v>
      </c>
      <c r="I68" s="21"/>
      <c r="J68" s="21">
        <v>0.0</v>
      </c>
      <c r="K68" s="21">
        <v>0.0</v>
      </c>
      <c r="L68" s="21">
        <v>0.0</v>
      </c>
      <c r="M68" s="21">
        <v>0.0</v>
      </c>
    </row>
    <row r="69" ht="18.0" hidden="1" customHeight="1" outlineLevel="1">
      <c r="A69" s="21"/>
      <c r="B69" s="46" t="s">
        <v>63</v>
      </c>
      <c r="C69" s="47" t="s">
        <v>40</v>
      </c>
      <c r="D69" s="48">
        <v>0.0</v>
      </c>
      <c r="E69" s="48">
        <v>0.0</v>
      </c>
      <c r="F69" s="48">
        <v>83334.0</v>
      </c>
      <c r="G69" s="48">
        <v>83334.0</v>
      </c>
      <c r="H69" s="48"/>
      <c r="I69" s="21"/>
      <c r="J69" s="21"/>
      <c r="K69" s="21"/>
      <c r="L69" s="21"/>
      <c r="M69" s="21"/>
    </row>
    <row r="70" ht="18.0" hidden="1" customHeight="1" outlineLevel="1">
      <c r="A70" s="21"/>
      <c r="B70" s="46"/>
      <c r="C70" s="49" t="s">
        <v>41</v>
      </c>
      <c r="D70" s="50">
        <v>0.0</v>
      </c>
      <c r="E70" s="50">
        <v>0.0</v>
      </c>
      <c r="F70" s="50">
        <v>83334.0</v>
      </c>
      <c r="G70" s="50">
        <v>83334.0</v>
      </c>
      <c r="H70" s="50">
        <v>0.0</v>
      </c>
      <c r="I70" s="21"/>
      <c r="J70" s="21">
        <v>0.0</v>
      </c>
      <c r="K70" s="21">
        <v>0.0</v>
      </c>
      <c r="L70" s="21">
        <v>0.0</v>
      </c>
      <c r="M70" s="21">
        <v>0.0</v>
      </c>
    </row>
    <row r="71" ht="18.0" hidden="1" customHeight="1" outlineLevel="1">
      <c r="A71" s="21"/>
      <c r="B71" s="46" t="s">
        <v>65</v>
      </c>
      <c r="C71" s="47" t="s">
        <v>40</v>
      </c>
      <c r="D71" s="48">
        <v>0.0</v>
      </c>
      <c r="E71" s="48">
        <v>0.0</v>
      </c>
      <c r="F71" s="48">
        <v>0.0</v>
      </c>
      <c r="G71" s="48">
        <v>0.0</v>
      </c>
      <c r="H71" s="48"/>
      <c r="I71" s="21"/>
      <c r="J71" s="21"/>
      <c r="K71" s="21"/>
      <c r="L71" s="21"/>
      <c r="M71" s="21"/>
    </row>
    <row r="72" ht="18.0" hidden="1" customHeight="1" outlineLevel="1">
      <c r="A72" s="21"/>
      <c r="B72" s="46"/>
      <c r="C72" s="49" t="s">
        <v>41</v>
      </c>
      <c r="D72" s="50">
        <v>0.0</v>
      </c>
      <c r="E72" s="50">
        <v>0.0</v>
      </c>
      <c r="F72" s="50">
        <v>0.0</v>
      </c>
      <c r="G72" s="50">
        <v>0.0</v>
      </c>
      <c r="H72" s="50">
        <v>0.0</v>
      </c>
      <c r="I72" s="21"/>
      <c r="J72" s="21">
        <v>0.0</v>
      </c>
      <c r="K72" s="21">
        <v>0.0</v>
      </c>
      <c r="L72" s="21">
        <v>0.0</v>
      </c>
      <c r="M72" s="21">
        <v>0.0</v>
      </c>
    </row>
    <row r="73" ht="18.0" hidden="1" customHeight="1" outlineLevel="1">
      <c r="A73" s="21"/>
      <c r="B73" s="46" t="s">
        <v>64</v>
      </c>
      <c r="C73" s="47" t="s">
        <v>40</v>
      </c>
      <c r="D73" s="48">
        <v>600000.0</v>
      </c>
      <c r="E73" s="48">
        <v>210000.0</v>
      </c>
      <c r="F73" s="48">
        <v>1238318.0</v>
      </c>
      <c r="G73" s="48">
        <v>2048318.0</v>
      </c>
      <c r="H73" s="48"/>
      <c r="I73" s="21"/>
      <c r="J73" s="21"/>
      <c r="K73" s="21"/>
      <c r="L73" s="21"/>
      <c r="M73" s="21"/>
    </row>
    <row r="74" ht="18.0" hidden="1" customHeight="1" outlineLevel="1">
      <c r="A74" s="21"/>
      <c r="B74" s="46"/>
      <c r="C74" s="49" t="s">
        <v>41</v>
      </c>
      <c r="D74" s="50">
        <v>800601.0</v>
      </c>
      <c r="E74" s="50">
        <v>744574.0</v>
      </c>
      <c r="F74" s="50">
        <v>910548.0</v>
      </c>
      <c r="G74" s="50">
        <v>2455723.0</v>
      </c>
      <c r="H74" s="50">
        <v>22260.0</v>
      </c>
      <c r="I74" s="21"/>
      <c r="J74" s="21">
        <v>200601.0</v>
      </c>
      <c r="K74" s="21">
        <v>534574.0</v>
      </c>
      <c r="L74" s="21">
        <v>-327770.0</v>
      </c>
      <c r="M74" s="21">
        <v>407405.0</v>
      </c>
    </row>
    <row r="75" ht="18.0" hidden="1" customHeight="1" outlineLevel="1">
      <c r="A75" s="21"/>
      <c r="B75" s="46" t="s">
        <v>66</v>
      </c>
      <c r="C75" s="47" t="s">
        <v>40</v>
      </c>
      <c r="D75" s="48">
        <v>120000.0</v>
      </c>
      <c r="E75" s="48">
        <v>10000.0</v>
      </c>
      <c r="F75" s="48">
        <v>1002861.0</v>
      </c>
      <c r="G75" s="48">
        <v>1132861.0</v>
      </c>
      <c r="H75" s="48"/>
      <c r="I75" s="21"/>
      <c r="J75" s="21"/>
      <c r="K75" s="21"/>
      <c r="L75" s="21"/>
      <c r="M75" s="21"/>
    </row>
    <row r="76" ht="18.0" hidden="1" customHeight="1" outlineLevel="1">
      <c r="A76" s="21"/>
      <c r="B76" s="46"/>
      <c r="C76" s="49" t="s">
        <v>41</v>
      </c>
      <c r="D76" s="50">
        <v>509495.0</v>
      </c>
      <c r="E76" s="50">
        <v>0.0</v>
      </c>
      <c r="F76" s="50">
        <v>984544.0</v>
      </c>
      <c r="G76" s="50">
        <v>1494039.0</v>
      </c>
      <c r="H76" s="50">
        <v>0.0</v>
      </c>
      <c r="I76" s="21"/>
      <c r="J76" s="21">
        <v>389495.0</v>
      </c>
      <c r="K76" s="21">
        <v>-10000.0</v>
      </c>
      <c r="L76" s="21">
        <v>-18317.0</v>
      </c>
      <c r="M76" s="21">
        <v>361178.0</v>
      </c>
    </row>
    <row r="77" ht="18.0" hidden="1" customHeight="1" outlineLevel="1">
      <c r="A77" s="21"/>
      <c r="B77" s="46" t="s">
        <v>67</v>
      </c>
      <c r="C77" s="47" t="s">
        <v>40</v>
      </c>
      <c r="D77" s="48">
        <v>10000.0</v>
      </c>
      <c r="E77" s="48">
        <v>5000.0</v>
      </c>
      <c r="F77" s="48">
        <v>5000.0</v>
      </c>
      <c r="G77" s="48">
        <v>20000.0</v>
      </c>
      <c r="H77" s="48"/>
      <c r="I77" s="21"/>
      <c r="J77" s="21"/>
      <c r="K77" s="21"/>
      <c r="L77" s="21"/>
      <c r="M77" s="21"/>
    </row>
    <row r="78" ht="18.0" hidden="1" customHeight="1" outlineLevel="1">
      <c r="A78" s="21"/>
      <c r="B78" s="46"/>
      <c r="C78" s="49" t="s">
        <v>41</v>
      </c>
      <c r="D78" s="50">
        <v>9899.0</v>
      </c>
      <c r="E78" s="50">
        <v>281047.0</v>
      </c>
      <c r="F78" s="50">
        <v>335.0</v>
      </c>
      <c r="G78" s="50">
        <v>291281.0</v>
      </c>
      <c r="H78" s="50">
        <v>0.0</v>
      </c>
      <c r="I78" s="21"/>
      <c r="J78" s="21">
        <v>-101.0</v>
      </c>
      <c r="K78" s="21">
        <v>276047.0</v>
      </c>
      <c r="L78" s="21">
        <v>-4665.0</v>
      </c>
      <c r="M78" s="21">
        <v>271281.0</v>
      </c>
    </row>
    <row r="79" ht="18.0" hidden="1" customHeight="1" outlineLevel="1">
      <c r="A79" s="21"/>
      <c r="B79" s="46" t="s">
        <v>68</v>
      </c>
      <c r="C79" s="47" t="s">
        <v>40</v>
      </c>
      <c r="D79" s="48">
        <v>0.0</v>
      </c>
      <c r="E79" s="48">
        <v>0.0</v>
      </c>
      <c r="F79" s="48">
        <v>0.0</v>
      </c>
      <c r="G79" s="48">
        <v>0.0</v>
      </c>
      <c r="H79" s="48"/>
      <c r="I79" s="21"/>
      <c r="J79" s="21"/>
      <c r="K79" s="21"/>
      <c r="L79" s="21"/>
      <c r="M79" s="21"/>
    </row>
    <row r="80" ht="18.0" hidden="1" customHeight="1" outlineLevel="1">
      <c r="A80" s="21"/>
      <c r="B80" s="46"/>
      <c r="C80" s="49" t="s">
        <v>41</v>
      </c>
      <c r="D80" s="50">
        <v>0.0</v>
      </c>
      <c r="E80" s="50">
        <v>0.0</v>
      </c>
      <c r="F80" s="50">
        <v>2955.0</v>
      </c>
      <c r="G80" s="50">
        <v>2955.0</v>
      </c>
      <c r="H80" s="50">
        <v>0.0</v>
      </c>
      <c r="I80" s="21"/>
      <c r="J80" s="21">
        <v>0.0</v>
      </c>
      <c r="K80" s="21">
        <v>0.0</v>
      </c>
      <c r="L80" s="21">
        <v>2955.0</v>
      </c>
      <c r="M80" s="21">
        <v>2955.0</v>
      </c>
    </row>
    <row r="81" ht="18.0" hidden="1" customHeight="1" outlineLevel="1">
      <c r="A81" s="21"/>
      <c r="B81" s="46" t="s">
        <v>69</v>
      </c>
      <c r="C81" s="47" t="s">
        <v>40</v>
      </c>
      <c r="D81" s="48">
        <v>115000.0</v>
      </c>
      <c r="E81" s="48">
        <v>150000.0</v>
      </c>
      <c r="F81" s="48">
        <v>149920.0</v>
      </c>
      <c r="G81" s="48">
        <v>414920.0</v>
      </c>
      <c r="H81" s="48"/>
      <c r="I81" s="21"/>
      <c r="J81" s="21"/>
      <c r="K81" s="21"/>
      <c r="L81" s="21"/>
      <c r="M81" s="21"/>
    </row>
    <row r="82" ht="18.0" hidden="1" customHeight="1" outlineLevel="1">
      <c r="A82" s="21"/>
      <c r="B82" s="46"/>
      <c r="C82" s="49" t="s">
        <v>41</v>
      </c>
      <c r="D82" s="50">
        <v>210267.0</v>
      </c>
      <c r="E82" s="50">
        <v>212203.0</v>
      </c>
      <c r="F82" s="50">
        <v>154273.0</v>
      </c>
      <c r="G82" s="50">
        <v>576743.0</v>
      </c>
      <c r="H82" s="50">
        <v>477.0</v>
      </c>
      <c r="I82" s="21"/>
      <c r="J82" s="21">
        <v>95267.0</v>
      </c>
      <c r="K82" s="21">
        <v>62203.0</v>
      </c>
      <c r="L82" s="21">
        <v>4353.0</v>
      </c>
      <c r="M82" s="21">
        <v>161823.0</v>
      </c>
    </row>
    <row r="83" ht="18.0" hidden="1" customHeight="1" outlineLevel="1">
      <c r="A83" s="21"/>
      <c r="B83" s="46" t="s">
        <v>70</v>
      </c>
      <c r="C83" s="47" t="s">
        <v>40</v>
      </c>
      <c r="D83" s="48">
        <v>657177.0</v>
      </c>
      <c r="E83" s="48">
        <v>791167.0</v>
      </c>
      <c r="F83" s="48">
        <v>1192342.0</v>
      </c>
      <c r="G83" s="48">
        <v>2640686.0</v>
      </c>
      <c r="H83" s="48"/>
      <c r="I83" s="21"/>
      <c r="J83" s="21"/>
      <c r="K83" s="21"/>
      <c r="L83" s="21"/>
      <c r="M83" s="21"/>
    </row>
    <row r="84" ht="18.0" hidden="1" customHeight="1" outlineLevel="1">
      <c r="A84" s="21"/>
      <c r="B84" s="46"/>
      <c r="C84" s="49" t="s">
        <v>41</v>
      </c>
      <c r="D84" s="50">
        <v>657375.0</v>
      </c>
      <c r="E84" s="50">
        <v>732241.0</v>
      </c>
      <c r="F84" s="50">
        <v>1208907.0</v>
      </c>
      <c r="G84" s="50">
        <v>2598523.0</v>
      </c>
      <c r="H84" s="50">
        <v>0.0</v>
      </c>
      <c r="I84" s="21"/>
      <c r="J84" s="21">
        <v>198.0</v>
      </c>
      <c r="K84" s="21">
        <v>-58926.0</v>
      </c>
      <c r="L84" s="21">
        <v>16565.0</v>
      </c>
      <c r="M84" s="21">
        <v>-42163.0</v>
      </c>
    </row>
    <row r="85" ht="18.0" hidden="1" customHeight="1" outlineLevel="1">
      <c r="A85" s="21"/>
      <c r="B85" s="46" t="s">
        <v>71</v>
      </c>
      <c r="C85" s="47" t="s">
        <v>40</v>
      </c>
      <c r="D85" s="48">
        <v>10000.0</v>
      </c>
      <c r="E85" s="48">
        <v>10000.0</v>
      </c>
      <c r="F85" s="48">
        <v>105000.0</v>
      </c>
      <c r="G85" s="48">
        <v>125000.0</v>
      </c>
      <c r="H85" s="48"/>
      <c r="I85" s="21"/>
      <c r="J85" s="21"/>
      <c r="K85" s="21"/>
      <c r="L85" s="21"/>
      <c r="M85" s="21"/>
    </row>
    <row r="86" ht="18.0" hidden="1" customHeight="1" outlineLevel="1">
      <c r="A86" s="21"/>
      <c r="B86" s="46"/>
      <c r="C86" s="49" t="s">
        <v>41</v>
      </c>
      <c r="D86" s="50">
        <v>27673.0</v>
      </c>
      <c r="E86" s="50">
        <v>2700.0</v>
      </c>
      <c r="F86" s="50">
        <v>42630.0</v>
      </c>
      <c r="G86" s="50">
        <v>73003.0</v>
      </c>
      <c r="H86" s="50">
        <v>7610.0</v>
      </c>
      <c r="I86" s="21"/>
      <c r="J86" s="21">
        <v>17673.0</v>
      </c>
      <c r="K86" s="21">
        <v>-7300.0</v>
      </c>
      <c r="L86" s="21">
        <v>-62370.0</v>
      </c>
      <c r="M86" s="21">
        <v>-51997.0</v>
      </c>
    </row>
    <row r="87" ht="18.0" hidden="1" customHeight="1" outlineLevel="1">
      <c r="A87" s="21"/>
      <c r="B87" s="46" t="s">
        <v>72</v>
      </c>
      <c r="C87" s="47" t="s">
        <v>40</v>
      </c>
      <c r="D87" s="48">
        <v>550000.0</v>
      </c>
      <c r="E87" s="48">
        <v>550000.0</v>
      </c>
      <c r="F87" s="48">
        <v>500000.0</v>
      </c>
      <c r="G87" s="48">
        <v>1600000.0</v>
      </c>
      <c r="H87" s="48"/>
      <c r="I87" s="21"/>
      <c r="J87" s="21"/>
      <c r="K87" s="21"/>
      <c r="L87" s="21"/>
      <c r="M87" s="21"/>
    </row>
    <row r="88" ht="18.0" hidden="1" customHeight="1" outlineLevel="1">
      <c r="A88" s="21"/>
      <c r="B88" s="46"/>
      <c r="C88" s="49" t="s">
        <v>41</v>
      </c>
      <c r="D88" s="50">
        <v>159479.0</v>
      </c>
      <c r="E88" s="50">
        <v>309106.0</v>
      </c>
      <c r="F88" s="50">
        <v>414366.0</v>
      </c>
      <c r="G88" s="50">
        <v>882951.0</v>
      </c>
      <c r="H88" s="50">
        <v>46797.0</v>
      </c>
      <c r="I88" s="21"/>
      <c r="J88" s="21">
        <v>-390521.0</v>
      </c>
      <c r="K88" s="21">
        <v>-240894.0</v>
      </c>
      <c r="L88" s="21">
        <v>-85634.0</v>
      </c>
      <c r="M88" s="21">
        <v>-717049.0</v>
      </c>
    </row>
    <row r="89" ht="18.0" hidden="1" customHeight="1" outlineLevel="1">
      <c r="A89" s="21"/>
      <c r="B89" s="46" t="s">
        <v>73</v>
      </c>
      <c r="C89" s="47" t="s">
        <v>40</v>
      </c>
      <c r="D89" s="48">
        <v>94696.0</v>
      </c>
      <c r="E89" s="48">
        <v>70310.0</v>
      </c>
      <c r="F89" s="48">
        <v>101170.0</v>
      </c>
      <c r="G89" s="48">
        <v>266176.0</v>
      </c>
      <c r="H89" s="48"/>
      <c r="I89" s="21"/>
      <c r="J89" s="21"/>
      <c r="K89" s="21"/>
      <c r="L89" s="21"/>
      <c r="M89" s="21"/>
    </row>
    <row r="90" ht="18.0" hidden="1" customHeight="1" outlineLevel="1">
      <c r="A90" s="21"/>
      <c r="B90" s="46"/>
      <c r="C90" s="49" t="s">
        <v>41</v>
      </c>
      <c r="D90" s="50">
        <v>120485.0</v>
      </c>
      <c r="E90" s="50">
        <v>156745.0</v>
      </c>
      <c r="F90" s="50">
        <v>203003.0</v>
      </c>
      <c r="G90" s="50">
        <v>480233.0</v>
      </c>
      <c r="H90" s="50">
        <v>0.0</v>
      </c>
      <c r="I90" s="21"/>
      <c r="J90" s="21">
        <v>25789.0</v>
      </c>
      <c r="K90" s="21">
        <v>86435.0</v>
      </c>
      <c r="L90" s="21">
        <v>101833.0</v>
      </c>
      <c r="M90" s="21">
        <v>214057.0</v>
      </c>
    </row>
    <row r="91" ht="18.0" hidden="1" customHeight="1" outlineLevel="1">
      <c r="A91" s="21"/>
      <c r="B91" s="46" t="s">
        <v>74</v>
      </c>
      <c r="C91" s="47" t="s">
        <v>40</v>
      </c>
      <c r="D91" s="48">
        <v>220800.0</v>
      </c>
      <c r="E91" s="48">
        <v>40000.0</v>
      </c>
      <c r="F91" s="48">
        <v>0.0</v>
      </c>
      <c r="G91" s="48">
        <v>260800.0</v>
      </c>
      <c r="H91" s="48"/>
      <c r="I91" s="21"/>
      <c r="J91" s="21"/>
      <c r="K91" s="21"/>
      <c r="L91" s="21"/>
      <c r="M91" s="21"/>
    </row>
    <row r="92" ht="18.0" hidden="1" customHeight="1" outlineLevel="1">
      <c r="A92" s="21"/>
      <c r="B92" s="46"/>
      <c r="C92" s="49" t="s">
        <v>41</v>
      </c>
      <c r="D92" s="50">
        <v>229800.0</v>
      </c>
      <c r="E92" s="50">
        <v>40000.0</v>
      </c>
      <c r="F92" s="50">
        <v>0.0</v>
      </c>
      <c r="G92" s="50">
        <v>269800.0</v>
      </c>
      <c r="H92" s="50">
        <v>0.0</v>
      </c>
      <c r="I92" s="21"/>
      <c r="J92" s="21">
        <v>9000.0</v>
      </c>
      <c r="K92" s="21">
        <v>0.0</v>
      </c>
      <c r="L92" s="21">
        <v>0.0</v>
      </c>
      <c r="M92" s="21">
        <v>9000.0</v>
      </c>
    </row>
    <row r="93" ht="18.0" hidden="1" customHeight="1" outlineLevel="1">
      <c r="A93" s="21"/>
      <c r="B93" s="46" t="s">
        <v>109</v>
      </c>
      <c r="C93" s="47" t="s">
        <v>40</v>
      </c>
      <c r="D93" s="48">
        <v>7223.0</v>
      </c>
      <c r="E93" s="48">
        <v>5275.0</v>
      </c>
      <c r="F93" s="48">
        <v>21704.0</v>
      </c>
      <c r="G93" s="48">
        <v>34202.0</v>
      </c>
      <c r="H93" s="48"/>
      <c r="I93" s="21"/>
      <c r="J93" s="21"/>
      <c r="K93" s="21"/>
      <c r="L93" s="21"/>
      <c r="M93" s="21"/>
    </row>
    <row r="94" ht="18.0" hidden="1" customHeight="1" outlineLevel="1">
      <c r="A94" s="21"/>
      <c r="B94" s="46"/>
      <c r="C94" s="49" t="s">
        <v>41</v>
      </c>
      <c r="D94" s="50">
        <v>7223.0</v>
      </c>
      <c r="E94" s="50">
        <v>3704.0</v>
      </c>
      <c r="F94" s="50">
        <v>22704.0</v>
      </c>
      <c r="G94" s="50">
        <v>33631.0</v>
      </c>
      <c r="H94" s="50">
        <v>0.0</v>
      </c>
      <c r="I94" s="21"/>
      <c r="J94" s="21">
        <v>0.0</v>
      </c>
      <c r="K94" s="21">
        <v>-1571.0</v>
      </c>
      <c r="L94" s="21">
        <v>1000.0</v>
      </c>
      <c r="M94" s="21">
        <v>-571.0</v>
      </c>
    </row>
    <row r="95" ht="18.0" hidden="1" customHeight="1" outlineLevel="1">
      <c r="A95" s="21"/>
      <c r="B95" s="46" t="s">
        <v>77</v>
      </c>
      <c r="C95" s="47" t="s">
        <v>40</v>
      </c>
      <c r="D95" s="48">
        <v>10000.0</v>
      </c>
      <c r="E95" s="48">
        <v>50000.0</v>
      </c>
      <c r="F95" s="48">
        <v>50000.0</v>
      </c>
      <c r="G95" s="48">
        <v>110000.0</v>
      </c>
      <c r="H95" s="48"/>
      <c r="I95" s="21"/>
      <c r="J95" s="21"/>
      <c r="K95" s="21"/>
      <c r="L95" s="21"/>
      <c r="M95" s="21"/>
    </row>
    <row r="96" ht="18.0" hidden="1" customHeight="1" outlineLevel="1">
      <c r="A96" s="21"/>
      <c r="B96" s="46"/>
      <c r="C96" s="49" t="s">
        <v>41</v>
      </c>
      <c r="D96" s="50">
        <v>800.0</v>
      </c>
      <c r="E96" s="50">
        <v>69818.0</v>
      </c>
      <c r="F96" s="50">
        <v>25408.0</v>
      </c>
      <c r="G96" s="50">
        <v>96026.0</v>
      </c>
      <c r="H96" s="50">
        <v>0.0</v>
      </c>
      <c r="I96" s="21"/>
      <c r="J96" s="21">
        <v>-9200.0</v>
      </c>
      <c r="K96" s="21">
        <v>19818.0</v>
      </c>
      <c r="L96" s="21">
        <v>-24592.0</v>
      </c>
      <c r="M96" s="21">
        <v>-13974.0</v>
      </c>
    </row>
    <row r="97" ht="18.0" hidden="1" customHeight="1" outlineLevel="1">
      <c r="A97" s="21"/>
      <c r="B97" s="46" t="s">
        <v>110</v>
      </c>
      <c r="C97" s="47" t="s">
        <v>40</v>
      </c>
      <c r="D97" s="48">
        <v>3772000.0</v>
      </c>
      <c r="E97" s="48">
        <v>6435600.0</v>
      </c>
      <c r="F97" s="48">
        <v>7610000.0</v>
      </c>
      <c r="G97" s="48">
        <v>1.78176E7</v>
      </c>
      <c r="H97" s="48"/>
      <c r="I97" s="21"/>
      <c r="J97" s="21"/>
      <c r="K97" s="21"/>
      <c r="L97" s="21"/>
      <c r="M97" s="21"/>
    </row>
    <row r="98" ht="18.0" hidden="1" customHeight="1" outlineLevel="1">
      <c r="A98" s="21"/>
      <c r="B98" s="46"/>
      <c r="C98" s="49" t="s">
        <v>41</v>
      </c>
      <c r="D98" s="50">
        <v>4106949.0</v>
      </c>
      <c r="E98" s="50">
        <v>5633036.0</v>
      </c>
      <c r="F98" s="50">
        <v>3594238.0</v>
      </c>
      <c r="G98" s="50">
        <v>1.3334223E7</v>
      </c>
      <c r="H98" s="50">
        <v>0.0</v>
      </c>
      <c r="I98" s="21"/>
      <c r="J98" s="21">
        <v>334949.0</v>
      </c>
      <c r="K98" s="21">
        <v>-802564.0</v>
      </c>
      <c r="L98" s="21">
        <v>-4015762.0</v>
      </c>
      <c r="M98" s="21">
        <v>-4483377.0</v>
      </c>
    </row>
    <row r="99" ht="18.0" hidden="1" customHeight="1" outlineLevel="1">
      <c r="A99" s="21"/>
      <c r="B99" s="46" t="s">
        <v>111</v>
      </c>
      <c r="C99" s="47" t="s">
        <v>40</v>
      </c>
      <c r="D99" s="48">
        <v>0.0</v>
      </c>
      <c r="E99" s="48">
        <v>446250.0</v>
      </c>
      <c r="F99" s="48">
        <v>368000.0</v>
      </c>
      <c r="G99" s="48">
        <v>814250.0</v>
      </c>
      <c r="H99" s="48"/>
      <c r="I99" s="21"/>
      <c r="J99" s="21"/>
      <c r="K99" s="21"/>
      <c r="L99" s="21"/>
      <c r="M99" s="21"/>
    </row>
    <row r="100" ht="18.0" hidden="1" customHeight="1" outlineLevel="1">
      <c r="A100" s="21"/>
      <c r="B100" s="46"/>
      <c r="C100" s="49" t="s">
        <v>41</v>
      </c>
      <c r="D100" s="50">
        <v>30600.0</v>
      </c>
      <c r="E100" s="50">
        <v>205840.0</v>
      </c>
      <c r="F100" s="50">
        <v>318489.0</v>
      </c>
      <c r="G100" s="50">
        <v>554929.0</v>
      </c>
      <c r="H100" s="50">
        <v>0.0</v>
      </c>
      <c r="I100" s="21"/>
      <c r="J100" s="21">
        <v>30600.0</v>
      </c>
      <c r="K100" s="21">
        <v>-240410.0</v>
      </c>
      <c r="L100" s="21">
        <v>-49511.0</v>
      </c>
      <c r="M100" s="21">
        <v>-259321.0</v>
      </c>
    </row>
    <row r="101" ht="18.0" hidden="1" customHeight="1" outlineLevel="1">
      <c r="A101" s="21"/>
      <c r="B101" s="46" t="s">
        <v>112</v>
      </c>
      <c r="C101" s="47" t="s">
        <v>40</v>
      </c>
      <c r="D101" s="48">
        <v>0.0</v>
      </c>
      <c r="E101" s="48">
        <v>0.0</v>
      </c>
      <c r="F101" s="48">
        <v>0.0</v>
      </c>
      <c r="G101" s="48">
        <v>0.0</v>
      </c>
      <c r="H101" s="48"/>
      <c r="I101" s="21"/>
      <c r="J101" s="21"/>
      <c r="K101" s="21"/>
      <c r="L101" s="21"/>
      <c r="M101" s="21"/>
    </row>
    <row r="102" ht="18.0" hidden="1" customHeight="1" outlineLevel="1">
      <c r="A102" s="21"/>
      <c r="B102" s="46"/>
      <c r="C102" s="49" t="s">
        <v>41</v>
      </c>
      <c r="D102" s="50">
        <v>0.0</v>
      </c>
      <c r="E102" s="50">
        <v>3074.0</v>
      </c>
      <c r="F102" s="50">
        <v>0.0</v>
      </c>
      <c r="G102" s="50">
        <v>3074.0</v>
      </c>
      <c r="H102" s="50">
        <v>0.0</v>
      </c>
      <c r="I102" s="21"/>
      <c r="J102" s="21">
        <v>0.0</v>
      </c>
      <c r="K102" s="21">
        <v>3074.0</v>
      </c>
      <c r="L102" s="21">
        <v>0.0</v>
      </c>
      <c r="M102" s="21">
        <v>3074.0</v>
      </c>
    </row>
    <row r="103" ht="18.0" hidden="1" customHeight="1" outlineLevel="1">
      <c r="A103" s="21"/>
      <c r="B103" s="46" t="s">
        <v>75</v>
      </c>
      <c r="C103" s="47" t="s">
        <v>40</v>
      </c>
      <c r="D103" s="48">
        <v>0.0</v>
      </c>
      <c r="E103" s="48">
        <v>0.0</v>
      </c>
      <c r="F103" s="48">
        <v>0.0</v>
      </c>
      <c r="G103" s="48">
        <v>0.0</v>
      </c>
      <c r="H103" s="48"/>
      <c r="I103" s="21"/>
      <c r="J103" s="21"/>
      <c r="K103" s="21"/>
      <c r="L103" s="21"/>
      <c r="M103" s="21"/>
    </row>
    <row r="104" ht="18.0" hidden="1" customHeight="1" outlineLevel="1">
      <c r="A104" s="21"/>
      <c r="B104" s="46"/>
      <c r="C104" s="49" t="s">
        <v>41</v>
      </c>
      <c r="D104" s="50">
        <v>0.0</v>
      </c>
      <c r="E104" s="50">
        <v>0.0</v>
      </c>
      <c r="F104" s="50">
        <v>0.0</v>
      </c>
      <c r="G104" s="50">
        <v>0.0</v>
      </c>
      <c r="H104" s="50">
        <v>0.0</v>
      </c>
      <c r="I104" s="21"/>
      <c r="J104" s="21">
        <v>0.0</v>
      </c>
      <c r="K104" s="21">
        <v>0.0</v>
      </c>
      <c r="L104" s="21">
        <v>0.0</v>
      </c>
      <c r="M104" s="21">
        <v>0.0</v>
      </c>
    </row>
    <row r="105" ht="18.0" hidden="1" customHeight="1" outlineLevel="1">
      <c r="A105" s="21"/>
      <c r="B105" s="46" t="s">
        <v>80</v>
      </c>
      <c r="C105" s="47" t="s">
        <v>40</v>
      </c>
      <c r="D105" s="48">
        <v>0.0</v>
      </c>
      <c r="E105" s="48">
        <v>0.0</v>
      </c>
      <c r="F105" s="48">
        <v>0.0</v>
      </c>
      <c r="G105" s="48">
        <v>0.0</v>
      </c>
      <c r="H105" s="48"/>
      <c r="I105" s="21"/>
      <c r="J105" s="21"/>
      <c r="K105" s="21"/>
      <c r="L105" s="21"/>
      <c r="M105" s="21"/>
    </row>
    <row r="106" ht="18.0" hidden="1" customHeight="1" outlineLevel="1">
      <c r="A106" s="21"/>
      <c r="B106" s="46"/>
      <c r="C106" s="49" t="s">
        <v>41</v>
      </c>
      <c r="D106" s="50">
        <v>0.0</v>
      </c>
      <c r="E106" s="50">
        <v>0.0</v>
      </c>
      <c r="F106" s="50">
        <v>0.0</v>
      </c>
      <c r="G106" s="50">
        <v>0.0</v>
      </c>
      <c r="H106" s="50">
        <v>0.0</v>
      </c>
      <c r="I106" s="21"/>
      <c r="J106" s="21">
        <v>0.0</v>
      </c>
      <c r="K106" s="21">
        <v>0.0</v>
      </c>
      <c r="L106" s="21">
        <v>0.0</v>
      </c>
      <c r="M106" s="21">
        <v>0.0</v>
      </c>
    </row>
    <row r="107" ht="18.0" hidden="1" customHeight="1" outlineLevel="1">
      <c r="A107" s="21"/>
      <c r="B107" s="46" t="s">
        <v>79</v>
      </c>
      <c r="C107" s="47" t="s">
        <v>40</v>
      </c>
      <c r="D107" s="48">
        <v>0.0</v>
      </c>
      <c r="E107" s="48">
        <v>0.0</v>
      </c>
      <c r="F107" s="48">
        <v>0.0</v>
      </c>
      <c r="G107" s="48">
        <v>0.0</v>
      </c>
      <c r="H107" s="48"/>
      <c r="I107" s="21"/>
      <c r="J107" s="21"/>
      <c r="K107" s="21"/>
      <c r="L107" s="21"/>
      <c r="M107" s="21"/>
    </row>
    <row r="108" ht="18.0" hidden="1" customHeight="1" outlineLevel="1">
      <c r="A108" s="21"/>
      <c r="B108" s="46"/>
      <c r="C108" s="49" t="s">
        <v>41</v>
      </c>
      <c r="D108" s="50">
        <v>0.0</v>
      </c>
      <c r="E108" s="50">
        <v>0.0</v>
      </c>
      <c r="F108" s="50">
        <v>0.0</v>
      </c>
      <c r="G108" s="50">
        <v>0.0</v>
      </c>
      <c r="H108" s="50">
        <v>28103.0</v>
      </c>
      <c r="I108" s="21"/>
      <c r="J108" s="21">
        <v>0.0</v>
      </c>
      <c r="K108" s="21">
        <v>0.0</v>
      </c>
      <c r="L108" s="21">
        <v>0.0</v>
      </c>
      <c r="M108" s="21">
        <v>0.0</v>
      </c>
    </row>
    <row r="109" ht="18.0" hidden="1" customHeight="1" outlineLevel="1">
      <c r="A109" s="21"/>
      <c r="B109" s="46" t="s">
        <v>78</v>
      </c>
      <c r="C109" s="47" t="s">
        <v>40</v>
      </c>
      <c r="D109" s="50"/>
      <c r="E109" s="50"/>
      <c r="F109" s="50"/>
      <c r="G109" s="50"/>
      <c r="H109" s="50"/>
      <c r="I109" s="21"/>
      <c r="J109" s="21"/>
      <c r="K109" s="21"/>
      <c r="L109" s="21"/>
      <c r="M109" s="21"/>
    </row>
    <row r="110" ht="18.0" hidden="1" customHeight="1" outlineLevel="1">
      <c r="A110" s="21"/>
      <c r="B110" s="46"/>
      <c r="C110" s="49" t="s">
        <v>41</v>
      </c>
      <c r="D110" s="50">
        <v>0.0</v>
      </c>
      <c r="E110" s="50">
        <v>76962.0</v>
      </c>
      <c r="F110" s="50">
        <v>0.0</v>
      </c>
      <c r="G110" s="50">
        <v>76962.0</v>
      </c>
      <c r="H110" s="50">
        <v>0.0</v>
      </c>
      <c r="I110" s="21"/>
      <c r="J110" s="21">
        <v>0.0</v>
      </c>
      <c r="K110" s="21">
        <v>76962.0</v>
      </c>
      <c r="L110" s="21">
        <v>0.0</v>
      </c>
      <c r="M110" s="21">
        <v>76962.0</v>
      </c>
    </row>
    <row r="111" ht="18.0" hidden="1" customHeight="1" outlineLevel="1">
      <c r="A111" s="21"/>
      <c r="B111" s="46" t="s">
        <v>113</v>
      </c>
      <c r="C111" s="47" t="s">
        <v>40</v>
      </c>
      <c r="D111" s="48">
        <v>0.0</v>
      </c>
      <c r="E111" s="48">
        <v>0.0</v>
      </c>
      <c r="F111" s="48">
        <v>0.0</v>
      </c>
      <c r="G111" s="48">
        <v>0.0</v>
      </c>
      <c r="H111" s="48"/>
      <c r="I111" s="21"/>
      <c r="J111" s="21"/>
      <c r="K111" s="21"/>
      <c r="L111" s="21"/>
      <c r="M111" s="21"/>
    </row>
    <row r="112" ht="18.0" hidden="1" customHeight="1" outlineLevel="1">
      <c r="A112" s="21"/>
      <c r="B112" s="46"/>
      <c r="C112" s="49" t="s">
        <v>41</v>
      </c>
      <c r="D112" s="50">
        <v>0.0</v>
      </c>
      <c r="E112" s="50">
        <v>0.0</v>
      </c>
      <c r="F112" s="50">
        <v>0.0</v>
      </c>
      <c r="G112" s="50">
        <v>0.0</v>
      </c>
      <c r="H112" s="50">
        <v>0.0</v>
      </c>
      <c r="I112" s="21"/>
      <c r="J112" s="21">
        <v>0.0</v>
      </c>
      <c r="K112" s="21">
        <v>0.0</v>
      </c>
      <c r="L112" s="21">
        <v>0.0</v>
      </c>
      <c r="M112" s="21">
        <v>0.0</v>
      </c>
    </row>
    <row r="113" ht="18.0" customHeight="1" collapsed="1">
      <c r="A113" s="21"/>
      <c r="B113" s="21" t="s">
        <v>30</v>
      </c>
      <c r="C113" s="4" t="s">
        <v>40</v>
      </c>
      <c r="D113" s="24">
        <v>5487433.0</v>
      </c>
      <c r="E113" s="24">
        <v>2701291.0</v>
      </c>
      <c r="F113" s="24">
        <v>6979213.0</v>
      </c>
      <c r="G113" s="24">
        <v>1.5167937E7</v>
      </c>
      <c r="H113" s="24">
        <v>0.0</v>
      </c>
      <c r="I113" s="21"/>
      <c r="J113" s="21"/>
      <c r="K113" s="21"/>
      <c r="L113" s="21"/>
      <c r="M113" s="21"/>
    </row>
    <row r="114" ht="18.0" customHeight="1">
      <c r="A114" s="21"/>
      <c r="B114" s="21"/>
      <c r="C114" s="38" t="s">
        <v>41</v>
      </c>
      <c r="D114" s="39">
        <v>4635781.0</v>
      </c>
      <c r="E114" s="39">
        <v>3913775.0</v>
      </c>
      <c r="F114" s="39">
        <v>7174847.0</v>
      </c>
      <c r="G114" s="39">
        <v>1.5724403E7</v>
      </c>
      <c r="H114" s="39">
        <v>211860.0</v>
      </c>
      <c r="I114" s="21"/>
      <c r="J114" s="21">
        <v>-851652.0</v>
      </c>
      <c r="K114" s="21">
        <v>1212484.0</v>
      </c>
      <c r="L114" s="21">
        <v>195634.0</v>
      </c>
      <c r="M114" s="21">
        <v>556466.0</v>
      </c>
    </row>
    <row r="115" ht="18.0" hidden="1" customHeight="1" outlineLevel="1">
      <c r="A115" s="21"/>
      <c r="B115" s="51" t="s">
        <v>35</v>
      </c>
      <c r="C115" s="52" t="s">
        <v>40</v>
      </c>
      <c r="D115" s="53">
        <v>3155411.0</v>
      </c>
      <c r="E115" s="53">
        <v>1138331.0</v>
      </c>
      <c r="F115" s="53">
        <v>4383087.0</v>
      </c>
      <c r="G115" s="53">
        <v>8676829.0</v>
      </c>
      <c r="H115" s="53"/>
      <c r="I115" s="21"/>
      <c r="J115" s="21"/>
      <c r="K115" s="21"/>
      <c r="L115" s="21"/>
      <c r="M115" s="21"/>
    </row>
    <row r="116" ht="18.0" hidden="1" customHeight="1" outlineLevel="1">
      <c r="A116" s="21"/>
      <c r="B116" s="51"/>
      <c r="C116" s="54" t="s">
        <v>41</v>
      </c>
      <c r="D116" s="55">
        <v>2084941.0</v>
      </c>
      <c r="E116" s="55">
        <v>2799672.0</v>
      </c>
      <c r="F116" s="55">
        <v>4940560.0</v>
      </c>
      <c r="G116" s="55">
        <v>9825173.0</v>
      </c>
      <c r="H116" s="55">
        <v>0.0</v>
      </c>
      <c r="I116" s="21"/>
      <c r="J116" s="21">
        <v>-1070470.0</v>
      </c>
      <c r="K116" s="21">
        <v>1661341.0</v>
      </c>
      <c r="L116" s="21">
        <v>557473.0</v>
      </c>
      <c r="M116" s="21">
        <v>1148344.0</v>
      </c>
    </row>
    <row r="117" ht="18.0" hidden="1" customHeight="1" outlineLevel="1">
      <c r="A117" s="21"/>
      <c r="B117" s="51" t="s">
        <v>114</v>
      </c>
      <c r="C117" s="52" t="s">
        <v>40</v>
      </c>
      <c r="D117" s="53">
        <v>0.0</v>
      </c>
      <c r="E117" s="53">
        <v>0.0</v>
      </c>
      <c r="F117" s="53">
        <v>391650.0</v>
      </c>
      <c r="G117" s="53">
        <v>391650.0</v>
      </c>
      <c r="H117" s="53"/>
      <c r="I117" s="21"/>
      <c r="J117" s="21"/>
      <c r="K117" s="21"/>
      <c r="L117" s="21"/>
      <c r="M117" s="21"/>
    </row>
    <row r="118" ht="18.0" hidden="1" customHeight="1" outlineLevel="1">
      <c r="A118" s="21"/>
      <c r="B118" s="51"/>
      <c r="C118" s="54" t="s">
        <v>41</v>
      </c>
      <c r="D118" s="55">
        <v>0.0</v>
      </c>
      <c r="E118" s="55">
        <v>0.0</v>
      </c>
      <c r="F118" s="55">
        <v>391651.0</v>
      </c>
      <c r="G118" s="55">
        <v>391651.0</v>
      </c>
      <c r="H118" s="55">
        <v>0.0</v>
      </c>
      <c r="I118" s="21"/>
      <c r="J118" s="21">
        <v>0.0</v>
      </c>
      <c r="K118" s="21">
        <v>0.0</v>
      </c>
      <c r="L118" s="21">
        <v>1.0</v>
      </c>
      <c r="M118" s="21">
        <v>1.0</v>
      </c>
    </row>
    <row r="119" ht="18.0" hidden="1" customHeight="1" outlineLevel="1">
      <c r="A119" s="21"/>
      <c r="B119" s="51" t="s">
        <v>82</v>
      </c>
      <c r="C119" s="52" t="s">
        <v>40</v>
      </c>
      <c r="D119" s="53">
        <v>1043532.0</v>
      </c>
      <c r="E119" s="53">
        <v>11136.0</v>
      </c>
      <c r="F119" s="53">
        <v>247408.0</v>
      </c>
      <c r="G119" s="53">
        <v>1302076.0</v>
      </c>
      <c r="H119" s="53"/>
      <c r="I119" s="21"/>
      <c r="J119" s="21"/>
      <c r="K119" s="21"/>
      <c r="L119" s="21"/>
      <c r="M119" s="21"/>
    </row>
    <row r="120" ht="18.0" hidden="1" customHeight="1" outlineLevel="1">
      <c r="A120" s="21"/>
      <c r="B120" s="51"/>
      <c r="C120" s="54" t="s">
        <v>41</v>
      </c>
      <c r="D120" s="55">
        <v>1267232.0</v>
      </c>
      <c r="E120" s="55">
        <v>11144.0</v>
      </c>
      <c r="F120" s="55">
        <v>309811.0</v>
      </c>
      <c r="G120" s="55">
        <v>1588187.0</v>
      </c>
      <c r="H120" s="55">
        <v>30000.0</v>
      </c>
      <c r="I120" s="21"/>
      <c r="J120" s="21">
        <v>223700.0</v>
      </c>
      <c r="K120" s="21">
        <v>8.0</v>
      </c>
      <c r="L120" s="21">
        <v>62403.0</v>
      </c>
      <c r="M120" s="21">
        <v>286111.0</v>
      </c>
    </row>
    <row r="121" ht="18.0" hidden="1" customHeight="1" outlineLevel="1">
      <c r="A121" s="21"/>
      <c r="B121" s="51" t="s">
        <v>83</v>
      </c>
      <c r="C121" s="52" t="s">
        <v>40</v>
      </c>
      <c r="D121" s="53">
        <v>527370.0</v>
      </c>
      <c r="E121" s="53">
        <v>452335.0</v>
      </c>
      <c r="F121" s="53">
        <v>782061.0</v>
      </c>
      <c r="G121" s="53">
        <v>1761766.0</v>
      </c>
      <c r="H121" s="53"/>
      <c r="I121" s="21"/>
      <c r="J121" s="21"/>
      <c r="K121" s="21"/>
      <c r="L121" s="21"/>
      <c r="M121" s="21"/>
    </row>
    <row r="122" ht="18.0" hidden="1" customHeight="1" outlineLevel="1">
      <c r="A122" s="21"/>
      <c r="B122" s="51"/>
      <c r="C122" s="54" t="s">
        <v>41</v>
      </c>
      <c r="D122" s="55">
        <v>396206.0</v>
      </c>
      <c r="E122" s="55">
        <v>354335.0</v>
      </c>
      <c r="F122" s="55">
        <v>225847.0</v>
      </c>
      <c r="G122" s="55">
        <v>976388.0</v>
      </c>
      <c r="H122" s="55">
        <v>0.0</v>
      </c>
      <c r="I122" s="21"/>
      <c r="J122" s="21">
        <v>-131164.0</v>
      </c>
      <c r="K122" s="21">
        <v>-98000.0</v>
      </c>
      <c r="L122" s="21">
        <v>-556214.0</v>
      </c>
      <c r="M122" s="21">
        <v>-785378.0</v>
      </c>
    </row>
    <row r="123" ht="18.0" hidden="1" customHeight="1" outlineLevel="1">
      <c r="A123" s="21"/>
      <c r="B123" s="51" t="s">
        <v>84</v>
      </c>
      <c r="C123" s="52" t="s">
        <v>40</v>
      </c>
      <c r="D123" s="53">
        <v>267500.0</v>
      </c>
      <c r="E123" s="53">
        <v>465006.0</v>
      </c>
      <c r="F123" s="53">
        <v>559573.0</v>
      </c>
      <c r="G123" s="53">
        <v>1292079.0</v>
      </c>
      <c r="H123" s="53"/>
      <c r="I123" s="21"/>
      <c r="J123" s="21"/>
      <c r="K123" s="21"/>
      <c r="L123" s="21"/>
      <c r="M123" s="21"/>
    </row>
    <row r="124" ht="18.0" hidden="1" customHeight="1" outlineLevel="1">
      <c r="A124" s="21"/>
      <c r="B124" s="51"/>
      <c r="C124" s="54" t="s">
        <v>41</v>
      </c>
      <c r="D124" s="55">
        <v>300170.0</v>
      </c>
      <c r="E124" s="55">
        <v>207103.0</v>
      </c>
      <c r="F124" s="55">
        <v>732651.0</v>
      </c>
      <c r="G124" s="55">
        <v>1239924.0</v>
      </c>
      <c r="H124" s="55">
        <v>106860.0</v>
      </c>
      <c r="I124" s="21"/>
      <c r="J124" s="21">
        <v>32670.0</v>
      </c>
      <c r="K124" s="21">
        <v>-257903.0</v>
      </c>
      <c r="L124" s="21">
        <v>173078.0</v>
      </c>
      <c r="M124" s="21">
        <v>-52155.0</v>
      </c>
    </row>
    <row r="125" ht="18.0" hidden="1" customHeight="1" outlineLevel="1">
      <c r="A125" s="21"/>
      <c r="B125" s="51" t="s">
        <v>85</v>
      </c>
      <c r="C125" s="52" t="s">
        <v>40</v>
      </c>
      <c r="D125" s="53">
        <v>354800.0</v>
      </c>
      <c r="E125" s="53">
        <v>617775.0</v>
      </c>
      <c r="F125" s="53">
        <v>485433.0</v>
      </c>
      <c r="G125" s="53">
        <v>1458008.0</v>
      </c>
      <c r="H125" s="53"/>
      <c r="I125" s="21"/>
      <c r="J125" s="21"/>
      <c r="K125" s="21"/>
      <c r="L125" s="21"/>
      <c r="M125" s="21"/>
    </row>
    <row r="126" ht="18.0" hidden="1" customHeight="1" outlineLevel="1">
      <c r="A126" s="21"/>
      <c r="B126" s="51"/>
      <c r="C126" s="54" t="s">
        <v>41</v>
      </c>
      <c r="D126" s="55">
        <v>426594.0</v>
      </c>
      <c r="E126" s="55">
        <v>492851.0</v>
      </c>
      <c r="F126" s="55">
        <v>460574.0</v>
      </c>
      <c r="G126" s="55">
        <v>1380019.0</v>
      </c>
      <c r="H126" s="55">
        <v>0.0</v>
      </c>
      <c r="I126" s="21"/>
      <c r="J126" s="21">
        <v>71794.0</v>
      </c>
      <c r="K126" s="21">
        <v>-124924.0</v>
      </c>
      <c r="L126" s="21">
        <v>-24859.0</v>
      </c>
      <c r="M126" s="21">
        <v>-77989.0</v>
      </c>
    </row>
    <row r="127" ht="18.0" hidden="1" customHeight="1" outlineLevel="1">
      <c r="A127" s="21"/>
      <c r="B127" s="51" t="s">
        <v>86</v>
      </c>
      <c r="C127" s="52" t="s">
        <v>40</v>
      </c>
      <c r="D127" s="53">
        <v>138820.0</v>
      </c>
      <c r="E127" s="53">
        <v>16708.0</v>
      </c>
      <c r="F127" s="53">
        <v>130001.0</v>
      </c>
      <c r="G127" s="53">
        <v>285529.0</v>
      </c>
      <c r="H127" s="53"/>
      <c r="I127" s="21"/>
      <c r="J127" s="21"/>
      <c r="K127" s="21"/>
      <c r="L127" s="21"/>
      <c r="M127" s="21"/>
    </row>
    <row r="128" ht="18.0" hidden="1" customHeight="1" outlineLevel="1">
      <c r="A128" s="21"/>
      <c r="B128" s="51"/>
      <c r="C128" s="54" t="s">
        <v>41</v>
      </c>
      <c r="D128" s="55">
        <v>160638.0</v>
      </c>
      <c r="E128" s="55">
        <v>48670.0</v>
      </c>
      <c r="F128" s="55">
        <v>113753.0</v>
      </c>
      <c r="G128" s="55">
        <v>323061.0</v>
      </c>
      <c r="H128" s="55">
        <v>75000.0</v>
      </c>
      <c r="I128" s="21"/>
      <c r="J128" s="21">
        <v>21818.0</v>
      </c>
      <c r="K128" s="21">
        <v>31962.0</v>
      </c>
      <c r="L128" s="21">
        <v>-16248.0</v>
      </c>
      <c r="M128" s="21">
        <v>37532.0</v>
      </c>
    </row>
    <row r="129" ht="18.0" customHeight="1" collapsed="1">
      <c r="A129" s="21"/>
      <c r="B129" s="21" t="s">
        <v>31</v>
      </c>
      <c r="C129" s="21" t="s">
        <v>46</v>
      </c>
      <c r="D129" s="24">
        <v>2975591.0</v>
      </c>
      <c r="E129" s="24">
        <v>2975591.0</v>
      </c>
      <c r="F129" s="24">
        <v>2975591.0</v>
      </c>
      <c r="G129" s="24">
        <v>8926773.0</v>
      </c>
      <c r="H129" s="24">
        <v>0.0</v>
      </c>
      <c r="I129" s="21"/>
      <c r="J129" s="21"/>
      <c r="K129" s="21"/>
      <c r="L129" s="21"/>
      <c r="M129" s="21"/>
    </row>
    <row r="130" ht="18.0" customHeight="1">
      <c r="A130" s="21"/>
      <c r="B130" s="21"/>
      <c r="C130" s="30" t="s">
        <v>41</v>
      </c>
      <c r="D130" s="39">
        <v>3255483.0</v>
      </c>
      <c r="E130" s="39">
        <v>3255483.0</v>
      </c>
      <c r="F130" s="39">
        <v>3255483.0</v>
      </c>
      <c r="G130" s="39">
        <v>9766449.0</v>
      </c>
      <c r="H130" s="39">
        <v>0.0</v>
      </c>
      <c r="I130" s="21"/>
      <c r="J130" s="21">
        <v>279892.0</v>
      </c>
      <c r="K130" s="21">
        <v>279892.0</v>
      </c>
      <c r="L130" s="21">
        <v>279892.0</v>
      </c>
      <c r="M130" s="21">
        <v>839676.0</v>
      </c>
    </row>
    <row r="131" ht="18.0" customHeight="1">
      <c r="A131" s="21"/>
      <c r="B131" s="22" t="s">
        <v>32</v>
      </c>
      <c r="C131" s="35" t="s">
        <v>40</v>
      </c>
      <c r="D131" s="37">
        <v>3.5312416E7</v>
      </c>
      <c r="E131" s="37">
        <v>4.3462616E7</v>
      </c>
      <c r="F131" s="37">
        <v>4.6943266E7</v>
      </c>
      <c r="G131" s="37">
        <v>1.25718298E8</v>
      </c>
      <c r="H131" s="37">
        <v>0.0</v>
      </c>
      <c r="I131" s="21"/>
      <c r="J131" s="21"/>
      <c r="K131" s="21"/>
      <c r="L131" s="21"/>
      <c r="M131" s="21"/>
    </row>
    <row r="132" ht="18.0" customHeight="1">
      <c r="A132" s="21"/>
      <c r="B132" s="22"/>
      <c r="C132" s="15" t="s">
        <v>41</v>
      </c>
      <c r="D132" s="23">
        <v>3.6745663E7</v>
      </c>
      <c r="E132" s="23">
        <v>4.6293401E7</v>
      </c>
      <c r="F132" s="23">
        <v>4.3116701E7</v>
      </c>
      <c r="G132" s="23">
        <v>1.26155765E8</v>
      </c>
      <c r="H132" s="23">
        <v>9766449.0</v>
      </c>
      <c r="I132" s="21"/>
      <c r="J132" s="21">
        <v>1433247.0</v>
      </c>
      <c r="K132" s="21">
        <v>2830785.0</v>
      </c>
      <c r="L132" s="21">
        <v>-3826565.0</v>
      </c>
      <c r="M132" s="21">
        <v>437467.0</v>
      </c>
    </row>
    <row r="133" ht="18.0" customHeight="1">
      <c r="A133" s="21"/>
      <c r="B133" s="25" t="s">
        <v>33</v>
      </c>
      <c r="C133" s="57" t="s">
        <v>40</v>
      </c>
      <c r="D133" s="58">
        <v>1.7819934E7</v>
      </c>
      <c r="E133" s="58">
        <v>6977049.0</v>
      </c>
      <c r="F133" s="58">
        <v>4963016.0</v>
      </c>
      <c r="G133" s="58">
        <v>2.9759999E7</v>
      </c>
      <c r="H133" s="58">
        <v>0.0</v>
      </c>
      <c r="I133" s="21"/>
      <c r="J133" s="21"/>
      <c r="K133" s="21"/>
      <c r="L133" s="21"/>
      <c r="M133" s="21"/>
    </row>
    <row r="134" ht="18.0" customHeight="1">
      <c r="A134" s="21"/>
      <c r="B134" s="25"/>
      <c r="C134" s="59" t="s">
        <v>41</v>
      </c>
      <c r="D134" s="26">
        <v>1.6811E7</v>
      </c>
      <c r="E134" s="26">
        <v>-1325017.0</v>
      </c>
      <c r="F134" s="26">
        <v>7733620.0</v>
      </c>
      <c r="G134" s="26">
        <v>2.3219603E7</v>
      </c>
      <c r="H134" s="26">
        <v>-9766449.0</v>
      </c>
      <c r="I134" s="21"/>
      <c r="J134" s="21">
        <v>-1008934.0</v>
      </c>
      <c r="K134" s="21">
        <v>-8302066.0</v>
      </c>
      <c r="L134" s="21">
        <v>2770604.0</v>
      </c>
      <c r="M134" s="21">
        <v>-6540396.0</v>
      </c>
    </row>
    <row r="135" ht="18.0" customHeight="1">
      <c r="A135" s="27"/>
      <c r="B135" s="28" t="s">
        <v>34</v>
      </c>
      <c r="C135" s="28"/>
      <c r="D135" s="29">
        <v>0.2934411820008405</v>
      </c>
      <c r="E135" s="29">
        <v>-0.026799779294007807</v>
      </c>
      <c r="F135" s="29">
        <v>0.13096249428513843</v>
      </c>
      <c r="G135" s="29">
        <v>0.1400604893111933</v>
      </c>
      <c r="H135" s="29" t="e">
        <v>#DIV/0!</v>
      </c>
      <c r="I135" s="27"/>
      <c r="J135" s="21"/>
      <c r="K135" s="21"/>
      <c r="L135" s="21"/>
      <c r="M135" s="21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21"/>
      <c r="K136" s="21"/>
      <c r="L136" s="21"/>
      <c r="M136" s="21"/>
    </row>
    <row r="137" ht="18.0" customHeight="1">
      <c r="A137" s="4"/>
      <c r="B137" s="25" t="s">
        <v>87</v>
      </c>
      <c r="C137" s="25"/>
      <c r="D137" s="26">
        <v>1.7912865E7</v>
      </c>
      <c r="E137" s="26">
        <v>576735.0</v>
      </c>
      <c r="F137" s="26">
        <v>8720208.0</v>
      </c>
      <c r="G137" s="26">
        <v>2.7209808E7</v>
      </c>
      <c r="H137" s="26"/>
      <c r="I137" s="4"/>
      <c r="J137" s="21"/>
      <c r="K137" s="21"/>
      <c r="L137" s="21"/>
      <c r="M137" s="21"/>
    </row>
    <row r="138" ht="18.0" customHeight="1">
      <c r="A138" s="4"/>
      <c r="B138" s="25" t="s">
        <v>116</v>
      </c>
      <c r="C138" s="25"/>
      <c r="D138" s="26">
        <v>-1101865.0</v>
      </c>
      <c r="E138" s="26">
        <v>-1901752.0</v>
      </c>
      <c r="F138" s="26">
        <v>-986588.0</v>
      </c>
      <c r="G138" s="26">
        <v>-3990205.0</v>
      </c>
      <c r="H138" s="26"/>
      <c r="I138" s="4"/>
      <c r="J138" s="21"/>
      <c r="K138" s="21"/>
      <c r="L138" s="21"/>
      <c r="M138" s="21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8.0" customHeight="1">
      <c r="A140" s="4"/>
      <c r="B140" s="4"/>
      <c r="C140" s="4"/>
      <c r="D140" s="4" t="s">
        <v>115</v>
      </c>
      <c r="E140" s="4"/>
      <c r="F140" s="4"/>
      <c r="G140" s="4"/>
      <c r="H140" s="4"/>
      <c r="I140" s="4"/>
      <c r="J140" s="4"/>
      <c r="K140" s="4"/>
      <c r="L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7.14"/>
    <col customWidth="1" min="3" max="3" width="31.14"/>
    <col customWidth="1" min="4" max="4" width="12.43"/>
    <col customWidth="1" min="5" max="5" width="13.0"/>
    <col customWidth="1" min="6" max="7" width="12.43"/>
    <col customWidth="1" min="8" max="8" width="14.57"/>
    <col customWidth="1" min="9" max="9" width="11.57"/>
    <col customWidth="1" min="10" max="11" width="12.43"/>
    <col customWidth="1" min="12" max="26" width="8.71"/>
  </cols>
  <sheetData>
    <row r="1" ht="14.25" customHeight="1">
      <c r="B1" s="92"/>
      <c r="C1" s="92"/>
    </row>
    <row r="2" ht="14.25" customHeight="1">
      <c r="B2" s="92"/>
      <c r="C2" s="92"/>
    </row>
    <row r="3" ht="14.25" customHeight="1">
      <c r="B3" s="92"/>
      <c r="C3" s="92"/>
    </row>
    <row r="4" ht="14.25" customHeight="1">
      <c r="B4" s="100" t="str">
        <f>【提出用】3月度TGR全体PL※編集不要!B1</f>
        <v>#ERROR!</v>
      </c>
      <c r="C4" s="101"/>
      <c r="D4" s="102" t="s">
        <v>117</v>
      </c>
      <c r="E4" s="103" t="s">
        <v>118</v>
      </c>
      <c r="F4" s="102" t="s">
        <v>3</v>
      </c>
      <c r="G4" s="103" t="s">
        <v>4</v>
      </c>
      <c r="H4" s="103" t="s">
        <v>5</v>
      </c>
      <c r="I4" s="102" t="s">
        <v>6</v>
      </c>
      <c r="J4" s="102" t="s">
        <v>8</v>
      </c>
      <c r="K4" s="104" t="s">
        <v>119</v>
      </c>
    </row>
    <row r="5" ht="14.25" customHeight="1">
      <c r="B5" s="105" t="s">
        <v>38</v>
      </c>
      <c r="C5" s="106"/>
      <c r="D5" s="107">
        <v>8131772.0</v>
      </c>
      <c r="E5" s="108">
        <v>1.1767E7</v>
      </c>
      <c r="F5" s="108">
        <v>3.2540533332E7</v>
      </c>
      <c r="G5" s="108">
        <v>4164800.0</v>
      </c>
      <c r="H5" s="108">
        <v>7022859.0</v>
      </c>
      <c r="I5" s="107">
        <v>5566396.0</v>
      </c>
      <c r="J5" s="107">
        <v>9155528.136</v>
      </c>
      <c r="K5" s="109">
        <v>7.8348888468E7</v>
      </c>
    </row>
    <row r="6" ht="14.25" customHeight="1">
      <c r="B6" s="110" t="s">
        <v>37</v>
      </c>
      <c r="C6" s="111"/>
      <c r="D6" s="112">
        <v>6184728.0</v>
      </c>
      <c r="E6" s="113">
        <v>5043000.0</v>
      </c>
      <c r="F6" s="113">
        <v>2.1966222668E7</v>
      </c>
      <c r="G6" s="113">
        <v>1915200.0</v>
      </c>
      <c r="H6" s="113">
        <v>2278941.0</v>
      </c>
      <c r="I6" s="112">
        <v>0.0</v>
      </c>
      <c r="J6" s="112">
        <v>1331903.864</v>
      </c>
      <c r="K6" s="114">
        <v>3.8719995532E7</v>
      </c>
    </row>
    <row r="7" ht="14.25" customHeight="1">
      <c r="B7" s="115" t="s">
        <v>120</v>
      </c>
      <c r="C7" s="116"/>
      <c r="D7" s="117">
        <v>0.432</v>
      </c>
      <c r="E7" s="118">
        <v>0.3</v>
      </c>
      <c r="F7" s="118">
        <v>0.403</v>
      </c>
      <c r="G7" s="118">
        <v>0.315</v>
      </c>
      <c r="H7" s="118">
        <v>0.245</v>
      </c>
      <c r="I7" s="119"/>
      <c r="J7" s="119">
        <v>0.127</v>
      </c>
      <c r="K7" s="120"/>
    </row>
    <row r="8" ht="14.25" customHeight="1">
      <c r="B8" s="121" t="s">
        <v>24</v>
      </c>
      <c r="C8" s="122" t="s">
        <v>24</v>
      </c>
      <c r="D8" s="123">
        <v>1.43165E7</v>
      </c>
      <c r="E8" s="124">
        <v>1.681E7</v>
      </c>
      <c r="F8" s="124">
        <v>5.4506756E7</v>
      </c>
      <c r="G8" s="124">
        <v>6080000.0</v>
      </c>
      <c r="H8" s="124">
        <v>9301800.0</v>
      </c>
      <c r="I8" s="123">
        <v>5566396.0</v>
      </c>
      <c r="J8" s="123">
        <v>1.0487432E7</v>
      </c>
      <c r="K8" s="125">
        <v>1.17068884E8</v>
      </c>
    </row>
    <row r="9" ht="14.25" customHeight="1">
      <c r="B9" s="126"/>
      <c r="C9" s="127"/>
      <c r="D9" s="128">
        <v>1.0</v>
      </c>
      <c r="E9" s="129">
        <v>1.0</v>
      </c>
      <c r="F9" s="129">
        <v>1.0</v>
      </c>
      <c r="G9" s="129">
        <v>1.0</v>
      </c>
      <c r="H9" s="129">
        <v>1.0</v>
      </c>
      <c r="I9" s="128">
        <v>1.0</v>
      </c>
      <c r="J9" s="128">
        <v>1.0</v>
      </c>
      <c r="K9" s="130">
        <v>1.0</v>
      </c>
    </row>
    <row r="10" ht="14.25" customHeight="1">
      <c r="B10" s="131" t="s">
        <v>107</v>
      </c>
      <c r="C10" s="132" t="s">
        <v>40</v>
      </c>
      <c r="D10" s="133"/>
      <c r="E10" s="134"/>
      <c r="F10" s="134"/>
      <c r="G10" s="134"/>
      <c r="H10" s="134"/>
      <c r="I10" s="133"/>
      <c r="J10" s="133"/>
      <c r="K10" s="135">
        <v>0.0</v>
      </c>
    </row>
    <row r="11" ht="14.25" customHeight="1">
      <c r="B11" s="136"/>
      <c r="C11" s="137" t="str">
        <f>B10</f>
        <v>売店原価</v>
      </c>
      <c r="D11" s="138"/>
      <c r="E11" s="139">
        <v>313002.19999999995</v>
      </c>
      <c r="F11" s="139">
        <v>219648.59999100002</v>
      </c>
      <c r="G11" s="139"/>
      <c r="H11" s="139"/>
      <c r="I11" s="138"/>
      <c r="J11" s="138"/>
      <c r="K11" s="140">
        <v>532650.799991</v>
      </c>
    </row>
    <row r="12" ht="14.25" customHeight="1">
      <c r="B12" s="141"/>
      <c r="C12" s="142"/>
      <c r="D12" s="143"/>
      <c r="E12" s="144">
        <v>0.7</v>
      </c>
      <c r="F12" s="144">
        <v>0.5</v>
      </c>
      <c r="G12" s="144"/>
      <c r="H12" s="144"/>
      <c r="I12" s="143"/>
      <c r="J12" s="143"/>
      <c r="K12" s="145"/>
    </row>
    <row r="13" ht="14.25" customHeight="1">
      <c r="B13" s="110" t="s">
        <v>121</v>
      </c>
      <c r="C13" s="146" t="s">
        <v>40</v>
      </c>
      <c r="D13" s="147">
        <v>2023238.0</v>
      </c>
      <c r="E13" s="148">
        <v>2124111.0</v>
      </c>
      <c r="F13" s="148">
        <v>9923419.0</v>
      </c>
      <c r="G13" s="148">
        <v>906750.0</v>
      </c>
      <c r="H13" s="148">
        <v>1071027.0</v>
      </c>
      <c r="I13" s="147">
        <v>0.0</v>
      </c>
      <c r="J13" s="147">
        <v>332473.0</v>
      </c>
      <c r="K13" s="149">
        <v>1.6381018E7</v>
      </c>
    </row>
    <row r="14" ht="14.25" customHeight="1">
      <c r="B14" s="150"/>
      <c r="C14" s="151" t="str">
        <f>B13</f>
        <v>食材原価</v>
      </c>
      <c r="D14" s="138">
        <v>2164654.8</v>
      </c>
      <c r="E14" s="139">
        <v>2168490.0</v>
      </c>
      <c r="F14" s="139">
        <v>1.0763449107320001E7</v>
      </c>
      <c r="G14" s="152">
        <v>919296.0</v>
      </c>
      <c r="H14" s="152">
        <v>1025523.4500000001</v>
      </c>
      <c r="I14" s="138">
        <v>0.0</v>
      </c>
      <c r="J14" s="138">
        <v>559399.62288</v>
      </c>
      <c r="K14" s="140">
        <v>1.76008129802E7</v>
      </c>
    </row>
    <row r="15" ht="14.25" customHeight="1">
      <c r="B15" s="153"/>
      <c r="C15" s="154" t="s">
        <v>122</v>
      </c>
      <c r="D15" s="143">
        <v>0.35</v>
      </c>
      <c r="E15" s="144">
        <v>0.43</v>
      </c>
      <c r="F15" s="144">
        <v>0.49</v>
      </c>
      <c r="G15" s="144">
        <v>0.48</v>
      </c>
      <c r="H15" s="144">
        <v>0.45</v>
      </c>
      <c r="I15" s="143"/>
      <c r="J15" s="144">
        <v>0.42</v>
      </c>
      <c r="K15" s="155"/>
    </row>
    <row r="16" ht="14.25" customHeight="1">
      <c r="B16" s="156" t="s">
        <v>25</v>
      </c>
      <c r="C16" s="157" t="s">
        <v>40</v>
      </c>
      <c r="D16" s="158">
        <v>2023238.0</v>
      </c>
      <c r="E16" s="159">
        <v>2124111.0</v>
      </c>
      <c r="F16" s="159">
        <v>9923419.0</v>
      </c>
      <c r="G16" s="159">
        <v>906750.0</v>
      </c>
      <c r="H16" s="159">
        <v>1071027.0</v>
      </c>
      <c r="I16" s="158">
        <v>0.0</v>
      </c>
      <c r="J16" s="158">
        <v>332473.0</v>
      </c>
      <c r="K16" s="160">
        <v>1.6381018E7</v>
      </c>
    </row>
    <row r="17" ht="14.25" customHeight="1">
      <c r="B17" s="161"/>
      <c r="C17" s="162" t="str">
        <f>B16</f>
        <v>売上原価</v>
      </c>
      <c r="D17" s="163">
        <v>2164654.8</v>
      </c>
      <c r="E17" s="164">
        <v>2481492.2</v>
      </c>
      <c r="F17" s="164">
        <v>1.0983097707311E7</v>
      </c>
      <c r="G17" s="164">
        <v>919296.0</v>
      </c>
      <c r="H17" s="164">
        <v>1025523.4500000001</v>
      </c>
      <c r="I17" s="163">
        <v>0.0</v>
      </c>
      <c r="J17" s="164">
        <v>559399.62288</v>
      </c>
      <c r="K17" s="165">
        <v>1.8133463780191E7</v>
      </c>
    </row>
    <row r="18" ht="14.25" customHeight="1">
      <c r="B18" s="161"/>
      <c r="C18" s="166"/>
      <c r="D18" s="167">
        <v>0.15119999999999997</v>
      </c>
      <c r="E18" s="168">
        <v>0.14762</v>
      </c>
      <c r="F18" s="168">
        <v>0.20149975</v>
      </c>
      <c r="G18" s="168">
        <v>0.1512</v>
      </c>
      <c r="H18" s="168">
        <v>0.11025</v>
      </c>
      <c r="I18" s="167">
        <v>0.0</v>
      </c>
      <c r="J18" s="167">
        <v>0.053340000000000005</v>
      </c>
      <c r="K18" s="169">
        <v>0.15489567475667573</v>
      </c>
    </row>
    <row r="19" ht="14.25" customHeight="1">
      <c r="B19" s="170" t="s">
        <v>27</v>
      </c>
      <c r="C19" s="157" t="s">
        <v>40</v>
      </c>
      <c r="D19" s="171">
        <v>1.4733502E7</v>
      </c>
      <c r="E19" s="172">
        <v>1.4402609E7</v>
      </c>
      <c r="F19" s="172">
        <v>4.4434709E7</v>
      </c>
      <c r="G19" s="172">
        <v>5944250.0</v>
      </c>
      <c r="H19" s="172">
        <v>8897834.0</v>
      </c>
      <c r="I19" s="171">
        <v>4687200.0</v>
      </c>
      <c r="J19" s="171">
        <v>1.1779847E7</v>
      </c>
      <c r="K19" s="173">
        <v>1.04879951E8</v>
      </c>
    </row>
    <row r="20" ht="14.25" customHeight="1">
      <c r="B20" s="174"/>
      <c r="C20" s="175" t="str">
        <f>B19</f>
        <v>売上総利益</v>
      </c>
      <c r="D20" s="176">
        <v>1.21518452E7</v>
      </c>
      <c r="E20" s="177">
        <v>1.43285078E7</v>
      </c>
      <c r="F20" s="177">
        <v>4.3523658292688996E7</v>
      </c>
      <c r="G20" s="177">
        <v>5160704.0</v>
      </c>
      <c r="H20" s="177">
        <v>8276276.55</v>
      </c>
      <c r="I20" s="176">
        <v>5566396.0</v>
      </c>
      <c r="J20" s="176">
        <v>9928032.37712</v>
      </c>
      <c r="K20" s="165">
        <v>9.8935420219809E7</v>
      </c>
    </row>
    <row r="21" ht="14.25" customHeight="1">
      <c r="B21" s="174"/>
      <c r="C21" s="178"/>
      <c r="D21" s="167">
        <v>0.8488</v>
      </c>
      <c r="E21" s="168">
        <v>0.85238</v>
      </c>
      <c r="F21" s="168">
        <v>0.7985002499999999</v>
      </c>
      <c r="G21" s="168">
        <v>0.8488</v>
      </c>
      <c r="H21" s="168">
        <v>0.8897499999999999</v>
      </c>
      <c r="I21" s="167">
        <v>1.0</v>
      </c>
      <c r="J21" s="167">
        <v>0.94666</v>
      </c>
      <c r="K21" s="130">
        <v>0.8451043252433242</v>
      </c>
    </row>
    <row r="22" ht="14.25" customHeight="1">
      <c r="B22" s="110" t="s">
        <v>28</v>
      </c>
      <c r="C22" s="146" t="s">
        <v>40</v>
      </c>
      <c r="D22" s="147">
        <v>5627052.0</v>
      </c>
      <c r="E22" s="148">
        <v>3652890.0</v>
      </c>
      <c r="F22" s="148">
        <v>1.1520689E7</v>
      </c>
      <c r="G22" s="148">
        <v>2701842.0</v>
      </c>
      <c r="H22" s="148">
        <v>2435000.0</v>
      </c>
      <c r="I22" s="148">
        <v>1671350.0</v>
      </c>
      <c r="J22" s="148">
        <v>3105800.0</v>
      </c>
      <c r="K22" s="149">
        <v>3.0714623E7</v>
      </c>
    </row>
    <row r="23" ht="14.25" customHeight="1">
      <c r="B23" s="179"/>
      <c r="C23" s="151" t="str">
        <f>B22</f>
        <v>人件費</v>
      </c>
      <c r="D23" s="138">
        <v>5055607.0</v>
      </c>
      <c r="E23" s="139">
        <v>4215143.0</v>
      </c>
      <c r="F23" s="139">
        <v>1.0556166E7</v>
      </c>
      <c r="G23" s="139">
        <v>2594410.0</v>
      </c>
      <c r="H23" s="139">
        <v>2633393.0</v>
      </c>
      <c r="I23" s="138">
        <v>1813403.0</v>
      </c>
      <c r="J23" s="138">
        <v>3493030.0</v>
      </c>
      <c r="K23" s="140">
        <v>3.0361152E7</v>
      </c>
    </row>
    <row r="24" ht="14.25" customHeight="1">
      <c r="B24" s="180"/>
      <c r="C24" s="181"/>
      <c r="D24" s="119">
        <v>0.3480504629788992</v>
      </c>
      <c r="E24" s="182">
        <v>0.25075211183819157</v>
      </c>
      <c r="F24" s="182">
        <v>0.19245050912896766</v>
      </c>
      <c r="G24" s="182">
        <v>0.4239232026143791</v>
      </c>
      <c r="H24" s="182">
        <v>0.28438676443590105</v>
      </c>
      <c r="I24" s="119">
        <v>0.3257768581322637</v>
      </c>
      <c r="J24" s="119">
        <v>0.3305061251446484</v>
      </c>
      <c r="K24" s="120">
        <v>0.25794964962913836</v>
      </c>
    </row>
    <row r="25" ht="14.25" customHeight="1">
      <c r="B25" s="183" t="s">
        <v>42</v>
      </c>
      <c r="C25" s="184" t="s">
        <v>40</v>
      </c>
      <c r="D25" s="185">
        <v>0.0</v>
      </c>
      <c r="E25" s="186">
        <v>0.0</v>
      </c>
      <c r="F25" s="186">
        <v>0.0</v>
      </c>
      <c r="G25" s="186">
        <v>0.0</v>
      </c>
      <c r="H25" s="186">
        <v>0.0</v>
      </c>
      <c r="I25" s="185">
        <v>0.0</v>
      </c>
      <c r="J25" s="185">
        <v>0.0</v>
      </c>
      <c r="K25" s="187">
        <v>0.0</v>
      </c>
    </row>
    <row r="26" ht="14.25" customHeight="1">
      <c r="B26" s="183"/>
      <c r="C26" s="188" t="str">
        <f>B25</f>
        <v>役員報酬</v>
      </c>
      <c r="D26" s="189">
        <v>0.0</v>
      </c>
      <c r="E26" s="190">
        <v>0.0</v>
      </c>
      <c r="F26" s="190">
        <v>0.0</v>
      </c>
      <c r="G26" s="190">
        <v>0.0</v>
      </c>
      <c r="H26" s="190">
        <v>0.0</v>
      </c>
      <c r="I26" s="191">
        <v>0.0</v>
      </c>
      <c r="J26" s="191">
        <v>0.0</v>
      </c>
      <c r="K26" s="192">
        <v>0.0</v>
      </c>
    </row>
    <row r="27" ht="14.25" customHeight="1">
      <c r="B27" s="183" t="s">
        <v>43</v>
      </c>
      <c r="C27" s="184" t="s">
        <v>40</v>
      </c>
      <c r="D27" s="193">
        <v>2259500.0</v>
      </c>
      <c r="E27" s="194">
        <v>1576500.0</v>
      </c>
      <c r="F27" s="194">
        <v>4867000.0</v>
      </c>
      <c r="G27" s="194">
        <v>1774000.0</v>
      </c>
      <c r="H27" s="194">
        <v>1762000.0</v>
      </c>
      <c r="I27" s="195">
        <v>1085000.0</v>
      </c>
      <c r="J27" s="195">
        <v>1755000.0</v>
      </c>
      <c r="K27" s="196">
        <v>1.5079E7</v>
      </c>
    </row>
    <row r="28" ht="14.25" customHeight="1">
      <c r="B28" s="183"/>
      <c r="C28" s="188" t="str">
        <f>B27</f>
        <v>給与手当</v>
      </c>
      <c r="D28" s="189">
        <v>1805317.0</v>
      </c>
      <c r="E28" s="190">
        <v>2393203.0</v>
      </c>
      <c r="F28" s="190">
        <v>4315791.0</v>
      </c>
      <c r="G28" s="190">
        <v>1841368.0</v>
      </c>
      <c r="H28" s="190">
        <v>1884393.0</v>
      </c>
      <c r="I28" s="191">
        <v>1033230.0</v>
      </c>
      <c r="J28" s="191">
        <v>1797630.0</v>
      </c>
      <c r="K28" s="192">
        <v>1.5070932E7</v>
      </c>
    </row>
    <row r="29" ht="14.25" customHeight="1">
      <c r="B29" s="183" t="s">
        <v>44</v>
      </c>
      <c r="C29" s="184" t="s">
        <v>40</v>
      </c>
      <c r="D29" s="194">
        <v>898000.0</v>
      </c>
      <c r="E29" s="194">
        <v>1289000.0</v>
      </c>
      <c r="F29" s="194">
        <v>4031000.0</v>
      </c>
      <c r="G29" s="194">
        <v>377000.0</v>
      </c>
      <c r="H29" s="194">
        <v>140000.0</v>
      </c>
      <c r="I29" s="195">
        <v>274000.0</v>
      </c>
      <c r="J29" s="195">
        <v>751000.0</v>
      </c>
      <c r="K29" s="196">
        <v>7760000.0</v>
      </c>
    </row>
    <row r="30" ht="14.25" customHeight="1">
      <c r="B30" s="183"/>
      <c r="C30" s="188" t="str">
        <f>B29</f>
        <v>雑給</v>
      </c>
      <c r="D30" s="190">
        <v>800000.0</v>
      </c>
      <c r="E30" s="190">
        <v>1001000.0</v>
      </c>
      <c r="F30" s="190">
        <v>4031000.0</v>
      </c>
      <c r="G30" s="190">
        <v>225000.0</v>
      </c>
      <c r="H30" s="190">
        <v>190000.0</v>
      </c>
      <c r="I30" s="191">
        <v>481423.0</v>
      </c>
      <c r="J30" s="191">
        <v>1072000.0</v>
      </c>
      <c r="K30" s="192">
        <v>7800423.0</v>
      </c>
    </row>
    <row r="31" ht="14.25" customHeight="1">
      <c r="B31" s="183" t="s">
        <v>48</v>
      </c>
      <c r="C31" s="184" t="s">
        <v>40</v>
      </c>
      <c r="D31" s="194">
        <v>473625.0</v>
      </c>
      <c r="E31" s="194">
        <v>429825.0</v>
      </c>
      <c r="F31" s="194">
        <v>1334700.0</v>
      </c>
      <c r="G31" s="194">
        <v>322650.0</v>
      </c>
      <c r="H31" s="194">
        <v>285300.0</v>
      </c>
      <c r="I31" s="195">
        <v>203850.0</v>
      </c>
      <c r="J31" s="195">
        <v>280800.0</v>
      </c>
      <c r="K31" s="196">
        <v>3330750.0</v>
      </c>
    </row>
    <row r="32" ht="14.25" customHeight="1">
      <c r="B32" s="183"/>
      <c r="C32" s="188" t="str">
        <f>B31</f>
        <v>法定福利費</v>
      </c>
      <c r="D32" s="190">
        <v>359175.0</v>
      </c>
      <c r="E32" s="190">
        <v>449625.0</v>
      </c>
      <c r="F32" s="190">
        <v>1177632.0</v>
      </c>
      <c r="G32" s="190">
        <v>299850.0</v>
      </c>
      <c r="H32" s="190">
        <v>292800.0</v>
      </c>
      <c r="I32" s="191">
        <v>206850.0</v>
      </c>
      <c r="J32" s="191">
        <v>254400.0</v>
      </c>
      <c r="K32" s="192">
        <v>3040332.0</v>
      </c>
    </row>
    <row r="33" ht="14.25" customHeight="1">
      <c r="B33" s="183" t="s">
        <v>47</v>
      </c>
      <c r="C33" s="184" t="s">
        <v>40</v>
      </c>
      <c r="D33" s="194">
        <v>225950.0</v>
      </c>
      <c r="E33" s="194">
        <v>157650.0</v>
      </c>
      <c r="F33" s="194">
        <v>486700.0</v>
      </c>
      <c r="G33" s="194">
        <v>177400.0</v>
      </c>
      <c r="H33" s="194">
        <v>157700.0</v>
      </c>
      <c r="I33" s="195">
        <v>108500.0</v>
      </c>
      <c r="J33" s="195">
        <v>159000.0</v>
      </c>
      <c r="K33" s="196">
        <v>1472900.0</v>
      </c>
    </row>
    <row r="34" ht="14.25" customHeight="1">
      <c r="B34" s="183"/>
      <c r="C34" s="188" t="str">
        <f>B33</f>
        <v>賞与引当金繰入</v>
      </c>
      <c r="D34" s="190">
        <v>159450.0</v>
      </c>
      <c r="E34" s="190">
        <v>203650.0</v>
      </c>
      <c r="F34" s="190">
        <v>407000.0</v>
      </c>
      <c r="G34" s="190">
        <v>177400.0</v>
      </c>
      <c r="H34" s="190">
        <v>176200.0</v>
      </c>
      <c r="I34" s="191">
        <v>91900.0</v>
      </c>
      <c r="J34" s="191">
        <v>159000.0</v>
      </c>
      <c r="K34" s="192">
        <v>1374600.0</v>
      </c>
    </row>
    <row r="35" ht="14.25" customHeight="1">
      <c r="B35" s="183" t="s">
        <v>49</v>
      </c>
      <c r="C35" s="184" t="s">
        <v>40</v>
      </c>
      <c r="D35" s="194">
        <v>167665.0</v>
      </c>
      <c r="E35" s="194">
        <v>167665.0</v>
      </c>
      <c r="F35" s="194">
        <v>344743.0</v>
      </c>
      <c r="G35" s="194">
        <v>50792.0</v>
      </c>
      <c r="H35" s="194">
        <v>90000.0</v>
      </c>
      <c r="I35" s="195">
        <v>0.0</v>
      </c>
      <c r="J35" s="195">
        <v>160000.0</v>
      </c>
      <c r="K35" s="196">
        <v>980865.0</v>
      </c>
    </row>
    <row r="36" ht="14.25" customHeight="1">
      <c r="B36" s="183"/>
      <c r="C36" s="188" t="str">
        <f>B35</f>
        <v>福利厚生費</v>
      </c>
      <c r="D36" s="190">
        <v>167665.0</v>
      </c>
      <c r="E36" s="190">
        <v>167665.0</v>
      </c>
      <c r="F36" s="190">
        <v>344743.0</v>
      </c>
      <c r="G36" s="190">
        <v>50792.0</v>
      </c>
      <c r="H36" s="190">
        <v>90000.0</v>
      </c>
      <c r="I36" s="191">
        <v>0.0</v>
      </c>
      <c r="J36" s="191">
        <v>160000.0</v>
      </c>
      <c r="K36" s="192">
        <v>980865.0</v>
      </c>
    </row>
    <row r="37" ht="14.25" customHeight="1">
      <c r="B37" s="183" t="s">
        <v>50</v>
      </c>
      <c r="C37" s="184" t="s">
        <v>40</v>
      </c>
      <c r="D37" s="194">
        <v>0.0</v>
      </c>
      <c r="E37" s="194">
        <v>0.0</v>
      </c>
      <c r="F37" s="194">
        <v>130546.0</v>
      </c>
      <c r="G37" s="194">
        <v>0.0</v>
      </c>
      <c r="H37" s="194">
        <v>0.0</v>
      </c>
      <c r="I37" s="195">
        <v>0.0</v>
      </c>
      <c r="J37" s="195">
        <v>0.0</v>
      </c>
      <c r="K37" s="196">
        <v>130546.0</v>
      </c>
    </row>
    <row r="38" ht="14.25" customHeight="1">
      <c r="B38" s="183"/>
      <c r="C38" s="188" t="str">
        <f>B37</f>
        <v>派遣外注費</v>
      </c>
      <c r="D38" s="190">
        <v>200000.0</v>
      </c>
      <c r="E38" s="190">
        <v>0.0</v>
      </c>
      <c r="F38" s="190">
        <v>280000.0</v>
      </c>
      <c r="G38" s="190">
        <v>0.0</v>
      </c>
      <c r="H38" s="190">
        <v>0.0</v>
      </c>
      <c r="I38" s="191">
        <v>0.0</v>
      </c>
      <c r="J38" s="191">
        <v>50000.0</v>
      </c>
      <c r="K38" s="192">
        <v>530000.0</v>
      </c>
    </row>
    <row r="39" ht="14.25" customHeight="1">
      <c r="B39" s="183" t="s">
        <v>51</v>
      </c>
      <c r="C39" s="184" t="s">
        <v>40</v>
      </c>
      <c r="D39" s="194">
        <v>102312.0</v>
      </c>
      <c r="E39" s="194">
        <v>0.0</v>
      </c>
      <c r="F39" s="194">
        <v>0.0</v>
      </c>
      <c r="G39" s="194">
        <v>0.0</v>
      </c>
      <c r="H39" s="194">
        <v>0.0</v>
      </c>
      <c r="I39" s="195">
        <v>0.0</v>
      </c>
      <c r="J39" s="195">
        <v>0.0</v>
      </c>
      <c r="K39" s="196">
        <v>102312.0</v>
      </c>
    </row>
    <row r="40" ht="14.25" customHeight="1">
      <c r="B40" s="183"/>
      <c r="C40" s="188" t="str">
        <f>B39</f>
        <v>委託外注費</v>
      </c>
      <c r="D40" s="190">
        <v>70000.0</v>
      </c>
      <c r="E40" s="190">
        <v>0.0</v>
      </c>
      <c r="F40" s="190">
        <v>0.0</v>
      </c>
      <c r="G40" s="190">
        <v>0.0</v>
      </c>
      <c r="H40" s="190">
        <v>0.0</v>
      </c>
      <c r="I40" s="191">
        <v>0.0</v>
      </c>
      <c r="J40" s="191">
        <v>0.0</v>
      </c>
      <c r="K40" s="192">
        <v>70000.0</v>
      </c>
    </row>
    <row r="41" ht="14.25" customHeight="1">
      <c r="B41" s="183" t="s">
        <v>52</v>
      </c>
      <c r="C41" s="184" t="s">
        <v>40</v>
      </c>
      <c r="D41" s="194">
        <v>0.0</v>
      </c>
      <c r="E41" s="194">
        <v>0.0</v>
      </c>
      <c r="F41" s="194">
        <v>0.0</v>
      </c>
      <c r="G41" s="194">
        <v>0.0</v>
      </c>
      <c r="H41" s="194">
        <v>0.0</v>
      </c>
      <c r="I41" s="195">
        <v>0.0</v>
      </c>
      <c r="J41" s="195">
        <v>0.0</v>
      </c>
      <c r="K41" s="196">
        <v>0.0</v>
      </c>
    </row>
    <row r="42" ht="14.25" customHeight="1">
      <c r="B42" s="183"/>
      <c r="C42" s="188" t="str">
        <f>B41</f>
        <v>清掃費（外注）</v>
      </c>
      <c r="D42" s="190">
        <v>0.0</v>
      </c>
      <c r="E42" s="190">
        <v>0.0</v>
      </c>
      <c r="F42" s="190">
        <v>0.0</v>
      </c>
      <c r="G42" s="190">
        <v>0.0</v>
      </c>
      <c r="H42" s="190">
        <v>0.0</v>
      </c>
      <c r="I42" s="191">
        <v>0.0</v>
      </c>
      <c r="J42" s="191">
        <v>0.0</v>
      </c>
      <c r="K42" s="192">
        <v>0.0</v>
      </c>
    </row>
    <row r="43" ht="14.25" customHeight="1">
      <c r="B43" s="183" t="s">
        <v>53</v>
      </c>
      <c r="C43" s="184" t="s">
        <v>40</v>
      </c>
      <c r="D43" s="194">
        <v>1500000.0</v>
      </c>
      <c r="E43" s="194">
        <v>32250.0</v>
      </c>
      <c r="F43" s="194">
        <v>326000.0</v>
      </c>
      <c r="G43" s="194">
        <v>0.0</v>
      </c>
      <c r="H43" s="194">
        <v>0.0</v>
      </c>
      <c r="I43" s="195">
        <v>0.0</v>
      </c>
      <c r="J43" s="195">
        <v>0.0</v>
      </c>
      <c r="K43" s="196">
        <v>1858250.0</v>
      </c>
    </row>
    <row r="44" ht="14.25" customHeight="1">
      <c r="B44" s="197"/>
      <c r="C44" s="198" t="str">
        <f>B43</f>
        <v>業務委託費</v>
      </c>
      <c r="D44" s="199">
        <v>1494000.0</v>
      </c>
      <c r="E44" s="199">
        <v>0.0</v>
      </c>
      <c r="F44" s="199">
        <v>0.0</v>
      </c>
      <c r="G44" s="199">
        <v>0.0</v>
      </c>
      <c r="H44" s="199">
        <v>0.0</v>
      </c>
      <c r="I44" s="189">
        <v>0.0</v>
      </c>
      <c r="J44" s="189">
        <v>0.0</v>
      </c>
      <c r="K44" s="200">
        <v>1494000.0</v>
      </c>
    </row>
    <row r="45" ht="14.25" customHeight="1">
      <c r="B45" s="201" t="s">
        <v>29</v>
      </c>
      <c r="C45" s="202" t="s">
        <v>40</v>
      </c>
      <c r="D45" s="148">
        <v>5069302.0</v>
      </c>
      <c r="E45" s="148">
        <v>5174667.0</v>
      </c>
      <c r="F45" s="148">
        <v>1.2788634E7</v>
      </c>
      <c r="G45" s="148">
        <v>2418479.0</v>
      </c>
      <c r="H45" s="148">
        <v>2766430.0</v>
      </c>
      <c r="I45" s="147">
        <v>1449453.0</v>
      </c>
      <c r="J45" s="147">
        <v>3417639.0</v>
      </c>
      <c r="K45" s="149">
        <v>3.3084604E7</v>
      </c>
    </row>
    <row r="46" ht="14.25" customHeight="1">
      <c r="B46" s="179"/>
      <c r="C46" s="151" t="str">
        <f>B45</f>
        <v>運営費</v>
      </c>
      <c r="D46" s="139">
        <v>5089594.25</v>
      </c>
      <c r="E46" s="139">
        <v>5276937.0</v>
      </c>
      <c r="F46" s="139">
        <v>1.273682396E7</v>
      </c>
      <c r="G46" s="139">
        <v>2407247.0</v>
      </c>
      <c r="H46" s="139">
        <v>2590191.71</v>
      </c>
      <c r="I46" s="138">
        <v>1930425.4811999998</v>
      </c>
      <c r="J46" s="138">
        <v>2913145.26</v>
      </c>
      <c r="K46" s="140">
        <v>3.29443646612E7</v>
      </c>
    </row>
    <row r="47" ht="14.25" customHeight="1">
      <c r="B47" s="180"/>
      <c r="C47" s="181"/>
      <c r="D47" s="182">
        <v>0.3503902963753399</v>
      </c>
      <c r="E47" s="182">
        <v>0.31391653777513384</v>
      </c>
      <c r="F47" s="182">
        <v>0.23220630063870104</v>
      </c>
      <c r="G47" s="182">
        <v>0.39334101307189545</v>
      </c>
      <c r="H47" s="182">
        <v>0.27972134796272097</v>
      </c>
      <c r="I47" s="119">
        <v>0.34679988294041597</v>
      </c>
      <c r="J47" s="119">
        <v>0.27563815709172246</v>
      </c>
      <c r="K47" s="120">
        <v>0.27989673519671154</v>
      </c>
    </row>
    <row r="48" ht="14.25" customHeight="1">
      <c r="B48" s="203" t="s">
        <v>55</v>
      </c>
      <c r="C48" s="184" t="s">
        <v>40</v>
      </c>
      <c r="D48" s="204">
        <v>21951.0</v>
      </c>
      <c r="E48" s="204">
        <v>1510.0</v>
      </c>
      <c r="F48" s="204">
        <v>50000.0</v>
      </c>
      <c r="G48" s="204">
        <v>12477.0</v>
      </c>
      <c r="H48" s="204">
        <v>3000.0</v>
      </c>
      <c r="I48" s="205">
        <v>23000.0</v>
      </c>
      <c r="J48" s="205">
        <v>20000.0</v>
      </c>
      <c r="K48" s="206">
        <v>131938.0</v>
      </c>
    </row>
    <row r="49" ht="14.25" customHeight="1">
      <c r="B49" s="203"/>
      <c r="C49" s="207" t="str">
        <f>B48</f>
        <v>広告宣伝費</v>
      </c>
      <c r="D49" s="208">
        <v>21951.0</v>
      </c>
      <c r="E49" s="208">
        <v>1510.0</v>
      </c>
      <c r="F49" s="208">
        <v>50000.0</v>
      </c>
      <c r="G49" s="208">
        <v>12477.0</v>
      </c>
      <c r="H49" s="208">
        <v>3000.0</v>
      </c>
      <c r="I49" s="209">
        <v>23000.0</v>
      </c>
      <c r="J49" s="209">
        <v>20000.0</v>
      </c>
      <c r="K49" s="210">
        <v>131938.0</v>
      </c>
    </row>
    <row r="50" ht="14.25" customHeight="1">
      <c r="B50" s="203" t="s">
        <v>56</v>
      </c>
      <c r="C50" s="184" t="s">
        <v>40</v>
      </c>
      <c r="D50" s="204">
        <v>135730.0</v>
      </c>
      <c r="E50" s="204">
        <v>138824.0</v>
      </c>
      <c r="F50" s="204">
        <v>350610.0</v>
      </c>
      <c r="G50" s="204">
        <v>99682.0</v>
      </c>
      <c r="H50" s="204">
        <v>127103.0</v>
      </c>
      <c r="I50" s="205">
        <v>48513.0</v>
      </c>
      <c r="J50" s="205">
        <v>45421.0</v>
      </c>
      <c r="K50" s="206">
        <v>945883.0</v>
      </c>
    </row>
    <row r="51" ht="14.25" customHeight="1">
      <c r="B51" s="203"/>
      <c r="C51" s="207" t="str">
        <f>B50</f>
        <v>販売促進費</v>
      </c>
      <c r="D51" s="208">
        <v>145255.0</v>
      </c>
      <c r="E51" s="208">
        <v>168100.0</v>
      </c>
      <c r="F51" s="208">
        <v>713067.2640000001</v>
      </c>
      <c r="G51" s="208">
        <v>183600.0</v>
      </c>
      <c r="H51" s="208">
        <v>92599.0</v>
      </c>
      <c r="I51" s="211">
        <v>166991.88</v>
      </c>
      <c r="J51" s="211">
        <v>105687.3</v>
      </c>
      <c r="K51" s="210">
        <v>1575300.444</v>
      </c>
    </row>
    <row r="52" ht="14.25" customHeight="1">
      <c r="B52" s="203" t="s">
        <v>57</v>
      </c>
      <c r="C52" s="184" t="s">
        <v>40</v>
      </c>
      <c r="D52" s="204">
        <v>1085837.0</v>
      </c>
      <c r="E52" s="204">
        <v>1110596.0</v>
      </c>
      <c r="F52" s="204">
        <v>2804879.0</v>
      </c>
      <c r="G52" s="204">
        <v>797456.0</v>
      </c>
      <c r="H52" s="204">
        <v>1016824.0</v>
      </c>
      <c r="I52" s="212">
        <v>388100.0</v>
      </c>
      <c r="J52" s="212">
        <v>363370.0</v>
      </c>
      <c r="K52" s="206">
        <v>7567062.0</v>
      </c>
    </row>
    <row r="53" ht="14.25" customHeight="1">
      <c r="B53" s="203"/>
      <c r="C53" s="207" t="str">
        <f>B52</f>
        <v>送客手数料</v>
      </c>
      <c r="D53" s="208">
        <v>878792.7500000001</v>
      </c>
      <c r="E53" s="208">
        <v>711063.0</v>
      </c>
      <c r="F53" s="208">
        <v>2303755.776</v>
      </c>
      <c r="G53" s="208">
        <v>646272.0</v>
      </c>
      <c r="H53" s="208">
        <v>906544.21</v>
      </c>
      <c r="I53" s="209">
        <v>499305.72119999997</v>
      </c>
      <c r="J53" s="209">
        <v>391043.01</v>
      </c>
      <c r="K53" s="210">
        <v>6336776.4672</v>
      </c>
    </row>
    <row r="54" ht="14.25" customHeight="1">
      <c r="B54" s="203" t="s">
        <v>58</v>
      </c>
      <c r="C54" s="184" t="s">
        <v>40</v>
      </c>
      <c r="D54" s="208">
        <v>38400.0</v>
      </c>
      <c r="E54" s="208">
        <v>17600.0</v>
      </c>
      <c r="F54" s="208">
        <v>133200.0</v>
      </c>
      <c r="G54" s="208">
        <v>0.0</v>
      </c>
      <c r="H54" s="208">
        <v>0.0</v>
      </c>
      <c r="I54" s="209">
        <v>40845.0</v>
      </c>
      <c r="J54" s="209">
        <v>140838.0</v>
      </c>
      <c r="K54" s="210">
        <v>370883.0</v>
      </c>
    </row>
    <row r="55" ht="14.25" customHeight="1">
      <c r="B55" s="203"/>
      <c r="C55" s="207" t="str">
        <f>B54</f>
        <v>送客手数料（旅行会社）</v>
      </c>
      <c r="D55" s="208">
        <v>0.0</v>
      </c>
      <c r="E55" s="208">
        <v>0.0</v>
      </c>
      <c r="F55" s="208">
        <v>0.0</v>
      </c>
      <c r="G55" s="208">
        <v>0.0</v>
      </c>
      <c r="H55" s="208">
        <v>0.0</v>
      </c>
      <c r="I55" s="209">
        <v>0.0</v>
      </c>
      <c r="J55" s="209">
        <v>0.0</v>
      </c>
      <c r="K55" s="210">
        <v>0.0</v>
      </c>
    </row>
    <row r="56" ht="14.25" customHeight="1">
      <c r="B56" s="203" t="s">
        <v>59</v>
      </c>
      <c r="C56" s="184" t="s">
        <v>40</v>
      </c>
      <c r="D56" s="204">
        <v>125872.0</v>
      </c>
      <c r="E56" s="204">
        <v>138790.0</v>
      </c>
      <c r="F56" s="204">
        <v>489223.0</v>
      </c>
      <c r="G56" s="204">
        <v>36150.0</v>
      </c>
      <c r="H56" s="204">
        <v>26432.0</v>
      </c>
      <c r="I56" s="205">
        <v>57153.0</v>
      </c>
      <c r="J56" s="205">
        <v>363370.0</v>
      </c>
      <c r="K56" s="206">
        <v>1236990.0</v>
      </c>
    </row>
    <row r="57" ht="14.25" customHeight="1">
      <c r="B57" s="203"/>
      <c r="C57" s="213" t="str">
        <f>B56</f>
        <v>クレジット手数料</v>
      </c>
      <c r="D57" s="208">
        <v>217882.5</v>
      </c>
      <c r="E57" s="208">
        <v>252150.0</v>
      </c>
      <c r="F57" s="208">
        <v>822769.9199999999</v>
      </c>
      <c r="G57" s="208">
        <v>91800.0</v>
      </c>
      <c r="H57" s="208">
        <v>138898.5</v>
      </c>
      <c r="I57" s="209">
        <v>166991.88</v>
      </c>
      <c r="J57" s="209">
        <v>158530.94999999998</v>
      </c>
      <c r="K57" s="210">
        <v>1849023.7499999998</v>
      </c>
    </row>
    <row r="58" ht="14.25" customHeight="1">
      <c r="B58" s="203" t="s">
        <v>60</v>
      </c>
      <c r="C58" s="214" t="s">
        <v>40</v>
      </c>
      <c r="D58" s="204">
        <v>1409591.0</v>
      </c>
      <c r="E58" s="204">
        <v>1641534.0</v>
      </c>
      <c r="F58" s="204">
        <v>3602378.0</v>
      </c>
      <c r="G58" s="204">
        <v>816245.0</v>
      </c>
      <c r="H58" s="204">
        <v>896996.0</v>
      </c>
      <c r="I58" s="205">
        <v>162677.0</v>
      </c>
      <c r="J58" s="205">
        <v>800000.0</v>
      </c>
      <c r="K58" s="206">
        <v>9329421.0</v>
      </c>
    </row>
    <row r="59" ht="14.25" customHeight="1">
      <c r="B59" s="203"/>
      <c r="C59" s="207" t="str">
        <f>B58</f>
        <v>水道光熱費</v>
      </c>
      <c r="D59" s="208">
        <v>1509591.0</v>
      </c>
      <c r="E59" s="208">
        <v>1791534.0</v>
      </c>
      <c r="F59" s="208">
        <v>3602378.0</v>
      </c>
      <c r="G59" s="208">
        <v>816245.0</v>
      </c>
      <c r="H59" s="208">
        <v>896996.0</v>
      </c>
      <c r="I59" s="209">
        <v>162677.0</v>
      </c>
      <c r="J59" s="209">
        <v>890078.0</v>
      </c>
      <c r="K59" s="210">
        <v>9669499.0</v>
      </c>
    </row>
    <row r="60" ht="14.25" customHeight="1">
      <c r="B60" s="203" t="s">
        <v>61</v>
      </c>
      <c r="C60" s="184" t="s">
        <v>40</v>
      </c>
      <c r="D60" s="204">
        <v>187500.0</v>
      </c>
      <c r="E60" s="204">
        <v>110000.0</v>
      </c>
      <c r="F60" s="204">
        <v>110000.0</v>
      </c>
      <c r="G60" s="204">
        <v>60000.0</v>
      </c>
      <c r="H60" s="204">
        <v>50000.0</v>
      </c>
      <c r="I60" s="205">
        <v>60000.0</v>
      </c>
      <c r="J60" s="205">
        <v>100000.0</v>
      </c>
      <c r="K60" s="206">
        <v>677500.0</v>
      </c>
    </row>
    <row r="61" ht="14.25" customHeight="1">
      <c r="B61" s="203"/>
      <c r="C61" s="207" t="str">
        <f>B60</f>
        <v>修繕引当金繰入</v>
      </c>
      <c r="D61" s="208">
        <v>187500.0</v>
      </c>
      <c r="E61" s="208">
        <v>110000.0</v>
      </c>
      <c r="F61" s="208">
        <v>110000.0</v>
      </c>
      <c r="G61" s="208">
        <v>60000.0</v>
      </c>
      <c r="H61" s="208">
        <v>50000.0</v>
      </c>
      <c r="I61" s="209">
        <v>60000.0</v>
      </c>
      <c r="J61" s="209">
        <v>100000.0</v>
      </c>
      <c r="K61" s="210">
        <v>677500.0</v>
      </c>
    </row>
    <row r="62" ht="14.25" customHeight="1">
      <c r="B62" s="203" t="s">
        <v>63</v>
      </c>
      <c r="C62" s="184" t="s">
        <v>40</v>
      </c>
      <c r="D62" s="204">
        <v>275000.0</v>
      </c>
      <c r="E62" s="204">
        <v>750000.0</v>
      </c>
      <c r="F62" s="204">
        <v>490000.0</v>
      </c>
      <c r="G62" s="204">
        <v>30000.0</v>
      </c>
      <c r="H62" s="204">
        <v>30000.0</v>
      </c>
      <c r="I62" s="205">
        <v>130000.0</v>
      </c>
      <c r="J62" s="205">
        <v>0.0</v>
      </c>
      <c r="K62" s="206">
        <v>1705000.0</v>
      </c>
    </row>
    <row r="63" ht="14.25" customHeight="1">
      <c r="B63" s="203"/>
      <c r="C63" s="207" t="str">
        <f>B62</f>
        <v>特別修繕引当金繰入</v>
      </c>
      <c r="D63" s="208">
        <v>275000.0</v>
      </c>
      <c r="E63" s="208">
        <v>750000.0</v>
      </c>
      <c r="F63" s="208">
        <v>490000.0</v>
      </c>
      <c r="G63" s="208">
        <v>30000.0</v>
      </c>
      <c r="H63" s="208">
        <v>30000.0</v>
      </c>
      <c r="I63" s="209">
        <v>130000.0</v>
      </c>
      <c r="J63" s="209">
        <v>0.0</v>
      </c>
      <c r="K63" s="210">
        <v>1705000.0</v>
      </c>
    </row>
    <row r="64" ht="14.25" customHeight="1">
      <c r="B64" s="203" t="s">
        <v>65</v>
      </c>
      <c r="C64" s="184" t="s">
        <v>40</v>
      </c>
      <c r="D64" s="204">
        <v>159342.0</v>
      </c>
      <c r="E64" s="204">
        <v>117813.0</v>
      </c>
      <c r="F64" s="204">
        <v>1200000.0</v>
      </c>
      <c r="G64" s="204">
        <v>50000.0</v>
      </c>
      <c r="H64" s="204">
        <v>50000.0</v>
      </c>
      <c r="I64" s="205">
        <v>220000.0</v>
      </c>
      <c r="J64" s="205">
        <v>367040.0</v>
      </c>
      <c r="K64" s="206">
        <v>2164195.0</v>
      </c>
    </row>
    <row r="65" ht="14.25" customHeight="1">
      <c r="B65" s="203"/>
      <c r="C65" s="207" t="str">
        <f>B64</f>
        <v>客用消耗品費</v>
      </c>
      <c r="D65" s="208">
        <v>140968.0</v>
      </c>
      <c r="E65" s="208">
        <v>225624.0</v>
      </c>
      <c r="F65" s="208">
        <v>1489816.0</v>
      </c>
      <c r="G65" s="208">
        <v>167165.0</v>
      </c>
      <c r="H65" s="208">
        <v>59176.0</v>
      </c>
      <c r="I65" s="209">
        <v>330578.0</v>
      </c>
      <c r="J65" s="209">
        <v>293747.0</v>
      </c>
      <c r="K65" s="210">
        <v>2707074.0</v>
      </c>
    </row>
    <row r="66" ht="14.25" customHeight="1">
      <c r="B66" s="203" t="s">
        <v>64</v>
      </c>
      <c r="C66" s="184" t="s">
        <v>40</v>
      </c>
      <c r="D66" s="204">
        <v>209910.0</v>
      </c>
      <c r="E66" s="204">
        <v>100000.0</v>
      </c>
      <c r="F66" s="204">
        <v>250000.0</v>
      </c>
      <c r="G66" s="204">
        <v>40000.0</v>
      </c>
      <c r="H66" s="204">
        <v>40000.0</v>
      </c>
      <c r="I66" s="205">
        <v>44007.0</v>
      </c>
      <c r="J66" s="205">
        <v>50000.0</v>
      </c>
      <c r="K66" s="206">
        <v>733917.0</v>
      </c>
    </row>
    <row r="67" ht="14.25" customHeight="1">
      <c r="B67" s="203"/>
      <c r="C67" s="207" t="str">
        <f>B66</f>
        <v>備品消耗品費</v>
      </c>
      <c r="D67" s="208">
        <v>209911.0</v>
      </c>
      <c r="E67" s="208">
        <v>350000.0</v>
      </c>
      <c r="F67" s="208">
        <v>250000.0</v>
      </c>
      <c r="G67" s="208">
        <v>130000.0</v>
      </c>
      <c r="H67" s="208">
        <v>40000.0</v>
      </c>
      <c r="I67" s="209">
        <v>44007.0</v>
      </c>
      <c r="J67" s="209">
        <v>50000.0</v>
      </c>
      <c r="K67" s="210">
        <v>1073918.0</v>
      </c>
    </row>
    <row r="68" ht="14.25" customHeight="1">
      <c r="B68" s="203" t="s">
        <v>66</v>
      </c>
      <c r="C68" s="184" t="s">
        <v>40</v>
      </c>
      <c r="D68" s="204">
        <v>492369.0</v>
      </c>
      <c r="E68" s="204">
        <v>600000.0</v>
      </c>
      <c r="F68" s="204">
        <v>2273243.0</v>
      </c>
      <c r="G68" s="204">
        <v>198345.0</v>
      </c>
      <c r="H68" s="204">
        <v>277858.0</v>
      </c>
      <c r="I68" s="205">
        <v>200000.0</v>
      </c>
      <c r="J68" s="205">
        <v>917600.0</v>
      </c>
      <c r="K68" s="206">
        <v>4959415.0</v>
      </c>
    </row>
    <row r="69" ht="14.25" customHeight="1">
      <c r="B69" s="203"/>
      <c r="C69" s="207" t="str">
        <f>B68</f>
        <v>クリーニング費</v>
      </c>
      <c r="D69" s="208">
        <v>574944.0</v>
      </c>
      <c r="E69" s="208">
        <v>468956.0</v>
      </c>
      <c r="F69" s="208">
        <v>2318610.0</v>
      </c>
      <c r="G69" s="208">
        <v>183446.0</v>
      </c>
      <c r="H69" s="208">
        <v>262093.0</v>
      </c>
      <c r="I69" s="209">
        <v>315084.0</v>
      </c>
      <c r="J69" s="209">
        <v>744059.0</v>
      </c>
      <c r="K69" s="210">
        <v>4867192.0</v>
      </c>
    </row>
    <row r="70" ht="14.25" customHeight="1">
      <c r="B70" s="203" t="s">
        <v>67</v>
      </c>
      <c r="C70" s="184" t="s">
        <v>40</v>
      </c>
      <c r="D70" s="204">
        <v>4278.0</v>
      </c>
      <c r="E70" s="204">
        <v>0.0</v>
      </c>
      <c r="F70" s="204">
        <v>177842.0</v>
      </c>
      <c r="G70" s="204">
        <v>2367.0</v>
      </c>
      <c r="H70" s="204">
        <v>730.0</v>
      </c>
      <c r="I70" s="205">
        <v>0.0</v>
      </c>
      <c r="J70" s="205">
        <v>0.0</v>
      </c>
      <c r="K70" s="206">
        <v>185217.0</v>
      </c>
    </row>
    <row r="71" ht="14.25" customHeight="1">
      <c r="B71" s="203"/>
      <c r="C71" s="207" t="str">
        <f>B70</f>
        <v>荷造運賃</v>
      </c>
      <c r="D71" s="208">
        <v>4278.0</v>
      </c>
      <c r="E71" s="208">
        <v>0.0</v>
      </c>
      <c r="F71" s="208">
        <v>177842.0</v>
      </c>
      <c r="G71" s="208">
        <v>2367.0</v>
      </c>
      <c r="H71" s="208">
        <v>730.0</v>
      </c>
      <c r="I71" s="209">
        <v>0.0</v>
      </c>
      <c r="J71" s="209">
        <v>0.0</v>
      </c>
      <c r="K71" s="210">
        <v>185217.0</v>
      </c>
    </row>
    <row r="72" ht="14.25" customHeight="1">
      <c r="B72" s="203" t="s">
        <v>68</v>
      </c>
      <c r="C72" s="184" t="s">
        <v>40</v>
      </c>
      <c r="D72" s="204">
        <v>0.0</v>
      </c>
      <c r="E72" s="204">
        <v>0.0</v>
      </c>
      <c r="F72" s="204">
        <v>0.0</v>
      </c>
      <c r="G72" s="204">
        <v>0.0</v>
      </c>
      <c r="H72" s="204">
        <v>0.0</v>
      </c>
      <c r="I72" s="205">
        <v>0.0</v>
      </c>
      <c r="J72" s="205">
        <v>0.0</v>
      </c>
      <c r="K72" s="206">
        <v>0.0</v>
      </c>
    </row>
    <row r="73" ht="14.25" customHeight="1">
      <c r="B73" s="203"/>
      <c r="C73" s="207" t="str">
        <f>B72</f>
        <v>接待交際費</v>
      </c>
      <c r="D73" s="208">
        <v>0.0</v>
      </c>
      <c r="E73" s="208">
        <v>0.0</v>
      </c>
      <c r="F73" s="208">
        <v>0.0</v>
      </c>
      <c r="G73" s="208">
        <v>0.0</v>
      </c>
      <c r="H73" s="208">
        <v>0.0</v>
      </c>
      <c r="I73" s="209">
        <v>0.0</v>
      </c>
      <c r="J73" s="209">
        <v>0.0</v>
      </c>
      <c r="K73" s="210">
        <v>0.0</v>
      </c>
    </row>
    <row r="74" ht="14.25" customHeight="1">
      <c r="B74" s="203" t="s">
        <v>69</v>
      </c>
      <c r="C74" s="184" t="s">
        <v>40</v>
      </c>
      <c r="D74" s="204">
        <v>20000.0</v>
      </c>
      <c r="E74" s="204">
        <v>29000.0</v>
      </c>
      <c r="F74" s="204">
        <v>91062.0</v>
      </c>
      <c r="G74" s="204">
        <v>50000.0</v>
      </c>
      <c r="H74" s="204">
        <v>20000.0</v>
      </c>
      <c r="I74" s="205">
        <v>9443.0</v>
      </c>
      <c r="J74" s="205">
        <v>90000.0</v>
      </c>
      <c r="K74" s="206">
        <v>309505.0</v>
      </c>
    </row>
    <row r="75" ht="14.25" customHeight="1">
      <c r="B75" s="203"/>
      <c r="C75" s="207" t="str">
        <f>B74</f>
        <v>通信費</v>
      </c>
      <c r="D75" s="208">
        <v>20000.0</v>
      </c>
      <c r="E75" s="208">
        <v>29000.0</v>
      </c>
      <c r="F75" s="208">
        <v>91062.0</v>
      </c>
      <c r="G75" s="208">
        <v>50000.0</v>
      </c>
      <c r="H75" s="208">
        <v>20000.0</v>
      </c>
      <c r="I75" s="209">
        <v>9443.0</v>
      </c>
      <c r="J75" s="209">
        <v>90000.0</v>
      </c>
      <c r="K75" s="210">
        <v>309505.0</v>
      </c>
    </row>
    <row r="76" ht="14.25" customHeight="1">
      <c r="B76" s="203" t="s">
        <v>70</v>
      </c>
      <c r="C76" s="184" t="s">
        <v>40</v>
      </c>
      <c r="D76" s="204">
        <v>295750.0</v>
      </c>
      <c r="E76" s="204">
        <v>286000.0</v>
      </c>
      <c r="F76" s="204">
        <v>448674.0</v>
      </c>
      <c r="G76" s="204">
        <v>91082.0</v>
      </c>
      <c r="H76" s="204">
        <v>85252.0</v>
      </c>
      <c r="I76" s="205">
        <v>43368.0</v>
      </c>
      <c r="J76" s="205">
        <v>0.0</v>
      </c>
      <c r="K76" s="206">
        <v>1250126.0</v>
      </c>
    </row>
    <row r="77" ht="14.25" customHeight="1">
      <c r="B77" s="203"/>
      <c r="C77" s="207" t="str">
        <f>B76</f>
        <v>租税公課</v>
      </c>
      <c r="D77" s="208">
        <v>295750.0</v>
      </c>
      <c r="E77" s="208">
        <v>286000.0</v>
      </c>
      <c r="F77" s="208"/>
      <c r="G77" s="208"/>
      <c r="H77" s="208"/>
      <c r="I77" s="209"/>
      <c r="J77" s="209">
        <v>0.0</v>
      </c>
      <c r="K77" s="210">
        <v>581750.0</v>
      </c>
    </row>
    <row r="78" ht="14.25" customHeight="1">
      <c r="B78" s="203" t="s">
        <v>71</v>
      </c>
      <c r="C78" s="184" t="s">
        <v>40</v>
      </c>
      <c r="D78" s="204">
        <v>191768.0</v>
      </c>
      <c r="E78" s="204">
        <v>0.0</v>
      </c>
      <c r="F78" s="204">
        <v>37191.0</v>
      </c>
      <c r="G78" s="204">
        <v>0.0</v>
      </c>
      <c r="H78" s="204">
        <v>0.0</v>
      </c>
      <c r="I78" s="205">
        <v>0.0</v>
      </c>
      <c r="J78" s="205">
        <v>0.0</v>
      </c>
      <c r="K78" s="206">
        <v>228959.0</v>
      </c>
    </row>
    <row r="79" ht="14.25" customHeight="1">
      <c r="B79" s="203"/>
      <c r="C79" s="207" t="str">
        <f>B78</f>
        <v>車両費</v>
      </c>
      <c r="D79" s="208">
        <v>191768.0</v>
      </c>
      <c r="E79" s="208">
        <v>0.0</v>
      </c>
      <c r="F79" s="208">
        <v>37191.0</v>
      </c>
      <c r="G79" s="208">
        <v>0.0</v>
      </c>
      <c r="H79" s="208">
        <v>0.0</v>
      </c>
      <c r="I79" s="209">
        <v>0.0</v>
      </c>
      <c r="J79" s="209">
        <v>0.0</v>
      </c>
      <c r="K79" s="210">
        <v>228959.0</v>
      </c>
    </row>
    <row r="80" ht="14.25" customHeight="1">
      <c r="B80" s="203" t="s">
        <v>72</v>
      </c>
      <c r="C80" s="184" t="s">
        <v>40</v>
      </c>
      <c r="D80" s="204">
        <v>76739.0</v>
      </c>
      <c r="E80" s="204">
        <v>120000.0</v>
      </c>
      <c r="F80" s="204">
        <v>271233.0</v>
      </c>
      <c r="G80" s="204">
        <v>32019.0</v>
      </c>
      <c r="H80" s="204">
        <v>50000.0</v>
      </c>
      <c r="I80" s="205">
        <v>11000.0</v>
      </c>
      <c r="J80" s="205">
        <v>60000.0</v>
      </c>
      <c r="K80" s="206">
        <v>620991.0</v>
      </c>
    </row>
    <row r="81" ht="14.25" customHeight="1">
      <c r="B81" s="203"/>
      <c r="C81" s="207" t="str">
        <f>B80</f>
        <v>旅費交通費</v>
      </c>
      <c r="D81" s="208">
        <v>76739.0</v>
      </c>
      <c r="E81" s="208">
        <v>120000.0</v>
      </c>
      <c r="F81" s="208">
        <v>271233.0</v>
      </c>
      <c r="G81" s="208">
        <v>32019.0</v>
      </c>
      <c r="H81" s="208">
        <v>50000.0</v>
      </c>
      <c r="I81" s="209">
        <v>11000.0</v>
      </c>
      <c r="J81" s="209">
        <v>60000.0</v>
      </c>
      <c r="K81" s="210">
        <v>620991.0</v>
      </c>
    </row>
    <row r="82" ht="14.25" customHeight="1">
      <c r="B82" s="203" t="s">
        <v>73</v>
      </c>
      <c r="C82" s="184" t="s">
        <v>40</v>
      </c>
      <c r="D82" s="204">
        <v>22565.0</v>
      </c>
      <c r="E82" s="204">
        <v>10000.0</v>
      </c>
      <c r="F82" s="204">
        <v>9099.0</v>
      </c>
      <c r="G82" s="204">
        <v>1856.0</v>
      </c>
      <c r="H82" s="204">
        <v>5155.0</v>
      </c>
      <c r="I82" s="205">
        <v>11347.0</v>
      </c>
      <c r="J82" s="205">
        <v>0.0</v>
      </c>
      <c r="K82" s="206">
        <v>60022.0</v>
      </c>
    </row>
    <row r="83" ht="14.25" customHeight="1">
      <c r="B83" s="203"/>
      <c r="C83" s="207" t="str">
        <f>B82</f>
        <v>保険料</v>
      </c>
      <c r="D83" s="208">
        <v>22564.0</v>
      </c>
      <c r="E83" s="208">
        <v>10000.0</v>
      </c>
      <c r="F83" s="208">
        <v>9099.0</v>
      </c>
      <c r="G83" s="208">
        <v>1856.0</v>
      </c>
      <c r="H83" s="208">
        <v>5155.0</v>
      </c>
      <c r="I83" s="209">
        <v>11347.0</v>
      </c>
      <c r="J83" s="209">
        <v>0.0</v>
      </c>
      <c r="K83" s="210">
        <v>60021.0</v>
      </c>
    </row>
    <row r="84" ht="14.25" customHeight="1">
      <c r="B84" s="203" t="s">
        <v>74</v>
      </c>
      <c r="C84" s="184" t="s">
        <v>40</v>
      </c>
      <c r="D84" s="204">
        <v>316700.0</v>
      </c>
      <c r="E84" s="204">
        <v>3000.0</v>
      </c>
      <c r="F84" s="204">
        <v>0.0</v>
      </c>
      <c r="G84" s="204">
        <v>0.0</v>
      </c>
      <c r="H84" s="204">
        <v>35000.0</v>
      </c>
      <c r="I84" s="205">
        <v>0.0</v>
      </c>
      <c r="J84" s="205">
        <v>0.0</v>
      </c>
      <c r="K84" s="206">
        <v>354700.0</v>
      </c>
    </row>
    <row r="85" ht="14.25" customHeight="1">
      <c r="B85" s="203"/>
      <c r="C85" s="207" t="str">
        <f>B84</f>
        <v>清掃費</v>
      </c>
      <c r="D85" s="208">
        <v>316700.0</v>
      </c>
      <c r="E85" s="208">
        <v>3000.0</v>
      </c>
      <c r="F85" s="208">
        <v>0.0</v>
      </c>
      <c r="G85" s="208">
        <v>0.0</v>
      </c>
      <c r="H85" s="208">
        <v>35000.0</v>
      </c>
      <c r="I85" s="209">
        <v>0.0</v>
      </c>
      <c r="J85" s="209">
        <v>0.0</v>
      </c>
      <c r="K85" s="210">
        <v>354700.0</v>
      </c>
    </row>
    <row r="86" ht="14.25" customHeight="1">
      <c r="B86" s="203" t="s">
        <v>76</v>
      </c>
      <c r="C86" s="184" t="s">
        <v>40</v>
      </c>
      <c r="D86" s="204">
        <v>0.0</v>
      </c>
      <c r="E86" s="204">
        <v>0.0</v>
      </c>
      <c r="F86" s="204">
        <v>0.0</v>
      </c>
      <c r="G86" s="204">
        <v>100800.0</v>
      </c>
      <c r="H86" s="204">
        <v>52080.0</v>
      </c>
      <c r="I86" s="205">
        <v>0.0</v>
      </c>
      <c r="J86" s="205">
        <v>90000.0</v>
      </c>
      <c r="K86" s="206">
        <v>242880.0</v>
      </c>
    </row>
    <row r="87" ht="14.25" customHeight="1">
      <c r="B87" s="203"/>
      <c r="C87" s="207" t="str">
        <f>B86</f>
        <v>温泉使用料</v>
      </c>
      <c r="D87" s="215">
        <v>0.0</v>
      </c>
      <c r="E87" s="215">
        <v>0.0</v>
      </c>
      <c r="F87" s="215">
        <v>0.0</v>
      </c>
      <c r="G87" s="215"/>
      <c r="H87" s="215"/>
      <c r="I87" s="216"/>
      <c r="J87" s="216"/>
      <c r="K87" s="217">
        <v>0.0</v>
      </c>
    </row>
    <row r="88" ht="14.25" customHeight="1">
      <c r="B88" s="203" t="s">
        <v>109</v>
      </c>
      <c r="C88" s="184" t="s">
        <v>40</v>
      </c>
      <c r="D88" s="218">
        <v>0.0</v>
      </c>
      <c r="E88" s="218">
        <v>0.0</v>
      </c>
      <c r="F88" s="218">
        <v>0.0</v>
      </c>
      <c r="G88" s="218">
        <v>0.0</v>
      </c>
      <c r="H88" s="218">
        <v>0.0</v>
      </c>
      <c r="I88" s="219">
        <v>0.0</v>
      </c>
      <c r="J88" s="219">
        <v>0.0</v>
      </c>
      <c r="K88" s="220">
        <v>0.0</v>
      </c>
    </row>
    <row r="89" ht="14.25" customHeight="1">
      <c r="B89" s="203"/>
      <c r="C89" s="207" t="str">
        <f>B88</f>
        <v>新聞図書費</v>
      </c>
      <c r="D89" s="215">
        <v>0.0</v>
      </c>
      <c r="E89" s="215">
        <v>0.0</v>
      </c>
      <c r="F89" s="215">
        <v>0.0</v>
      </c>
      <c r="G89" s="215">
        <v>0.0</v>
      </c>
      <c r="H89" s="215">
        <v>0.0</v>
      </c>
      <c r="I89" s="216">
        <v>0.0</v>
      </c>
      <c r="J89" s="216">
        <v>0.0</v>
      </c>
      <c r="K89" s="217">
        <v>0.0</v>
      </c>
    </row>
    <row r="90" ht="14.25" customHeight="1">
      <c r="B90" s="203" t="s">
        <v>80</v>
      </c>
      <c r="C90" s="184" t="s">
        <v>40</v>
      </c>
      <c r="D90" s="218">
        <v>0.0</v>
      </c>
      <c r="E90" s="218">
        <v>0.0</v>
      </c>
      <c r="F90" s="218">
        <v>0.0</v>
      </c>
      <c r="G90" s="218">
        <v>0.0</v>
      </c>
      <c r="H90" s="218">
        <v>0.0</v>
      </c>
      <c r="I90" s="219">
        <v>0.0</v>
      </c>
      <c r="J90" s="219">
        <v>10000.0</v>
      </c>
      <c r="K90" s="220">
        <v>10000.0</v>
      </c>
    </row>
    <row r="91" ht="14.25" customHeight="1">
      <c r="B91" s="221"/>
      <c r="C91" s="222" t="str">
        <f>B90</f>
        <v>雑費</v>
      </c>
      <c r="D91" s="223">
        <v>0.0</v>
      </c>
      <c r="E91" s="223">
        <v>0.0</v>
      </c>
      <c r="F91" s="223">
        <v>0.0</v>
      </c>
      <c r="G91" s="223">
        <v>0.0</v>
      </c>
      <c r="H91" s="223">
        <v>0.0</v>
      </c>
      <c r="I91" s="224">
        <v>0.0</v>
      </c>
      <c r="J91" s="224">
        <v>10000.0</v>
      </c>
      <c r="K91" s="225">
        <v>10000.0</v>
      </c>
    </row>
    <row r="92" ht="14.25" customHeight="1">
      <c r="B92" s="226" t="s">
        <v>123</v>
      </c>
      <c r="C92" s="227"/>
      <c r="D92" s="228"/>
      <c r="E92" s="228"/>
      <c r="F92" s="228"/>
      <c r="G92" s="228"/>
      <c r="H92" s="228"/>
      <c r="I92" s="229"/>
      <c r="J92" s="229"/>
      <c r="K92" s="230">
        <v>0.0</v>
      </c>
    </row>
    <row r="93" ht="14.25" customHeight="1">
      <c r="B93" s="231"/>
      <c r="C93" s="232" t="str">
        <f>B92</f>
        <v>●追加経費</v>
      </c>
      <c r="D93" s="233"/>
      <c r="E93" s="233"/>
      <c r="F93" s="233"/>
      <c r="G93" s="233"/>
      <c r="H93" s="233"/>
      <c r="I93" s="234"/>
      <c r="J93" s="234"/>
      <c r="K93" s="235">
        <v>0.0</v>
      </c>
    </row>
    <row r="94" ht="14.25" customHeight="1">
      <c r="B94" s="231"/>
      <c r="C94" s="236"/>
      <c r="D94" s="233"/>
      <c r="E94" s="233"/>
      <c r="F94" s="233"/>
      <c r="G94" s="233"/>
      <c r="H94" s="233"/>
      <c r="I94" s="234"/>
      <c r="J94" s="234"/>
      <c r="K94" s="235">
        <v>0.0</v>
      </c>
    </row>
    <row r="95" ht="14.25" customHeight="1">
      <c r="B95" s="237"/>
      <c r="C95" s="227"/>
      <c r="D95" s="228"/>
      <c r="E95" s="228"/>
      <c r="F95" s="228"/>
      <c r="G95" s="228"/>
      <c r="H95" s="228"/>
      <c r="I95" s="229"/>
      <c r="J95" s="229"/>
      <c r="K95" s="230">
        <v>0.0</v>
      </c>
    </row>
    <row r="96" ht="14.25" customHeight="1">
      <c r="B96" s="238"/>
      <c r="C96" s="239"/>
      <c r="D96" s="228"/>
      <c r="E96" s="228"/>
      <c r="F96" s="228"/>
      <c r="G96" s="228"/>
      <c r="H96" s="228"/>
      <c r="I96" s="229"/>
      <c r="J96" s="229"/>
      <c r="K96" s="230">
        <v>0.0</v>
      </c>
    </row>
    <row r="97" ht="14.25" customHeight="1">
      <c r="B97" s="240"/>
      <c r="C97" s="241"/>
      <c r="D97" s="228"/>
      <c r="E97" s="228"/>
      <c r="F97" s="228"/>
      <c r="G97" s="228"/>
      <c r="H97" s="228"/>
      <c r="I97" s="229"/>
      <c r="J97" s="229"/>
      <c r="K97" s="230">
        <v>0.0</v>
      </c>
    </row>
    <row r="98" ht="14.25" customHeight="1">
      <c r="B98" s="237"/>
      <c r="C98" s="242"/>
      <c r="D98" s="228"/>
      <c r="E98" s="228"/>
      <c r="F98" s="228"/>
      <c r="G98" s="228"/>
      <c r="H98" s="228"/>
      <c r="I98" s="229"/>
      <c r="J98" s="229"/>
      <c r="K98" s="230">
        <v>0.0</v>
      </c>
    </row>
    <row r="99" ht="14.25" customHeight="1">
      <c r="B99" s="237"/>
      <c r="C99" s="241"/>
      <c r="D99" s="228"/>
      <c r="E99" s="228"/>
      <c r="F99" s="228"/>
      <c r="G99" s="228"/>
      <c r="H99" s="228"/>
      <c r="I99" s="229"/>
      <c r="J99" s="229"/>
      <c r="K99" s="230">
        <v>0.0</v>
      </c>
    </row>
    <row r="100" ht="14.25" customHeight="1">
      <c r="B100" s="243"/>
      <c r="C100" s="244"/>
      <c r="D100" s="245"/>
      <c r="E100" s="245"/>
      <c r="F100" s="245"/>
      <c r="G100" s="245"/>
      <c r="H100" s="245"/>
      <c r="I100" s="246"/>
      <c r="J100" s="246"/>
      <c r="K100" s="247">
        <v>0.0</v>
      </c>
    </row>
    <row r="101" ht="14.25" customHeight="1">
      <c r="B101" s="110" t="s">
        <v>30</v>
      </c>
      <c r="C101" s="146" t="s">
        <v>40</v>
      </c>
      <c r="D101" s="148">
        <v>1290345.0</v>
      </c>
      <c r="E101" s="148">
        <v>1824815.0</v>
      </c>
      <c r="F101" s="148">
        <v>7055429.0</v>
      </c>
      <c r="G101" s="148">
        <v>421755.0</v>
      </c>
      <c r="H101" s="148">
        <v>1099678.0</v>
      </c>
      <c r="I101" s="147">
        <v>763139.0</v>
      </c>
      <c r="J101" s="147">
        <v>324417.0</v>
      </c>
      <c r="K101" s="149">
        <v>1.2779578E7</v>
      </c>
    </row>
    <row r="102" ht="14.25" customHeight="1">
      <c r="B102" s="179"/>
      <c r="C102" s="151" t="str">
        <f>B101</f>
        <v>固定費</v>
      </c>
      <c r="D102" s="139">
        <v>1354466.0</v>
      </c>
      <c r="E102" s="139">
        <v>1972839.0</v>
      </c>
      <c r="F102" s="139">
        <v>7388206.0</v>
      </c>
      <c r="G102" s="139">
        <v>450809.0</v>
      </c>
      <c r="H102" s="139">
        <v>1135033.0</v>
      </c>
      <c r="I102" s="138">
        <v>840739.0</v>
      </c>
      <c r="J102" s="138">
        <v>299500.0</v>
      </c>
      <c r="K102" s="140">
        <v>1.3441592E7</v>
      </c>
    </row>
    <row r="103" ht="14.25" customHeight="1">
      <c r="B103" s="180"/>
      <c r="C103" s="181"/>
      <c r="D103" s="182">
        <v>0.0932474613610547</v>
      </c>
      <c r="E103" s="182">
        <v>0.11736103509815586</v>
      </c>
      <c r="F103" s="182">
        <v>0.13469511622398642</v>
      </c>
      <c r="G103" s="182">
        <v>0.07366160130718954</v>
      </c>
      <c r="H103" s="182">
        <v>0.12257508180433914</v>
      </c>
      <c r="I103" s="119">
        <v>0.15103830198210835</v>
      </c>
      <c r="J103" s="119">
        <v>0.02833831501041279</v>
      </c>
      <c r="K103" s="120">
        <v>0.11420034216283458</v>
      </c>
    </row>
    <row r="104" ht="14.25" customHeight="1">
      <c r="B104" s="248" t="s">
        <v>35</v>
      </c>
      <c r="C104" s="249" t="s">
        <v>40</v>
      </c>
      <c r="D104" s="250">
        <v>489173.0</v>
      </c>
      <c r="E104" s="250">
        <v>1049026.0</v>
      </c>
      <c r="F104" s="250">
        <v>5583157.0</v>
      </c>
      <c r="G104" s="250">
        <v>274551.0</v>
      </c>
      <c r="H104" s="250">
        <v>804606.0</v>
      </c>
      <c r="I104" s="251">
        <v>679275.0</v>
      </c>
      <c r="J104" s="251">
        <v>35417.0</v>
      </c>
      <c r="K104" s="252">
        <v>8915205.0</v>
      </c>
    </row>
    <row r="105" ht="14.25" customHeight="1">
      <c r="B105" s="253"/>
      <c r="C105" s="254" t="str">
        <f>B104</f>
        <v>減価償却費</v>
      </c>
      <c r="D105" s="255">
        <v>466129.0</v>
      </c>
      <c r="E105" s="255">
        <v>1087635.0</v>
      </c>
      <c r="F105" s="255">
        <v>5540318.0</v>
      </c>
      <c r="G105" s="255">
        <v>267605.0</v>
      </c>
      <c r="H105" s="255">
        <v>804606.0</v>
      </c>
      <c r="I105" s="256">
        <v>679275.0</v>
      </c>
      <c r="J105" s="256">
        <v>0.0</v>
      </c>
      <c r="K105" s="257">
        <v>8845568.0</v>
      </c>
    </row>
    <row r="106" ht="14.25" customHeight="1">
      <c r="B106" s="253" t="s">
        <v>82</v>
      </c>
      <c r="C106" s="249" t="s">
        <v>40</v>
      </c>
      <c r="D106" s="250">
        <v>0.0</v>
      </c>
      <c r="E106" s="250">
        <v>0.0</v>
      </c>
      <c r="F106" s="250">
        <v>0.0</v>
      </c>
      <c r="G106" s="250">
        <v>0.0</v>
      </c>
      <c r="H106" s="250">
        <v>0.0</v>
      </c>
      <c r="I106" s="251">
        <v>0.0</v>
      </c>
      <c r="J106" s="251">
        <v>0.0</v>
      </c>
      <c r="K106" s="252">
        <v>0.0</v>
      </c>
    </row>
    <row r="107" ht="14.25" customHeight="1">
      <c r="B107" s="258"/>
      <c r="C107" s="259" t="str">
        <f>B106</f>
        <v>地代家賃</v>
      </c>
      <c r="D107" s="255">
        <v>0.0</v>
      </c>
      <c r="E107" s="255">
        <v>0.0</v>
      </c>
      <c r="F107" s="255">
        <v>0.0</v>
      </c>
      <c r="G107" s="255">
        <v>0.0</v>
      </c>
      <c r="H107" s="255">
        <v>0.0</v>
      </c>
      <c r="I107" s="256">
        <v>0.0</v>
      </c>
      <c r="J107" s="256">
        <v>0.0</v>
      </c>
      <c r="K107" s="257">
        <v>0.0</v>
      </c>
    </row>
    <row r="108" ht="14.25" customHeight="1">
      <c r="B108" s="258" t="s">
        <v>83</v>
      </c>
      <c r="C108" s="249" t="s">
        <v>40</v>
      </c>
      <c r="D108" s="250">
        <v>132310.0</v>
      </c>
      <c r="E108" s="250">
        <v>78979.0</v>
      </c>
      <c r="F108" s="250">
        <v>676382.0</v>
      </c>
      <c r="G108" s="250">
        <v>55504.0</v>
      </c>
      <c r="H108" s="250">
        <v>203372.0</v>
      </c>
      <c r="I108" s="251">
        <v>1064.0</v>
      </c>
      <c r="J108" s="251">
        <v>100000.0</v>
      </c>
      <c r="K108" s="252">
        <v>1247611.0</v>
      </c>
    </row>
    <row r="109" ht="14.25" customHeight="1">
      <c r="B109" s="258"/>
      <c r="C109" s="259" t="str">
        <f>B108</f>
        <v>リース料</v>
      </c>
      <c r="D109" s="255">
        <v>132309.0</v>
      </c>
      <c r="E109" s="255">
        <v>78978.0</v>
      </c>
      <c r="F109" s="255">
        <v>676382.0</v>
      </c>
      <c r="G109" s="255">
        <v>55504.0</v>
      </c>
      <c r="H109" s="255">
        <v>203372.0</v>
      </c>
      <c r="I109" s="256">
        <v>1064.0</v>
      </c>
      <c r="J109" s="256">
        <v>100000.0</v>
      </c>
      <c r="K109" s="257">
        <v>1247609.0</v>
      </c>
    </row>
    <row r="110" ht="14.25" customHeight="1">
      <c r="B110" s="258" t="s">
        <v>84</v>
      </c>
      <c r="C110" s="249" t="s">
        <v>40</v>
      </c>
      <c r="D110" s="250">
        <v>121352.0</v>
      </c>
      <c r="E110" s="250">
        <v>149300.0</v>
      </c>
      <c r="F110" s="250">
        <v>338800.0</v>
      </c>
      <c r="G110" s="250">
        <v>78800.0</v>
      </c>
      <c r="H110" s="250">
        <v>78800.0</v>
      </c>
      <c r="I110" s="251">
        <v>82800.0</v>
      </c>
      <c r="J110" s="251">
        <v>139000.0</v>
      </c>
      <c r="K110" s="252">
        <v>988852.0</v>
      </c>
    </row>
    <row r="111" ht="14.25" customHeight="1">
      <c r="B111" s="258"/>
      <c r="C111" s="259" t="str">
        <f>B110</f>
        <v>システム利用料</v>
      </c>
      <c r="D111" s="255">
        <v>132352.0</v>
      </c>
      <c r="E111" s="255">
        <v>160300.0</v>
      </c>
      <c r="F111" s="255">
        <v>384609.0</v>
      </c>
      <c r="G111" s="255">
        <v>89800.0</v>
      </c>
      <c r="H111" s="255">
        <v>89800.0</v>
      </c>
      <c r="I111" s="256">
        <v>97800.0</v>
      </c>
      <c r="J111" s="256">
        <v>149500.0</v>
      </c>
      <c r="K111" s="257">
        <v>1104161.0</v>
      </c>
    </row>
    <row r="112" ht="14.25" customHeight="1">
      <c r="B112" s="258" t="s">
        <v>85</v>
      </c>
      <c r="C112" s="249" t="s">
        <v>40</v>
      </c>
      <c r="D112" s="250">
        <v>547510.0</v>
      </c>
      <c r="E112" s="250">
        <v>547510.0</v>
      </c>
      <c r="F112" s="250">
        <v>457090.0</v>
      </c>
      <c r="G112" s="250">
        <v>12900.0</v>
      </c>
      <c r="H112" s="250">
        <v>12900.0</v>
      </c>
      <c r="I112" s="251">
        <v>0.0</v>
      </c>
      <c r="J112" s="251">
        <v>50000.0</v>
      </c>
      <c r="K112" s="252">
        <v>1627910.0</v>
      </c>
    </row>
    <row r="113" ht="14.25" customHeight="1">
      <c r="B113" s="260"/>
      <c r="C113" s="261" t="str">
        <f>B112</f>
        <v>保守管理費</v>
      </c>
      <c r="D113" s="262">
        <v>623676.0</v>
      </c>
      <c r="E113" s="262">
        <v>645926.0</v>
      </c>
      <c r="F113" s="262">
        <v>786897.0</v>
      </c>
      <c r="G113" s="262">
        <v>37900.0</v>
      </c>
      <c r="H113" s="262">
        <v>37255.0</v>
      </c>
      <c r="I113" s="263">
        <v>62600.0</v>
      </c>
      <c r="J113" s="263">
        <v>50000.0</v>
      </c>
      <c r="K113" s="264">
        <v>2244254.0</v>
      </c>
    </row>
    <row r="114" ht="14.25" customHeight="1">
      <c r="B114" s="201" t="s">
        <v>31</v>
      </c>
      <c r="C114" s="265" t="s">
        <v>40</v>
      </c>
      <c r="D114" s="148">
        <v>1314556.0</v>
      </c>
      <c r="E114" s="148">
        <v>1296511.0</v>
      </c>
      <c r="F114" s="148">
        <v>4264361.0</v>
      </c>
      <c r="G114" s="148">
        <v>537457.0</v>
      </c>
      <c r="H114" s="148">
        <v>782051.0</v>
      </c>
      <c r="I114" s="147">
        <v>367708.0</v>
      </c>
      <c r="J114" s="147">
        <v>950204.0</v>
      </c>
      <c r="K114" s="149">
        <v>9512848.0</v>
      </c>
    </row>
    <row r="115" ht="14.25" customHeight="1">
      <c r="B115" s="179"/>
      <c r="C115" s="266" t="str">
        <f>B114</f>
        <v>本部費</v>
      </c>
      <c r="D115" s="139">
        <v>1220883.0</v>
      </c>
      <c r="E115" s="139">
        <v>1239845.0</v>
      </c>
      <c r="F115" s="139">
        <v>4482035.0</v>
      </c>
      <c r="G115" s="139">
        <v>650138.0</v>
      </c>
      <c r="H115" s="139">
        <v>678569.0</v>
      </c>
      <c r="I115" s="138">
        <v>494816.0</v>
      </c>
      <c r="J115" s="138">
        <v>973005.0</v>
      </c>
      <c r="K115" s="140">
        <v>9739291.0</v>
      </c>
    </row>
    <row r="116" ht="14.25" customHeight="1">
      <c r="B116" s="179"/>
      <c r="C116" s="267"/>
      <c r="D116" s="268">
        <v>0.08405101373446697</v>
      </c>
      <c r="E116" s="268">
        <v>0.07375639500297441</v>
      </c>
      <c r="F116" s="268">
        <v>0.08171242453783434</v>
      </c>
      <c r="G116" s="268">
        <v>0.10623169934640522</v>
      </c>
      <c r="H116" s="268">
        <v>0.07328038099763497</v>
      </c>
      <c r="I116" s="269">
        <v>0.08889342403954012</v>
      </c>
      <c r="J116" s="269">
        <v>0.09206451484710083</v>
      </c>
      <c r="K116" s="270">
        <v>0.08274543406937328</v>
      </c>
    </row>
    <row r="117" ht="14.25" customHeight="1">
      <c r="B117" s="156" t="s">
        <v>124</v>
      </c>
      <c r="C117" s="271" t="s">
        <v>40</v>
      </c>
      <c r="D117" s="159">
        <v>1.3301255E7</v>
      </c>
      <c r="E117" s="159">
        <v>1.1948883E7</v>
      </c>
      <c r="F117" s="159">
        <v>3.5629113E7</v>
      </c>
      <c r="G117" s="159">
        <v>6079533.0</v>
      </c>
      <c r="H117" s="159">
        <v>7083159.0</v>
      </c>
      <c r="I117" s="158">
        <v>4251650.0</v>
      </c>
      <c r="J117" s="158">
        <v>7798060.0</v>
      </c>
      <c r="K117" s="160">
        <v>8.6091653E7</v>
      </c>
    </row>
    <row r="118" ht="14.25" customHeight="1">
      <c r="B118" s="272"/>
      <c r="C118" s="273" t="str">
        <f>B117</f>
        <v>販管費合計</v>
      </c>
      <c r="D118" s="177">
        <v>1.272055025E7</v>
      </c>
      <c r="E118" s="177">
        <v>1.2704764E7</v>
      </c>
      <c r="F118" s="177">
        <v>3.516323096E7</v>
      </c>
      <c r="G118" s="177">
        <v>6102604.0</v>
      </c>
      <c r="H118" s="177">
        <v>7037186.71</v>
      </c>
      <c r="I118" s="176">
        <v>5079383.4812</v>
      </c>
      <c r="J118" s="176">
        <v>7678680.26</v>
      </c>
      <c r="K118" s="165">
        <v>8.64863996612E7</v>
      </c>
    </row>
    <row r="119" ht="14.25" customHeight="1">
      <c r="B119" s="272"/>
      <c r="C119" s="274"/>
      <c r="D119" s="168">
        <v>0.8757392344497608</v>
      </c>
      <c r="E119" s="168">
        <v>0.7557860797144557</v>
      </c>
      <c r="F119" s="168">
        <v>0.6410643505294895</v>
      </c>
      <c r="G119" s="168">
        <v>0.9971575163398693</v>
      </c>
      <c r="H119" s="168">
        <v>0.7599635752005961</v>
      </c>
      <c r="I119" s="167">
        <v>0.9125084670943282</v>
      </c>
      <c r="J119" s="167">
        <v>0.7265471120938845</v>
      </c>
      <c r="K119" s="169">
        <v>0.7347921610580578</v>
      </c>
    </row>
    <row r="120" ht="14.25" customHeight="1">
      <c r="B120" s="275" t="s">
        <v>87</v>
      </c>
      <c r="C120" s="275" t="s">
        <v>87</v>
      </c>
      <c r="D120" s="276">
        <v>-365886.2249999996</v>
      </c>
      <c r="E120" s="276">
        <v>1623743.8000000007</v>
      </c>
      <c r="F120" s="276">
        <v>7530313.901631996</v>
      </c>
      <c r="G120" s="276">
        <v>-907948.0</v>
      </c>
      <c r="H120" s="276">
        <v>1201809.3150000004</v>
      </c>
      <c r="I120" s="277">
        <v>487012.5187999997</v>
      </c>
      <c r="J120" s="277">
        <v>2251870.7182989996</v>
      </c>
      <c r="K120" s="278">
        <v>1.1820916028731003E7</v>
      </c>
    </row>
    <row r="121" ht="14.25" customHeight="1">
      <c r="B121" s="279"/>
      <c r="C121" s="280"/>
      <c r="D121" s="281">
        <v>-0.02518923444976074</v>
      </c>
      <c r="E121" s="281">
        <v>0.09659392028554437</v>
      </c>
      <c r="F121" s="281">
        <v>0.13728589947051048</v>
      </c>
      <c r="G121" s="281">
        <v>-0.1483575163398693</v>
      </c>
      <c r="H121" s="281">
        <v>0.12978642479940392</v>
      </c>
      <c r="I121" s="282">
        <v>0.08749153290567177</v>
      </c>
      <c r="J121" s="282">
        <v>0.21306918790611545</v>
      </c>
      <c r="K121" s="283">
        <v>0.10043100959761435</v>
      </c>
    </row>
    <row r="122" ht="14.25" customHeight="1">
      <c r="B122" s="284" t="s">
        <v>90</v>
      </c>
      <c r="C122" s="285" t="s">
        <v>90</v>
      </c>
      <c r="D122" s="286">
        <v>1432247.0</v>
      </c>
      <c r="E122" s="287">
        <v>2453726.0</v>
      </c>
      <c r="F122" s="286">
        <v>8805596.0</v>
      </c>
      <c r="G122" s="287">
        <v>-135283.0</v>
      </c>
      <c r="H122" s="287">
        <v>1814675.0</v>
      </c>
      <c r="I122" s="288">
        <v>435550.0</v>
      </c>
      <c r="J122" s="288">
        <v>3981787.0</v>
      </c>
      <c r="K122" s="289">
        <v>1.8788298E7</v>
      </c>
    </row>
    <row r="123" ht="14.25" customHeight="1">
      <c r="B123" s="290" t="s">
        <v>125</v>
      </c>
      <c r="C123" s="291"/>
      <c r="D123" s="292">
        <v>-4360170.0</v>
      </c>
      <c r="E123" s="292">
        <v>230165.0</v>
      </c>
      <c r="F123" s="292">
        <v>5200794.0</v>
      </c>
      <c r="G123" s="292">
        <v>-79265.0</v>
      </c>
      <c r="H123" s="292">
        <v>1701435.0</v>
      </c>
      <c r="I123" s="293">
        <v>-553373.0</v>
      </c>
      <c r="J123" s="293"/>
      <c r="K123" s="294">
        <v>2139586.0</v>
      </c>
    </row>
    <row r="124" ht="14.25" customHeight="1">
      <c r="B124" s="92"/>
      <c r="C124" s="92"/>
    </row>
    <row r="125" ht="14.25" customHeight="1">
      <c r="B125" s="92"/>
      <c r="C125" s="92"/>
    </row>
    <row r="126" ht="14.25" customHeight="1">
      <c r="B126" s="92"/>
      <c r="C126" s="92"/>
    </row>
    <row r="127" ht="14.25" customHeight="1">
      <c r="B127" s="92"/>
      <c r="C127" s="92"/>
    </row>
    <row r="128" ht="14.25" customHeight="1">
      <c r="B128" s="92"/>
      <c r="C128" s="92"/>
    </row>
    <row r="129" ht="14.25" customHeight="1">
      <c r="B129" s="92"/>
      <c r="C129" s="92"/>
    </row>
    <row r="130" ht="14.25" customHeight="1">
      <c r="B130" s="92"/>
      <c r="C130" s="92"/>
    </row>
    <row r="131" ht="14.25" customHeight="1">
      <c r="B131" s="92"/>
      <c r="C131" s="92"/>
    </row>
    <row r="132" ht="14.25" customHeight="1">
      <c r="B132" s="92"/>
      <c r="C132" s="92"/>
    </row>
    <row r="133" ht="14.25" customHeight="1">
      <c r="B133" s="92"/>
      <c r="C133" s="92"/>
    </row>
    <row r="134" ht="14.25" customHeight="1">
      <c r="B134" s="92"/>
      <c r="C134" s="92"/>
    </row>
    <row r="135" ht="14.25" customHeight="1">
      <c r="B135" s="92"/>
      <c r="C135" s="92"/>
    </row>
    <row r="136" ht="14.25" customHeight="1">
      <c r="B136" s="92"/>
      <c r="C136" s="92"/>
    </row>
    <row r="137" ht="14.25" customHeight="1">
      <c r="B137" s="92"/>
      <c r="C137" s="92"/>
    </row>
    <row r="138" ht="14.25" customHeight="1">
      <c r="B138" s="92"/>
      <c r="C138" s="92"/>
    </row>
    <row r="139" ht="14.25" customHeight="1">
      <c r="B139" s="92"/>
      <c r="C139" s="92"/>
    </row>
    <row r="140" ht="14.25" customHeight="1">
      <c r="B140" s="92"/>
      <c r="C140" s="92"/>
    </row>
    <row r="141" ht="14.25" customHeight="1">
      <c r="B141" s="92"/>
      <c r="C141" s="92"/>
    </row>
    <row r="142" ht="14.25" customHeight="1">
      <c r="B142" s="92"/>
      <c r="C142" s="92"/>
    </row>
    <row r="143" ht="14.25" customHeight="1">
      <c r="B143" s="92"/>
      <c r="C143" s="92"/>
    </row>
    <row r="144" ht="14.25" customHeight="1">
      <c r="B144" s="92"/>
      <c r="C144" s="92"/>
    </row>
    <row r="145" ht="14.25" customHeight="1">
      <c r="B145" s="92"/>
      <c r="C145" s="92"/>
    </row>
    <row r="146" ht="14.25" customHeight="1">
      <c r="B146" s="92"/>
      <c r="C146" s="92"/>
    </row>
    <row r="147" ht="14.25" customHeight="1">
      <c r="B147" s="92"/>
      <c r="C147" s="92"/>
    </row>
    <row r="148" ht="14.25" customHeight="1">
      <c r="B148" s="92"/>
      <c r="C148" s="92"/>
    </row>
    <row r="149" ht="14.25" customHeight="1">
      <c r="B149" s="92"/>
      <c r="C149" s="92"/>
    </row>
    <row r="150" ht="14.25" customHeight="1">
      <c r="B150" s="92"/>
      <c r="C150" s="92"/>
    </row>
    <row r="151" ht="14.25" customHeight="1">
      <c r="B151" s="92"/>
      <c r="C151" s="92"/>
    </row>
    <row r="152" ht="14.25" customHeight="1">
      <c r="B152" s="92"/>
      <c r="C152" s="92"/>
    </row>
    <row r="153" ht="14.25" customHeight="1">
      <c r="B153" s="92"/>
      <c r="C153" s="92"/>
    </row>
    <row r="154" ht="14.25" customHeight="1">
      <c r="B154" s="92"/>
      <c r="C154" s="92"/>
    </row>
    <row r="155" ht="14.25" customHeight="1">
      <c r="B155" s="92"/>
      <c r="C155" s="92"/>
    </row>
    <row r="156" ht="14.25" customHeight="1">
      <c r="B156" s="92"/>
      <c r="C156" s="92"/>
    </row>
    <row r="157" ht="14.25" customHeight="1">
      <c r="B157" s="92"/>
      <c r="C157" s="92"/>
    </row>
    <row r="158" ht="14.25" customHeight="1">
      <c r="B158" s="92"/>
      <c r="C158" s="92"/>
    </row>
    <row r="159" ht="14.25" customHeight="1">
      <c r="B159" s="92"/>
      <c r="C159" s="92"/>
    </row>
    <row r="160" ht="14.25" customHeight="1">
      <c r="B160" s="92"/>
      <c r="C160" s="92"/>
    </row>
    <row r="161" ht="14.25" customHeight="1">
      <c r="B161" s="92"/>
      <c r="C161" s="92"/>
    </row>
    <row r="162" ht="14.25" customHeight="1">
      <c r="B162" s="92"/>
      <c r="C162" s="92"/>
    </row>
    <row r="163" ht="14.25" customHeight="1">
      <c r="B163" s="92"/>
      <c r="C163" s="92"/>
    </row>
    <row r="164" ht="14.25" customHeight="1">
      <c r="B164" s="92"/>
      <c r="C164" s="92"/>
    </row>
    <row r="165" ht="14.25" customHeight="1">
      <c r="B165" s="92"/>
      <c r="C165" s="92"/>
    </row>
    <row r="166" ht="14.25" customHeight="1">
      <c r="B166" s="92"/>
      <c r="C166" s="92"/>
    </row>
    <row r="167" ht="14.25" customHeight="1">
      <c r="B167" s="92"/>
      <c r="C167" s="92"/>
    </row>
    <row r="168" ht="14.25" customHeight="1">
      <c r="B168" s="92"/>
      <c r="C168" s="92"/>
    </row>
    <row r="169" ht="14.25" customHeight="1">
      <c r="B169" s="92"/>
      <c r="C169" s="92"/>
    </row>
    <row r="170" ht="14.25" customHeight="1">
      <c r="B170" s="92"/>
      <c r="C170" s="92"/>
    </row>
    <row r="171" ht="14.25" customHeight="1">
      <c r="B171" s="92"/>
      <c r="C171" s="92"/>
    </row>
    <row r="172" ht="14.25" customHeight="1">
      <c r="B172" s="92"/>
      <c r="C172" s="92"/>
    </row>
    <row r="173" ht="14.25" customHeight="1">
      <c r="B173" s="92"/>
      <c r="C173" s="92"/>
    </row>
    <row r="174" ht="14.25" customHeight="1">
      <c r="B174" s="92"/>
      <c r="C174" s="92"/>
    </row>
    <row r="175" ht="14.25" customHeight="1">
      <c r="B175" s="92"/>
      <c r="C175" s="92"/>
    </row>
    <row r="176" ht="14.25" customHeight="1">
      <c r="B176" s="92"/>
      <c r="C176" s="92"/>
    </row>
    <row r="177" ht="14.25" customHeight="1">
      <c r="B177" s="92"/>
      <c r="C177" s="92"/>
    </row>
    <row r="178" ht="14.25" customHeight="1">
      <c r="B178" s="92"/>
      <c r="C178" s="92"/>
    </row>
    <row r="179" ht="14.25" customHeight="1">
      <c r="B179" s="92"/>
      <c r="C179" s="92"/>
    </row>
    <row r="180" ht="14.25" customHeight="1">
      <c r="B180" s="92"/>
      <c r="C180" s="92"/>
    </row>
    <row r="181" ht="14.25" customHeight="1">
      <c r="B181" s="92"/>
      <c r="C181" s="92"/>
    </row>
    <row r="182" ht="14.25" customHeight="1">
      <c r="B182" s="92"/>
      <c r="C182" s="92"/>
    </row>
    <row r="183" ht="14.25" customHeight="1">
      <c r="B183" s="92"/>
      <c r="C183" s="92"/>
    </row>
    <row r="184" ht="14.25" customHeight="1">
      <c r="B184" s="92"/>
      <c r="C184" s="92"/>
    </row>
    <row r="185" ht="14.25" customHeight="1">
      <c r="B185" s="92"/>
      <c r="C185" s="92"/>
    </row>
    <row r="186" ht="14.25" customHeight="1">
      <c r="B186" s="92"/>
      <c r="C186" s="92"/>
    </row>
    <row r="187" ht="14.25" customHeight="1">
      <c r="B187" s="92"/>
      <c r="C187" s="92"/>
    </row>
    <row r="188" ht="14.25" customHeight="1">
      <c r="B188" s="92"/>
      <c r="C188" s="92"/>
    </row>
    <row r="189" ht="14.25" customHeight="1">
      <c r="B189" s="92"/>
      <c r="C189" s="92"/>
    </row>
    <row r="190" ht="14.25" customHeight="1">
      <c r="B190" s="92"/>
      <c r="C190" s="92"/>
    </row>
    <row r="191" ht="14.25" customHeight="1">
      <c r="B191" s="92"/>
      <c r="C191" s="92"/>
    </row>
    <row r="192" ht="14.25" customHeight="1">
      <c r="B192" s="92"/>
      <c r="C192" s="92"/>
    </row>
    <row r="193" ht="14.25" customHeight="1">
      <c r="B193" s="92"/>
      <c r="C193" s="92"/>
    </row>
    <row r="194" ht="14.25" customHeight="1">
      <c r="B194" s="92"/>
      <c r="C194" s="92"/>
    </row>
    <row r="195" ht="14.25" customHeight="1">
      <c r="B195" s="92"/>
      <c r="C195" s="92"/>
    </row>
    <row r="196" ht="14.25" customHeight="1">
      <c r="B196" s="92"/>
      <c r="C196" s="92"/>
    </row>
    <row r="197" ht="14.25" customHeight="1">
      <c r="B197" s="92"/>
      <c r="C197" s="92"/>
    </row>
    <row r="198" ht="14.25" customHeight="1">
      <c r="B198" s="92"/>
      <c r="C198" s="92"/>
    </row>
    <row r="199" ht="14.25" customHeight="1">
      <c r="B199" s="92"/>
      <c r="C199" s="92"/>
    </row>
    <row r="200" ht="14.25" customHeight="1">
      <c r="B200" s="92"/>
      <c r="C200" s="92"/>
    </row>
    <row r="201" ht="14.25" customHeight="1">
      <c r="B201" s="92"/>
      <c r="C201" s="92"/>
    </row>
    <row r="202" ht="14.25" customHeight="1">
      <c r="B202" s="92"/>
      <c r="C202" s="92"/>
    </row>
    <row r="203" ht="14.25" customHeight="1">
      <c r="B203" s="92"/>
      <c r="C203" s="92"/>
    </row>
    <row r="204" ht="14.25" customHeight="1">
      <c r="B204" s="92"/>
      <c r="C204" s="92"/>
    </row>
    <row r="205" ht="14.25" customHeight="1">
      <c r="B205" s="92"/>
      <c r="C205" s="92"/>
    </row>
    <row r="206" ht="14.25" customHeight="1">
      <c r="B206" s="92"/>
      <c r="C206" s="92"/>
    </row>
    <row r="207" ht="14.25" customHeight="1">
      <c r="B207" s="92"/>
      <c r="C207" s="92"/>
    </row>
    <row r="208" ht="14.25" customHeight="1">
      <c r="B208" s="92"/>
      <c r="C208" s="92"/>
    </row>
    <row r="209" ht="14.25" customHeight="1">
      <c r="B209" s="92"/>
      <c r="C209" s="92"/>
    </row>
    <row r="210" ht="14.25" customHeight="1">
      <c r="B210" s="92"/>
      <c r="C210" s="92"/>
    </row>
    <row r="211" ht="14.25" customHeight="1">
      <c r="B211" s="92"/>
      <c r="C211" s="92"/>
    </row>
    <row r="212" ht="14.25" customHeight="1">
      <c r="B212" s="92"/>
      <c r="C212" s="92"/>
    </row>
    <row r="213" ht="14.25" customHeight="1">
      <c r="B213" s="92"/>
      <c r="C213" s="92"/>
    </row>
    <row r="214" ht="14.25" customHeight="1">
      <c r="B214" s="92"/>
      <c r="C214" s="92"/>
    </row>
    <row r="215" ht="14.25" customHeight="1">
      <c r="B215" s="92"/>
      <c r="C215" s="92"/>
    </row>
    <row r="216" ht="14.25" customHeight="1">
      <c r="B216" s="92"/>
      <c r="C216" s="92"/>
    </row>
    <row r="217" ht="14.25" customHeight="1">
      <c r="B217" s="92"/>
      <c r="C217" s="92"/>
    </row>
    <row r="218" ht="14.25" customHeight="1">
      <c r="B218" s="92"/>
      <c r="C218" s="92"/>
    </row>
    <row r="219" ht="14.25" customHeight="1">
      <c r="B219" s="92"/>
      <c r="C219" s="92"/>
    </row>
    <row r="220" ht="14.25" customHeight="1">
      <c r="B220" s="92"/>
      <c r="C220" s="92"/>
    </row>
    <row r="221" ht="14.25" customHeight="1">
      <c r="B221" s="92"/>
      <c r="C221" s="92"/>
    </row>
    <row r="222" ht="14.25" customHeight="1">
      <c r="B222" s="92"/>
      <c r="C222" s="92"/>
    </row>
    <row r="223" ht="14.25" customHeight="1">
      <c r="B223" s="92"/>
      <c r="C223" s="92"/>
    </row>
    <row r="224" ht="14.25" customHeight="1">
      <c r="B224" s="92"/>
      <c r="C224" s="92"/>
    </row>
    <row r="225" ht="14.25" customHeight="1">
      <c r="B225" s="92"/>
      <c r="C225" s="92"/>
    </row>
    <row r="226" ht="14.25" customHeight="1">
      <c r="B226" s="92"/>
      <c r="C226" s="92"/>
    </row>
    <row r="227" ht="14.25" customHeight="1">
      <c r="B227" s="92"/>
      <c r="C227" s="92"/>
    </row>
    <row r="228" ht="14.25" customHeight="1">
      <c r="B228" s="92"/>
      <c r="C228" s="92"/>
    </row>
    <row r="229" ht="14.25" customHeight="1">
      <c r="B229" s="92"/>
      <c r="C229" s="92"/>
    </row>
    <row r="230" ht="14.25" customHeight="1">
      <c r="B230" s="92"/>
      <c r="C230" s="92"/>
    </row>
    <row r="231" ht="14.25" customHeight="1">
      <c r="B231" s="92"/>
      <c r="C231" s="92"/>
    </row>
    <row r="232" ht="14.25" customHeight="1">
      <c r="B232" s="92"/>
      <c r="C232" s="92"/>
    </row>
    <row r="233" ht="14.25" customHeight="1">
      <c r="B233" s="92"/>
      <c r="C233" s="92"/>
    </row>
    <row r="234" ht="14.25" customHeight="1">
      <c r="B234" s="92"/>
      <c r="C234" s="92"/>
    </row>
    <row r="235" ht="14.25" customHeight="1">
      <c r="B235" s="92"/>
      <c r="C235" s="92"/>
    </row>
    <row r="236" ht="14.25" customHeight="1">
      <c r="B236" s="92"/>
      <c r="C236" s="92"/>
    </row>
    <row r="237" ht="14.25" customHeight="1">
      <c r="B237" s="92"/>
      <c r="C237" s="92"/>
    </row>
    <row r="238" ht="14.25" customHeight="1">
      <c r="B238" s="92"/>
      <c r="C238" s="92"/>
    </row>
    <row r="239" ht="14.25" customHeight="1">
      <c r="B239" s="92"/>
      <c r="C239" s="92"/>
    </row>
    <row r="240" ht="14.25" customHeight="1">
      <c r="B240" s="92"/>
      <c r="C240" s="92"/>
    </row>
    <row r="241" ht="14.25" customHeight="1">
      <c r="B241" s="92"/>
      <c r="C241" s="92"/>
    </row>
    <row r="242" ht="14.25" customHeight="1">
      <c r="B242" s="92"/>
      <c r="C242" s="92"/>
    </row>
    <row r="243" ht="14.25" customHeight="1">
      <c r="B243" s="92"/>
      <c r="C243" s="92"/>
    </row>
    <row r="244" ht="14.25" customHeight="1">
      <c r="B244" s="92"/>
      <c r="C244" s="92"/>
    </row>
    <row r="245" ht="14.25" customHeight="1">
      <c r="B245" s="92"/>
      <c r="C245" s="92"/>
    </row>
    <row r="246" ht="14.25" customHeight="1">
      <c r="B246" s="92"/>
      <c r="C246" s="92"/>
    </row>
    <row r="247" ht="14.25" customHeight="1">
      <c r="B247" s="92"/>
      <c r="C247" s="92"/>
    </row>
    <row r="248" ht="14.25" customHeight="1">
      <c r="B248" s="92"/>
      <c r="C248" s="92"/>
    </row>
    <row r="249" ht="14.25" customHeight="1">
      <c r="B249" s="92"/>
      <c r="C249" s="92"/>
    </row>
    <row r="250" ht="14.25" customHeight="1">
      <c r="B250" s="92"/>
      <c r="C250" s="92"/>
    </row>
    <row r="251" ht="14.25" customHeight="1">
      <c r="B251" s="92"/>
      <c r="C251" s="92"/>
    </row>
    <row r="252" ht="14.25" customHeight="1">
      <c r="B252" s="92"/>
      <c r="C252" s="92"/>
    </row>
    <row r="253" ht="14.25" customHeight="1">
      <c r="B253" s="92"/>
      <c r="C253" s="92"/>
    </row>
    <row r="254" ht="14.25" customHeight="1">
      <c r="B254" s="92"/>
      <c r="C254" s="92"/>
    </row>
    <row r="255" ht="14.25" customHeight="1">
      <c r="B255" s="92"/>
      <c r="C255" s="92"/>
    </row>
    <row r="256" ht="14.25" customHeight="1">
      <c r="B256" s="92"/>
      <c r="C256" s="92"/>
    </row>
    <row r="257" ht="14.25" customHeight="1">
      <c r="B257" s="92"/>
      <c r="C257" s="92"/>
    </row>
    <row r="258" ht="14.25" customHeight="1">
      <c r="B258" s="92"/>
      <c r="C258" s="92"/>
    </row>
    <row r="259" ht="14.25" customHeight="1">
      <c r="B259" s="92"/>
      <c r="C259" s="92"/>
    </row>
    <row r="260" ht="14.25" customHeight="1">
      <c r="B260" s="92"/>
      <c r="C260" s="92"/>
    </row>
    <row r="261" ht="14.25" customHeight="1">
      <c r="B261" s="92"/>
      <c r="C261" s="92"/>
    </row>
    <row r="262" ht="14.25" customHeight="1">
      <c r="B262" s="92"/>
      <c r="C262" s="92"/>
    </row>
    <row r="263" ht="14.25" customHeight="1">
      <c r="B263" s="92"/>
      <c r="C263" s="92"/>
    </row>
    <row r="264" ht="14.25" customHeight="1">
      <c r="B264" s="92"/>
      <c r="C264" s="92"/>
    </row>
    <row r="265" ht="14.25" customHeight="1">
      <c r="B265" s="92"/>
      <c r="C265" s="92"/>
    </row>
    <row r="266" ht="14.25" customHeight="1">
      <c r="B266" s="92"/>
      <c r="C266" s="92"/>
    </row>
    <row r="267" ht="14.25" customHeight="1">
      <c r="B267" s="92"/>
      <c r="C267" s="92"/>
    </row>
    <row r="268" ht="14.25" customHeight="1">
      <c r="B268" s="92"/>
      <c r="C268" s="92"/>
    </row>
    <row r="269" ht="14.25" customHeight="1">
      <c r="B269" s="92"/>
      <c r="C269" s="92"/>
    </row>
    <row r="270" ht="14.25" customHeight="1">
      <c r="B270" s="92"/>
      <c r="C270" s="92"/>
    </row>
    <row r="271" ht="14.25" customHeight="1">
      <c r="B271" s="92"/>
      <c r="C271" s="92"/>
    </row>
    <row r="272" ht="14.25" customHeight="1">
      <c r="B272" s="92"/>
      <c r="C272" s="92"/>
    </row>
    <row r="273" ht="14.25" customHeight="1">
      <c r="B273" s="92"/>
      <c r="C273" s="92"/>
    </row>
    <row r="274" ht="14.25" customHeight="1">
      <c r="B274" s="92"/>
      <c r="C274" s="92"/>
    </row>
    <row r="275" ht="14.25" customHeight="1">
      <c r="B275" s="92"/>
      <c r="C275" s="92"/>
    </row>
    <row r="276" ht="14.25" customHeight="1">
      <c r="B276" s="92"/>
      <c r="C276" s="92"/>
    </row>
    <row r="277" ht="14.25" customHeight="1">
      <c r="B277" s="92"/>
      <c r="C277" s="92"/>
    </row>
    <row r="278" ht="14.25" customHeight="1">
      <c r="B278" s="92"/>
      <c r="C278" s="92"/>
    </row>
    <row r="279" ht="14.25" customHeight="1">
      <c r="B279" s="92"/>
      <c r="C279" s="92"/>
    </row>
    <row r="280" ht="14.25" customHeight="1">
      <c r="B280" s="92"/>
      <c r="C280" s="92"/>
    </row>
    <row r="281" ht="14.25" customHeight="1">
      <c r="B281" s="92"/>
      <c r="C281" s="92"/>
    </row>
    <row r="282" ht="14.25" customHeight="1">
      <c r="B282" s="92"/>
      <c r="C282" s="92"/>
    </row>
    <row r="283" ht="14.25" customHeight="1">
      <c r="B283" s="92"/>
      <c r="C283" s="92"/>
    </row>
    <row r="284" ht="14.25" customHeight="1">
      <c r="B284" s="92"/>
      <c r="C284" s="92"/>
    </row>
    <row r="285" ht="14.25" customHeight="1">
      <c r="B285" s="92"/>
      <c r="C285" s="92"/>
    </row>
    <row r="286" ht="14.25" customHeight="1">
      <c r="B286" s="92"/>
      <c r="C286" s="92"/>
    </row>
    <row r="287" ht="14.25" customHeight="1">
      <c r="B287" s="92"/>
      <c r="C287" s="92"/>
    </row>
    <row r="288" ht="14.25" customHeight="1">
      <c r="B288" s="92"/>
      <c r="C288" s="92"/>
    </row>
    <row r="289" ht="14.25" customHeight="1">
      <c r="B289" s="92"/>
      <c r="C289" s="92"/>
    </row>
    <row r="290" ht="14.25" customHeight="1">
      <c r="B290" s="92"/>
      <c r="C290" s="92"/>
    </row>
    <row r="291" ht="14.25" customHeight="1">
      <c r="B291" s="92"/>
      <c r="C291" s="92"/>
    </row>
    <row r="292" ht="14.25" customHeight="1">
      <c r="B292" s="92"/>
      <c r="C292" s="92"/>
    </row>
    <row r="293" ht="14.25" customHeight="1">
      <c r="B293" s="92"/>
      <c r="C293" s="92"/>
    </row>
    <row r="294" ht="14.25" customHeight="1">
      <c r="B294" s="92"/>
      <c r="C294" s="92"/>
    </row>
    <row r="295" ht="14.25" customHeight="1">
      <c r="B295" s="92"/>
      <c r="C295" s="92"/>
    </row>
    <row r="296" ht="14.25" customHeight="1">
      <c r="B296" s="92"/>
      <c r="C296" s="92"/>
    </row>
    <row r="297" ht="14.25" customHeight="1">
      <c r="B297" s="92"/>
      <c r="C297" s="92"/>
    </row>
    <row r="298" ht="14.25" customHeight="1">
      <c r="B298" s="92"/>
      <c r="C298" s="92"/>
    </row>
    <row r="299" ht="14.25" customHeight="1">
      <c r="B299" s="92"/>
      <c r="C299" s="92"/>
    </row>
    <row r="300" ht="14.25" customHeight="1">
      <c r="B300" s="92"/>
      <c r="C300" s="92"/>
    </row>
    <row r="301" ht="14.25" customHeight="1">
      <c r="B301" s="92"/>
      <c r="C301" s="92"/>
    </row>
    <row r="302" ht="14.25" customHeight="1">
      <c r="B302" s="92"/>
      <c r="C302" s="92"/>
    </row>
    <row r="303" ht="14.25" customHeight="1">
      <c r="B303" s="92"/>
      <c r="C303" s="92"/>
    </row>
    <row r="304" ht="14.25" customHeight="1">
      <c r="B304" s="92"/>
      <c r="C304" s="92"/>
    </row>
    <row r="305" ht="14.25" customHeight="1">
      <c r="B305" s="92"/>
      <c r="C305" s="92"/>
    </row>
    <row r="306" ht="14.25" customHeight="1">
      <c r="B306" s="92"/>
      <c r="C306" s="92"/>
    </row>
    <row r="307" ht="14.25" customHeight="1">
      <c r="B307" s="92"/>
      <c r="C307" s="92"/>
    </row>
    <row r="308" ht="14.25" customHeight="1">
      <c r="B308" s="92"/>
      <c r="C308" s="92"/>
    </row>
    <row r="309" ht="14.25" customHeight="1">
      <c r="B309" s="92"/>
      <c r="C309" s="92"/>
    </row>
    <row r="310" ht="14.25" customHeight="1">
      <c r="B310" s="92"/>
      <c r="C310" s="92"/>
    </row>
    <row r="311" ht="14.25" customHeight="1">
      <c r="B311" s="92"/>
      <c r="C311" s="92"/>
    </row>
    <row r="312" ht="14.25" customHeight="1">
      <c r="B312" s="92"/>
      <c r="C312" s="92"/>
    </row>
    <row r="313" ht="14.25" customHeight="1">
      <c r="B313" s="92"/>
      <c r="C313" s="92"/>
    </row>
    <row r="314" ht="14.25" customHeight="1">
      <c r="B314" s="92"/>
      <c r="C314" s="92"/>
    </row>
    <row r="315" ht="14.25" customHeight="1">
      <c r="B315" s="92"/>
      <c r="C315" s="92"/>
    </row>
    <row r="316" ht="14.25" customHeight="1">
      <c r="B316" s="92"/>
      <c r="C316" s="92"/>
    </row>
    <row r="317" ht="14.25" customHeight="1">
      <c r="B317" s="92"/>
      <c r="C317" s="92"/>
    </row>
    <row r="318" ht="14.25" customHeight="1">
      <c r="B318" s="92"/>
      <c r="C318" s="92"/>
    </row>
    <row r="319" ht="14.25" customHeight="1">
      <c r="B319" s="92"/>
      <c r="C319" s="92"/>
    </row>
    <row r="320" ht="14.25" customHeight="1">
      <c r="B320" s="92"/>
      <c r="C320" s="92"/>
    </row>
    <row r="321" ht="14.25" customHeight="1">
      <c r="B321" s="92"/>
      <c r="C321" s="92"/>
    </row>
    <row r="322" ht="14.25" customHeight="1">
      <c r="B322" s="92"/>
      <c r="C322" s="92"/>
    </row>
    <row r="323" ht="14.25" customHeight="1">
      <c r="B323" s="92"/>
      <c r="C323" s="92"/>
    </row>
    <row r="324" ht="14.25" customHeight="1">
      <c r="B324" s="92"/>
      <c r="C324" s="92"/>
    </row>
    <row r="325" ht="14.25" customHeight="1">
      <c r="B325" s="92"/>
      <c r="C325" s="92"/>
    </row>
    <row r="326" ht="14.25" customHeight="1">
      <c r="B326" s="92"/>
      <c r="C326" s="92"/>
    </row>
    <row r="327" ht="14.25" customHeight="1">
      <c r="B327" s="92"/>
      <c r="C327" s="92"/>
    </row>
    <row r="328" ht="14.25" customHeight="1">
      <c r="B328" s="92"/>
      <c r="C328" s="92"/>
    </row>
    <row r="329" ht="14.25" customHeight="1">
      <c r="B329" s="92"/>
      <c r="C329" s="92"/>
    </row>
    <row r="330" ht="14.25" customHeight="1">
      <c r="B330" s="92"/>
      <c r="C330" s="92"/>
    </row>
    <row r="331" ht="14.25" customHeight="1">
      <c r="B331" s="92"/>
      <c r="C331" s="92"/>
    </row>
    <row r="332" ht="14.25" customHeight="1">
      <c r="B332" s="92"/>
      <c r="C332" s="92"/>
    </row>
    <row r="333" ht="14.25" customHeight="1">
      <c r="B333" s="92"/>
      <c r="C333" s="92"/>
    </row>
    <row r="334" ht="14.25" customHeight="1">
      <c r="B334" s="92"/>
      <c r="C334" s="92"/>
    </row>
    <row r="335" ht="14.25" customHeight="1">
      <c r="B335" s="92"/>
      <c r="C335" s="92"/>
    </row>
    <row r="336" ht="14.25" customHeight="1">
      <c r="B336" s="92"/>
      <c r="C336" s="92"/>
    </row>
    <row r="337" ht="14.25" customHeight="1">
      <c r="B337" s="92"/>
      <c r="C337" s="92"/>
    </row>
    <row r="338" ht="14.25" customHeight="1">
      <c r="B338" s="92"/>
      <c r="C338" s="92"/>
    </row>
    <row r="339" ht="14.25" customHeight="1">
      <c r="B339" s="92"/>
      <c r="C339" s="92"/>
    </row>
    <row r="340" ht="14.25" customHeight="1">
      <c r="B340" s="92"/>
      <c r="C340" s="92"/>
    </row>
    <row r="341" ht="14.25" customHeight="1">
      <c r="B341" s="92"/>
      <c r="C341" s="92"/>
    </row>
    <row r="342" ht="14.25" customHeight="1">
      <c r="B342" s="92"/>
      <c r="C342" s="92"/>
    </row>
    <row r="343" ht="14.25" customHeight="1">
      <c r="B343" s="92"/>
      <c r="C343" s="92"/>
    </row>
    <row r="344" ht="14.25" customHeight="1">
      <c r="B344" s="92"/>
      <c r="C344" s="92"/>
    </row>
    <row r="345" ht="14.25" customHeight="1">
      <c r="B345" s="92"/>
      <c r="C345" s="92"/>
    </row>
    <row r="346" ht="14.25" customHeight="1">
      <c r="B346" s="92"/>
      <c r="C346" s="92"/>
    </row>
    <row r="347" ht="14.25" customHeight="1">
      <c r="B347" s="92"/>
      <c r="C347" s="92"/>
    </row>
    <row r="348" ht="14.25" customHeight="1">
      <c r="B348" s="92"/>
      <c r="C348" s="92"/>
    </row>
    <row r="349" ht="14.25" customHeight="1">
      <c r="B349" s="92"/>
      <c r="C349" s="92"/>
    </row>
    <row r="350" ht="14.25" customHeight="1">
      <c r="B350" s="92"/>
      <c r="C350" s="92"/>
    </row>
    <row r="351" ht="14.25" customHeight="1">
      <c r="B351" s="92"/>
      <c r="C351" s="92"/>
    </row>
    <row r="352" ht="14.25" customHeight="1">
      <c r="B352" s="92"/>
      <c r="C352" s="92"/>
    </row>
    <row r="353" ht="14.25" customHeight="1">
      <c r="B353" s="92"/>
      <c r="C353" s="92"/>
    </row>
    <row r="354" ht="14.25" customHeight="1">
      <c r="B354" s="92"/>
      <c r="C354" s="92"/>
    </row>
    <row r="355" ht="14.25" customHeight="1">
      <c r="B355" s="92"/>
      <c r="C355" s="92"/>
    </row>
    <row r="356" ht="14.25" customHeight="1">
      <c r="B356" s="92"/>
      <c r="C356" s="92"/>
    </row>
    <row r="357" ht="14.25" customHeight="1">
      <c r="B357" s="92"/>
      <c r="C357" s="92"/>
    </row>
    <row r="358" ht="14.25" customHeight="1">
      <c r="B358" s="92"/>
      <c r="C358" s="92"/>
    </row>
    <row r="359" ht="14.25" customHeight="1">
      <c r="B359" s="92"/>
      <c r="C359" s="92"/>
    </row>
    <row r="360" ht="14.25" customHeight="1">
      <c r="B360" s="92"/>
      <c r="C360" s="92"/>
    </row>
    <row r="361" ht="14.25" customHeight="1">
      <c r="B361" s="92"/>
      <c r="C361" s="92"/>
    </row>
    <row r="362" ht="14.25" customHeight="1">
      <c r="B362" s="92"/>
      <c r="C362" s="92"/>
    </row>
    <row r="363" ht="14.25" customHeight="1">
      <c r="B363" s="92"/>
      <c r="C363" s="92"/>
    </row>
    <row r="364" ht="14.25" customHeight="1">
      <c r="B364" s="92"/>
      <c r="C364" s="92"/>
    </row>
    <row r="365" ht="14.25" customHeight="1">
      <c r="B365" s="92"/>
      <c r="C365" s="92"/>
    </row>
    <row r="366" ht="14.25" customHeight="1">
      <c r="B366" s="92"/>
      <c r="C366" s="92"/>
    </row>
    <row r="367" ht="14.25" customHeight="1">
      <c r="B367" s="92"/>
      <c r="C367" s="92"/>
    </row>
    <row r="368" ht="14.25" customHeight="1">
      <c r="B368" s="92"/>
      <c r="C368" s="92"/>
    </row>
    <row r="369" ht="14.25" customHeight="1">
      <c r="B369" s="92"/>
      <c r="C369" s="92"/>
    </row>
    <row r="370" ht="14.25" customHeight="1">
      <c r="B370" s="92"/>
      <c r="C370" s="92"/>
    </row>
    <row r="371" ht="14.25" customHeight="1">
      <c r="B371" s="92"/>
      <c r="C371" s="92"/>
    </row>
    <row r="372" ht="14.25" customHeight="1">
      <c r="B372" s="92"/>
      <c r="C372" s="92"/>
    </row>
    <row r="373" ht="14.25" customHeight="1">
      <c r="B373" s="92"/>
      <c r="C373" s="92"/>
    </row>
    <row r="374" ht="14.25" customHeight="1">
      <c r="B374" s="92"/>
      <c r="C374" s="92"/>
    </row>
    <row r="375" ht="14.25" customHeight="1">
      <c r="B375" s="92"/>
      <c r="C375" s="92"/>
    </row>
    <row r="376" ht="14.25" customHeight="1">
      <c r="B376" s="92"/>
      <c r="C376" s="92"/>
    </row>
    <row r="377" ht="14.25" customHeight="1">
      <c r="B377" s="92"/>
      <c r="C377" s="92"/>
    </row>
    <row r="378" ht="14.25" customHeight="1">
      <c r="B378" s="92"/>
      <c r="C378" s="92"/>
    </row>
    <row r="379" ht="14.25" customHeight="1">
      <c r="B379" s="92"/>
      <c r="C379" s="92"/>
    </row>
    <row r="380" ht="14.25" customHeight="1">
      <c r="B380" s="92"/>
      <c r="C380" s="92"/>
    </row>
    <row r="381" ht="14.25" customHeight="1">
      <c r="B381" s="92"/>
      <c r="C381" s="92"/>
    </row>
    <row r="382" ht="14.25" customHeight="1">
      <c r="B382" s="92"/>
      <c r="C382" s="92"/>
    </row>
    <row r="383" ht="14.25" customHeight="1">
      <c r="B383" s="92"/>
      <c r="C383" s="92"/>
    </row>
    <row r="384" ht="14.25" customHeight="1">
      <c r="B384" s="92"/>
      <c r="C384" s="92"/>
    </row>
    <row r="385" ht="14.25" customHeight="1">
      <c r="B385" s="92"/>
      <c r="C385" s="92"/>
    </row>
    <row r="386" ht="14.25" customHeight="1">
      <c r="B386" s="92"/>
      <c r="C386" s="92"/>
    </row>
    <row r="387" ht="14.25" customHeight="1">
      <c r="B387" s="92"/>
      <c r="C387" s="92"/>
    </row>
    <row r="388" ht="14.25" customHeight="1">
      <c r="B388" s="92"/>
      <c r="C388" s="92"/>
    </row>
    <row r="389" ht="14.25" customHeight="1">
      <c r="B389" s="92"/>
      <c r="C389" s="92"/>
    </row>
    <row r="390" ht="14.25" customHeight="1">
      <c r="B390" s="92"/>
      <c r="C390" s="92"/>
    </row>
    <row r="391" ht="14.25" customHeight="1">
      <c r="B391" s="92"/>
      <c r="C391" s="92"/>
    </row>
    <row r="392" ht="14.25" customHeight="1">
      <c r="B392" s="92"/>
      <c r="C392" s="92"/>
    </row>
    <row r="393" ht="14.25" customHeight="1">
      <c r="B393" s="92"/>
      <c r="C393" s="92"/>
    </row>
    <row r="394" ht="14.25" customHeight="1">
      <c r="B394" s="92"/>
      <c r="C394" s="92"/>
    </row>
    <row r="395" ht="14.25" customHeight="1">
      <c r="B395" s="92"/>
      <c r="C395" s="92"/>
    </row>
    <row r="396" ht="14.25" customHeight="1">
      <c r="B396" s="92"/>
      <c r="C396" s="92"/>
    </row>
    <row r="397" ht="14.25" customHeight="1">
      <c r="B397" s="92"/>
      <c r="C397" s="92"/>
    </row>
    <row r="398" ht="14.25" customHeight="1">
      <c r="B398" s="92"/>
      <c r="C398" s="92"/>
    </row>
    <row r="399" ht="14.25" customHeight="1">
      <c r="B399" s="92"/>
      <c r="C399" s="92"/>
    </row>
    <row r="400" ht="14.25" customHeight="1">
      <c r="B400" s="92"/>
      <c r="C400" s="92"/>
    </row>
    <row r="401" ht="14.25" customHeight="1">
      <c r="B401" s="92"/>
      <c r="C401" s="92"/>
    </row>
    <row r="402" ht="14.25" customHeight="1">
      <c r="B402" s="92"/>
      <c r="C402" s="92"/>
    </row>
    <row r="403" ht="14.25" customHeight="1">
      <c r="B403" s="92"/>
      <c r="C403" s="92"/>
    </row>
    <row r="404" ht="14.25" customHeight="1">
      <c r="B404" s="92"/>
      <c r="C404" s="92"/>
    </row>
    <row r="405" ht="14.25" customHeight="1">
      <c r="B405" s="92"/>
      <c r="C405" s="92"/>
    </row>
    <row r="406" ht="14.25" customHeight="1">
      <c r="B406" s="92"/>
      <c r="C406" s="92"/>
    </row>
    <row r="407" ht="14.25" customHeight="1">
      <c r="B407" s="92"/>
      <c r="C407" s="92"/>
    </row>
    <row r="408" ht="14.25" customHeight="1">
      <c r="B408" s="92"/>
      <c r="C408" s="92"/>
    </row>
    <row r="409" ht="14.25" customHeight="1">
      <c r="B409" s="92"/>
      <c r="C409" s="92"/>
    </row>
    <row r="410" ht="14.25" customHeight="1">
      <c r="B410" s="92"/>
      <c r="C410" s="92"/>
    </row>
    <row r="411" ht="14.25" customHeight="1">
      <c r="B411" s="92"/>
      <c r="C411" s="92"/>
    </row>
    <row r="412" ht="14.25" customHeight="1">
      <c r="B412" s="92"/>
      <c r="C412" s="92"/>
    </row>
    <row r="413" ht="14.25" customHeight="1">
      <c r="B413" s="92"/>
      <c r="C413" s="92"/>
    </row>
    <row r="414" ht="14.25" customHeight="1">
      <c r="B414" s="92"/>
      <c r="C414" s="92"/>
    </row>
    <row r="415" ht="14.25" customHeight="1">
      <c r="B415" s="92"/>
      <c r="C415" s="92"/>
    </row>
    <row r="416" ht="14.25" customHeight="1">
      <c r="B416" s="92"/>
      <c r="C416" s="92"/>
    </row>
    <row r="417" ht="14.25" customHeight="1">
      <c r="B417" s="92"/>
      <c r="C417" s="92"/>
    </row>
    <row r="418" ht="14.25" customHeight="1">
      <c r="B418" s="92"/>
      <c r="C418" s="92"/>
    </row>
    <row r="419" ht="14.25" customHeight="1">
      <c r="B419" s="92"/>
      <c r="C419" s="92"/>
    </row>
    <row r="420" ht="14.25" customHeight="1">
      <c r="B420" s="92"/>
      <c r="C420" s="92"/>
    </row>
    <row r="421" ht="14.25" customHeight="1">
      <c r="B421" s="92"/>
      <c r="C421" s="92"/>
    </row>
    <row r="422" ht="14.25" customHeight="1">
      <c r="B422" s="92"/>
      <c r="C422" s="92"/>
    </row>
    <row r="423" ht="14.25" customHeight="1">
      <c r="B423" s="92"/>
      <c r="C423" s="92"/>
    </row>
    <row r="424" ht="14.25" customHeight="1">
      <c r="B424" s="92"/>
      <c r="C424" s="92"/>
    </row>
    <row r="425" ht="14.25" customHeight="1">
      <c r="B425" s="92"/>
      <c r="C425" s="92"/>
    </row>
    <row r="426" ht="14.25" customHeight="1">
      <c r="B426" s="92"/>
      <c r="C426" s="92"/>
    </row>
    <row r="427" ht="14.25" customHeight="1">
      <c r="B427" s="92"/>
      <c r="C427" s="92"/>
    </row>
    <row r="428" ht="14.25" customHeight="1">
      <c r="B428" s="92"/>
      <c r="C428" s="92"/>
    </row>
    <row r="429" ht="14.25" customHeight="1">
      <c r="B429" s="92"/>
      <c r="C429" s="92"/>
    </row>
    <row r="430" ht="14.25" customHeight="1">
      <c r="B430" s="92"/>
      <c r="C430" s="92"/>
    </row>
    <row r="431" ht="14.25" customHeight="1">
      <c r="B431" s="92"/>
      <c r="C431" s="92"/>
    </row>
    <row r="432" ht="14.25" customHeight="1">
      <c r="B432" s="92"/>
      <c r="C432" s="92"/>
    </row>
    <row r="433" ht="14.25" customHeight="1">
      <c r="B433" s="92"/>
      <c r="C433" s="92"/>
    </row>
    <row r="434" ht="14.25" customHeight="1">
      <c r="B434" s="92"/>
      <c r="C434" s="92"/>
    </row>
    <row r="435" ht="14.25" customHeight="1">
      <c r="B435" s="92"/>
      <c r="C435" s="92"/>
    </row>
    <row r="436" ht="14.25" customHeight="1">
      <c r="B436" s="92"/>
      <c r="C436" s="92"/>
    </row>
    <row r="437" ht="14.25" customHeight="1">
      <c r="B437" s="92"/>
      <c r="C437" s="92"/>
    </row>
    <row r="438" ht="14.25" customHeight="1">
      <c r="B438" s="92"/>
      <c r="C438" s="92"/>
    </row>
    <row r="439" ht="14.25" customHeight="1">
      <c r="B439" s="92"/>
      <c r="C439" s="92"/>
    </row>
    <row r="440" ht="14.25" customHeight="1">
      <c r="B440" s="92"/>
      <c r="C440" s="92"/>
    </row>
    <row r="441" ht="14.25" customHeight="1">
      <c r="B441" s="92"/>
      <c r="C441" s="92"/>
    </row>
    <row r="442" ht="14.25" customHeight="1">
      <c r="B442" s="92"/>
      <c r="C442" s="92"/>
    </row>
    <row r="443" ht="14.25" customHeight="1">
      <c r="B443" s="92"/>
      <c r="C443" s="92"/>
    </row>
    <row r="444" ht="14.25" customHeight="1">
      <c r="B444" s="92"/>
      <c r="C444" s="92"/>
    </row>
    <row r="445" ht="14.25" customHeight="1">
      <c r="B445" s="92"/>
      <c r="C445" s="92"/>
    </row>
    <row r="446" ht="14.25" customHeight="1">
      <c r="B446" s="92"/>
      <c r="C446" s="92"/>
    </row>
    <row r="447" ht="14.25" customHeight="1">
      <c r="B447" s="92"/>
      <c r="C447" s="92"/>
    </row>
    <row r="448" ht="14.25" customHeight="1">
      <c r="B448" s="92"/>
      <c r="C448" s="92"/>
    </row>
    <row r="449" ht="14.25" customHeight="1">
      <c r="B449" s="92"/>
      <c r="C449" s="92"/>
    </row>
    <row r="450" ht="14.25" customHeight="1">
      <c r="B450" s="92"/>
      <c r="C450" s="92"/>
    </row>
    <row r="451" ht="14.25" customHeight="1">
      <c r="B451" s="92"/>
      <c r="C451" s="92"/>
    </row>
    <row r="452" ht="14.25" customHeight="1">
      <c r="B452" s="92"/>
      <c r="C452" s="92"/>
    </row>
    <row r="453" ht="14.25" customHeight="1">
      <c r="B453" s="92"/>
      <c r="C453" s="92"/>
    </row>
    <row r="454" ht="14.25" customHeight="1">
      <c r="B454" s="92"/>
      <c r="C454" s="92"/>
    </row>
    <row r="455" ht="14.25" customHeight="1">
      <c r="B455" s="92"/>
      <c r="C455" s="92"/>
    </row>
    <row r="456" ht="14.25" customHeight="1">
      <c r="B456" s="92"/>
      <c r="C456" s="92"/>
    </row>
    <row r="457" ht="14.25" customHeight="1">
      <c r="B457" s="92"/>
      <c r="C457" s="92"/>
    </row>
    <row r="458" ht="14.25" customHeight="1">
      <c r="B458" s="92"/>
      <c r="C458" s="92"/>
    </row>
    <row r="459" ht="14.25" customHeight="1">
      <c r="B459" s="92"/>
      <c r="C459" s="92"/>
    </row>
    <row r="460" ht="14.25" customHeight="1">
      <c r="B460" s="92"/>
      <c r="C460" s="92"/>
    </row>
    <row r="461" ht="14.25" customHeight="1">
      <c r="B461" s="92"/>
      <c r="C461" s="92"/>
    </row>
    <row r="462" ht="14.25" customHeight="1">
      <c r="B462" s="92"/>
      <c r="C462" s="92"/>
    </row>
    <row r="463" ht="14.25" customHeight="1">
      <c r="B463" s="92"/>
      <c r="C463" s="92"/>
    </row>
    <row r="464" ht="14.25" customHeight="1">
      <c r="B464" s="92"/>
      <c r="C464" s="92"/>
    </row>
    <row r="465" ht="14.25" customHeight="1">
      <c r="B465" s="92"/>
      <c r="C465" s="92"/>
    </row>
    <row r="466" ht="14.25" customHeight="1">
      <c r="B466" s="92"/>
      <c r="C466" s="92"/>
    </row>
    <row r="467" ht="14.25" customHeight="1">
      <c r="B467" s="92"/>
      <c r="C467" s="92"/>
    </row>
    <row r="468" ht="14.25" customHeight="1">
      <c r="B468" s="92"/>
      <c r="C468" s="92"/>
    </row>
    <row r="469" ht="14.25" customHeight="1">
      <c r="B469" s="92"/>
      <c r="C469" s="92"/>
    </row>
    <row r="470" ht="14.25" customHeight="1">
      <c r="B470" s="92"/>
      <c r="C470" s="92"/>
    </row>
    <row r="471" ht="14.25" customHeight="1">
      <c r="B471" s="92"/>
      <c r="C471" s="92"/>
    </row>
    <row r="472" ht="14.25" customHeight="1">
      <c r="B472" s="92"/>
      <c r="C472" s="92"/>
    </row>
    <row r="473" ht="14.25" customHeight="1">
      <c r="B473" s="92"/>
      <c r="C473" s="92"/>
    </row>
    <row r="474" ht="14.25" customHeight="1">
      <c r="B474" s="92"/>
      <c r="C474" s="92"/>
    </row>
    <row r="475" ht="14.25" customHeight="1">
      <c r="B475" s="92"/>
      <c r="C475" s="92"/>
    </row>
    <row r="476" ht="14.25" customHeight="1">
      <c r="B476" s="92"/>
      <c r="C476" s="92"/>
    </row>
    <row r="477" ht="14.25" customHeight="1">
      <c r="B477" s="92"/>
      <c r="C477" s="92"/>
    </row>
    <row r="478" ht="14.25" customHeight="1">
      <c r="B478" s="92"/>
      <c r="C478" s="92"/>
    </row>
    <row r="479" ht="14.25" customHeight="1">
      <c r="B479" s="92"/>
      <c r="C479" s="92"/>
    </row>
    <row r="480" ht="14.25" customHeight="1">
      <c r="B480" s="92"/>
      <c r="C480" s="92"/>
    </row>
    <row r="481" ht="14.25" customHeight="1">
      <c r="B481" s="92"/>
      <c r="C481" s="92"/>
    </row>
    <row r="482" ht="14.25" customHeight="1">
      <c r="B482" s="92"/>
      <c r="C482" s="92"/>
    </row>
    <row r="483" ht="14.25" customHeight="1">
      <c r="B483" s="92"/>
      <c r="C483" s="92"/>
    </row>
    <row r="484" ht="14.25" customHeight="1">
      <c r="B484" s="92"/>
      <c r="C484" s="92"/>
    </row>
    <row r="485" ht="14.25" customHeight="1">
      <c r="B485" s="92"/>
      <c r="C485" s="92"/>
    </row>
    <row r="486" ht="14.25" customHeight="1">
      <c r="B486" s="92"/>
      <c r="C486" s="92"/>
    </row>
    <row r="487" ht="14.25" customHeight="1">
      <c r="B487" s="92"/>
      <c r="C487" s="92"/>
    </row>
    <row r="488" ht="14.25" customHeight="1">
      <c r="B488" s="92"/>
      <c r="C488" s="92"/>
    </row>
    <row r="489" ht="14.25" customHeight="1">
      <c r="B489" s="92"/>
      <c r="C489" s="92"/>
    </row>
    <row r="490" ht="14.25" customHeight="1">
      <c r="B490" s="92"/>
      <c r="C490" s="92"/>
    </row>
    <row r="491" ht="14.25" customHeight="1">
      <c r="B491" s="92"/>
      <c r="C491" s="92"/>
    </row>
    <row r="492" ht="14.25" customHeight="1">
      <c r="B492" s="92"/>
      <c r="C492" s="92"/>
    </row>
    <row r="493" ht="14.25" customHeight="1">
      <c r="B493" s="92"/>
      <c r="C493" s="92"/>
    </row>
    <row r="494" ht="14.25" customHeight="1">
      <c r="B494" s="92"/>
      <c r="C494" s="92"/>
    </row>
    <row r="495" ht="14.25" customHeight="1">
      <c r="B495" s="92"/>
      <c r="C495" s="92"/>
    </row>
    <row r="496" ht="14.25" customHeight="1">
      <c r="B496" s="92"/>
      <c r="C496" s="92"/>
    </row>
    <row r="497" ht="14.25" customHeight="1">
      <c r="B497" s="92"/>
      <c r="C497" s="92"/>
    </row>
    <row r="498" ht="14.25" customHeight="1">
      <c r="B498" s="92"/>
      <c r="C498" s="92"/>
    </row>
    <row r="499" ht="14.25" customHeight="1">
      <c r="B499" s="92"/>
      <c r="C499" s="92"/>
    </row>
    <row r="500" ht="14.25" customHeight="1">
      <c r="B500" s="92"/>
      <c r="C500" s="92"/>
    </row>
    <row r="501" ht="14.25" customHeight="1">
      <c r="B501" s="92"/>
      <c r="C501" s="92"/>
    </row>
    <row r="502" ht="14.25" customHeight="1">
      <c r="B502" s="92"/>
      <c r="C502" s="92"/>
    </row>
    <row r="503" ht="14.25" customHeight="1">
      <c r="B503" s="92"/>
      <c r="C503" s="92"/>
    </row>
    <row r="504" ht="14.25" customHeight="1">
      <c r="B504" s="92"/>
      <c r="C504" s="92"/>
    </row>
    <row r="505" ht="14.25" customHeight="1">
      <c r="B505" s="92"/>
      <c r="C505" s="92"/>
    </row>
    <row r="506" ht="14.25" customHeight="1">
      <c r="B506" s="92"/>
      <c r="C506" s="92"/>
    </row>
    <row r="507" ht="14.25" customHeight="1">
      <c r="B507" s="92"/>
      <c r="C507" s="92"/>
    </row>
    <row r="508" ht="14.25" customHeight="1">
      <c r="B508" s="92"/>
      <c r="C508" s="92"/>
    </row>
    <row r="509" ht="14.25" customHeight="1">
      <c r="B509" s="92"/>
      <c r="C509" s="92"/>
    </row>
    <row r="510" ht="14.25" customHeight="1">
      <c r="B510" s="92"/>
      <c r="C510" s="92"/>
    </row>
    <row r="511" ht="14.25" customHeight="1">
      <c r="B511" s="92"/>
      <c r="C511" s="92"/>
    </row>
    <row r="512" ht="14.25" customHeight="1">
      <c r="B512" s="92"/>
      <c r="C512" s="92"/>
    </row>
    <row r="513" ht="14.25" customHeight="1">
      <c r="B513" s="92"/>
      <c r="C513" s="92"/>
    </row>
    <row r="514" ht="14.25" customHeight="1">
      <c r="B514" s="92"/>
      <c r="C514" s="92"/>
    </row>
    <row r="515" ht="14.25" customHeight="1">
      <c r="B515" s="92"/>
      <c r="C515" s="92"/>
    </row>
    <row r="516" ht="14.25" customHeight="1">
      <c r="B516" s="92"/>
      <c r="C516" s="92"/>
    </row>
    <row r="517" ht="14.25" customHeight="1">
      <c r="B517" s="92"/>
      <c r="C517" s="92"/>
    </row>
    <row r="518" ht="14.25" customHeight="1">
      <c r="B518" s="92"/>
      <c r="C518" s="92"/>
    </row>
    <row r="519" ht="14.25" customHeight="1">
      <c r="B519" s="92"/>
      <c r="C519" s="92"/>
    </row>
    <row r="520" ht="14.25" customHeight="1">
      <c r="B520" s="92"/>
      <c r="C520" s="92"/>
    </row>
    <row r="521" ht="14.25" customHeight="1">
      <c r="B521" s="92"/>
      <c r="C521" s="92"/>
    </row>
    <row r="522" ht="14.25" customHeight="1">
      <c r="B522" s="92"/>
      <c r="C522" s="92"/>
    </row>
    <row r="523" ht="14.25" customHeight="1">
      <c r="B523" s="92"/>
      <c r="C523" s="92"/>
    </row>
    <row r="524" ht="14.25" customHeight="1">
      <c r="B524" s="92"/>
      <c r="C524" s="92"/>
    </row>
    <row r="525" ht="14.25" customHeight="1">
      <c r="B525" s="92"/>
      <c r="C525" s="92"/>
    </row>
    <row r="526" ht="14.25" customHeight="1">
      <c r="B526" s="92"/>
      <c r="C526" s="92"/>
    </row>
    <row r="527" ht="14.25" customHeight="1">
      <c r="B527" s="92"/>
      <c r="C527" s="92"/>
    </row>
    <row r="528" ht="14.25" customHeight="1">
      <c r="B528" s="92"/>
      <c r="C528" s="92"/>
    </row>
    <row r="529" ht="14.25" customHeight="1">
      <c r="B529" s="92"/>
      <c r="C529" s="92"/>
    </row>
    <row r="530" ht="14.25" customHeight="1">
      <c r="B530" s="92"/>
      <c r="C530" s="92"/>
    </row>
    <row r="531" ht="14.25" customHeight="1">
      <c r="B531" s="92"/>
      <c r="C531" s="92"/>
    </row>
    <row r="532" ht="14.25" customHeight="1">
      <c r="B532" s="92"/>
      <c r="C532" s="92"/>
    </row>
    <row r="533" ht="14.25" customHeight="1">
      <c r="B533" s="92"/>
      <c r="C533" s="92"/>
    </row>
    <row r="534" ht="14.25" customHeight="1">
      <c r="B534" s="92"/>
      <c r="C534" s="92"/>
    </row>
    <row r="535" ht="14.25" customHeight="1">
      <c r="B535" s="92"/>
      <c r="C535" s="92"/>
    </row>
    <row r="536" ht="14.25" customHeight="1">
      <c r="B536" s="92"/>
      <c r="C536" s="92"/>
    </row>
    <row r="537" ht="14.25" customHeight="1">
      <c r="B537" s="92"/>
      <c r="C537" s="92"/>
    </row>
    <row r="538" ht="14.25" customHeight="1">
      <c r="B538" s="92"/>
      <c r="C538" s="92"/>
    </row>
    <row r="539" ht="14.25" customHeight="1">
      <c r="B539" s="92"/>
      <c r="C539" s="92"/>
    </row>
    <row r="540" ht="14.25" customHeight="1">
      <c r="B540" s="92"/>
      <c r="C540" s="92"/>
    </row>
    <row r="541" ht="14.25" customHeight="1">
      <c r="B541" s="92"/>
      <c r="C541" s="92"/>
    </row>
    <row r="542" ht="14.25" customHeight="1">
      <c r="B542" s="92"/>
      <c r="C542" s="92"/>
    </row>
    <row r="543" ht="14.25" customHeight="1">
      <c r="B543" s="92"/>
      <c r="C543" s="92"/>
    </row>
    <row r="544" ht="14.25" customHeight="1">
      <c r="B544" s="92"/>
      <c r="C544" s="92"/>
    </row>
    <row r="545" ht="14.25" customHeight="1">
      <c r="B545" s="92"/>
      <c r="C545" s="92"/>
    </row>
    <row r="546" ht="14.25" customHeight="1">
      <c r="B546" s="92"/>
      <c r="C546" s="92"/>
    </row>
    <row r="547" ht="14.25" customHeight="1">
      <c r="B547" s="92"/>
      <c r="C547" s="92"/>
    </row>
    <row r="548" ht="14.25" customHeight="1">
      <c r="B548" s="92"/>
      <c r="C548" s="92"/>
    </row>
    <row r="549" ht="14.25" customHeight="1">
      <c r="B549" s="92"/>
      <c r="C549" s="92"/>
    </row>
    <row r="550" ht="14.25" customHeight="1">
      <c r="B550" s="92"/>
      <c r="C550" s="92"/>
    </row>
    <row r="551" ht="14.25" customHeight="1">
      <c r="B551" s="92"/>
      <c r="C551" s="92"/>
    </row>
    <row r="552" ht="14.25" customHeight="1">
      <c r="B552" s="92"/>
      <c r="C552" s="92"/>
    </row>
    <row r="553" ht="14.25" customHeight="1">
      <c r="B553" s="92"/>
      <c r="C553" s="92"/>
    </row>
    <row r="554" ht="14.25" customHeight="1">
      <c r="B554" s="92"/>
      <c r="C554" s="92"/>
    </row>
    <row r="555" ht="14.25" customHeight="1">
      <c r="B555" s="92"/>
      <c r="C555" s="92"/>
    </row>
    <row r="556" ht="14.25" customHeight="1">
      <c r="B556" s="92"/>
      <c r="C556" s="92"/>
    </row>
    <row r="557" ht="14.25" customHeight="1">
      <c r="B557" s="92"/>
      <c r="C557" s="92"/>
    </row>
    <row r="558" ht="14.25" customHeight="1">
      <c r="B558" s="92"/>
      <c r="C558" s="92"/>
    </row>
    <row r="559" ht="14.25" customHeight="1">
      <c r="B559" s="92"/>
      <c r="C559" s="92"/>
    </row>
    <row r="560" ht="14.25" customHeight="1">
      <c r="B560" s="92"/>
      <c r="C560" s="92"/>
    </row>
    <row r="561" ht="14.25" customHeight="1">
      <c r="B561" s="92"/>
      <c r="C561" s="92"/>
    </row>
    <row r="562" ht="14.25" customHeight="1">
      <c r="B562" s="92"/>
      <c r="C562" s="92"/>
    </row>
    <row r="563" ht="14.25" customHeight="1">
      <c r="B563" s="92"/>
      <c r="C563" s="92"/>
    </row>
    <row r="564" ht="14.25" customHeight="1">
      <c r="B564" s="92"/>
      <c r="C564" s="92"/>
    </row>
    <row r="565" ht="14.25" customHeight="1">
      <c r="B565" s="92"/>
      <c r="C565" s="92"/>
    </row>
    <row r="566" ht="14.25" customHeight="1">
      <c r="B566" s="92"/>
      <c r="C566" s="92"/>
    </row>
    <row r="567" ht="14.25" customHeight="1">
      <c r="B567" s="92"/>
      <c r="C567" s="92"/>
    </row>
    <row r="568" ht="14.25" customHeight="1">
      <c r="B568" s="92"/>
      <c r="C568" s="92"/>
    </row>
    <row r="569" ht="14.25" customHeight="1">
      <c r="B569" s="92"/>
      <c r="C569" s="92"/>
    </row>
    <row r="570" ht="14.25" customHeight="1">
      <c r="B570" s="92"/>
      <c r="C570" s="92"/>
    </row>
    <row r="571" ht="14.25" customHeight="1">
      <c r="B571" s="92"/>
      <c r="C571" s="92"/>
    </row>
    <row r="572" ht="14.25" customHeight="1">
      <c r="B572" s="92"/>
      <c r="C572" s="92"/>
    </row>
    <row r="573" ht="14.25" customHeight="1">
      <c r="B573" s="92"/>
      <c r="C573" s="92"/>
    </row>
    <row r="574" ht="14.25" customHeight="1">
      <c r="B574" s="92"/>
      <c r="C574" s="92"/>
    </row>
    <row r="575" ht="14.25" customHeight="1">
      <c r="B575" s="92"/>
      <c r="C575" s="92"/>
    </row>
    <row r="576" ht="14.25" customHeight="1">
      <c r="B576" s="92"/>
      <c r="C576" s="92"/>
    </row>
    <row r="577" ht="14.25" customHeight="1">
      <c r="B577" s="92"/>
      <c r="C577" s="92"/>
    </row>
    <row r="578" ht="14.25" customHeight="1">
      <c r="B578" s="92"/>
      <c r="C578" s="92"/>
    </row>
    <row r="579" ht="14.25" customHeight="1">
      <c r="B579" s="92"/>
      <c r="C579" s="92"/>
    </row>
    <row r="580" ht="14.25" customHeight="1">
      <c r="B580" s="92"/>
      <c r="C580" s="92"/>
    </row>
    <row r="581" ht="14.25" customHeight="1">
      <c r="B581" s="92"/>
      <c r="C581" s="92"/>
    </row>
    <row r="582" ht="14.25" customHeight="1">
      <c r="B582" s="92"/>
      <c r="C582" s="92"/>
    </row>
    <row r="583" ht="14.25" customHeight="1">
      <c r="B583" s="92"/>
      <c r="C583" s="92"/>
    </row>
    <row r="584" ht="14.25" customHeight="1">
      <c r="B584" s="92"/>
      <c r="C584" s="92"/>
    </row>
    <row r="585" ht="14.25" customHeight="1">
      <c r="B585" s="92"/>
      <c r="C585" s="92"/>
    </row>
    <row r="586" ht="14.25" customHeight="1">
      <c r="B586" s="92"/>
      <c r="C586" s="92"/>
    </row>
    <row r="587" ht="14.25" customHeight="1">
      <c r="B587" s="92"/>
      <c r="C587" s="92"/>
    </row>
    <row r="588" ht="14.25" customHeight="1">
      <c r="B588" s="92"/>
      <c r="C588" s="92"/>
    </row>
    <row r="589" ht="14.25" customHeight="1">
      <c r="B589" s="92"/>
      <c r="C589" s="92"/>
    </row>
    <row r="590" ht="14.25" customHeight="1">
      <c r="B590" s="92"/>
      <c r="C590" s="92"/>
    </row>
    <row r="591" ht="14.25" customHeight="1">
      <c r="B591" s="92"/>
      <c r="C591" s="92"/>
    </row>
    <row r="592" ht="14.25" customHeight="1">
      <c r="B592" s="92"/>
      <c r="C592" s="92"/>
    </row>
    <row r="593" ht="14.25" customHeight="1">
      <c r="B593" s="92"/>
      <c r="C593" s="92"/>
    </row>
    <row r="594" ht="14.25" customHeight="1">
      <c r="B594" s="92"/>
      <c r="C594" s="92"/>
    </row>
    <row r="595" ht="14.25" customHeight="1">
      <c r="B595" s="92"/>
      <c r="C595" s="92"/>
    </row>
    <row r="596" ht="14.25" customHeight="1">
      <c r="B596" s="92"/>
      <c r="C596" s="92"/>
    </row>
    <row r="597" ht="14.25" customHeight="1">
      <c r="B597" s="92"/>
      <c r="C597" s="92"/>
    </row>
    <row r="598" ht="14.25" customHeight="1">
      <c r="B598" s="92"/>
      <c r="C598" s="92"/>
    </row>
    <row r="599" ht="14.25" customHeight="1">
      <c r="B599" s="92"/>
      <c r="C599" s="92"/>
    </row>
    <row r="600" ht="14.25" customHeight="1">
      <c r="B600" s="92"/>
      <c r="C600" s="92"/>
    </row>
    <row r="601" ht="14.25" customHeight="1">
      <c r="B601" s="92"/>
      <c r="C601" s="92"/>
    </row>
    <row r="602" ht="14.25" customHeight="1">
      <c r="B602" s="92"/>
      <c r="C602" s="92"/>
    </row>
    <row r="603" ht="14.25" customHeight="1">
      <c r="B603" s="92"/>
      <c r="C603" s="92"/>
    </row>
    <row r="604" ht="14.25" customHeight="1">
      <c r="B604" s="92"/>
      <c r="C604" s="92"/>
    </row>
    <row r="605" ht="14.25" customHeight="1">
      <c r="B605" s="92"/>
      <c r="C605" s="92"/>
    </row>
    <row r="606" ht="14.25" customHeight="1">
      <c r="B606" s="92"/>
      <c r="C606" s="92"/>
    </row>
    <row r="607" ht="14.25" customHeight="1">
      <c r="B607" s="92"/>
      <c r="C607" s="92"/>
    </row>
    <row r="608" ht="14.25" customHeight="1">
      <c r="B608" s="92"/>
      <c r="C608" s="92"/>
    </row>
    <row r="609" ht="14.25" customHeight="1">
      <c r="B609" s="92"/>
      <c r="C609" s="92"/>
    </row>
    <row r="610" ht="14.25" customHeight="1">
      <c r="B610" s="92"/>
      <c r="C610" s="92"/>
    </row>
    <row r="611" ht="14.25" customHeight="1">
      <c r="B611" s="92"/>
      <c r="C611" s="92"/>
    </row>
    <row r="612" ht="14.25" customHeight="1">
      <c r="B612" s="92"/>
      <c r="C612" s="92"/>
    </row>
    <row r="613" ht="14.25" customHeight="1">
      <c r="B613" s="92"/>
      <c r="C613" s="92"/>
    </row>
    <row r="614" ht="14.25" customHeight="1">
      <c r="B614" s="92"/>
      <c r="C614" s="92"/>
    </row>
    <row r="615" ht="14.25" customHeight="1">
      <c r="B615" s="92"/>
      <c r="C615" s="92"/>
    </row>
    <row r="616" ht="14.25" customHeight="1">
      <c r="B616" s="92"/>
      <c r="C616" s="92"/>
    </row>
    <row r="617" ht="14.25" customHeight="1">
      <c r="B617" s="92"/>
      <c r="C617" s="92"/>
    </row>
    <row r="618" ht="14.25" customHeight="1">
      <c r="B618" s="92"/>
      <c r="C618" s="92"/>
    </row>
    <row r="619" ht="14.25" customHeight="1">
      <c r="B619" s="92"/>
      <c r="C619" s="92"/>
    </row>
    <row r="620" ht="14.25" customHeight="1">
      <c r="B620" s="92"/>
      <c r="C620" s="92"/>
    </row>
    <row r="621" ht="14.25" customHeight="1">
      <c r="B621" s="92"/>
      <c r="C621" s="92"/>
    </row>
    <row r="622" ht="14.25" customHeight="1">
      <c r="B622" s="92"/>
      <c r="C622" s="92"/>
    </row>
    <row r="623" ht="14.25" customHeight="1">
      <c r="B623" s="92"/>
      <c r="C623" s="92"/>
    </row>
    <row r="624" ht="14.25" customHeight="1">
      <c r="B624" s="92"/>
      <c r="C624" s="92"/>
    </row>
    <row r="625" ht="14.25" customHeight="1">
      <c r="B625" s="92"/>
      <c r="C625" s="92"/>
    </row>
    <row r="626" ht="14.25" customHeight="1">
      <c r="B626" s="92"/>
      <c r="C626" s="92"/>
    </row>
    <row r="627" ht="14.25" customHeight="1">
      <c r="B627" s="92"/>
      <c r="C627" s="92"/>
    </row>
    <row r="628" ht="14.25" customHeight="1">
      <c r="B628" s="92"/>
      <c r="C628" s="92"/>
    </row>
    <row r="629" ht="14.25" customHeight="1">
      <c r="B629" s="92"/>
      <c r="C629" s="92"/>
    </row>
    <row r="630" ht="14.25" customHeight="1">
      <c r="B630" s="92"/>
      <c r="C630" s="92"/>
    </row>
    <row r="631" ht="14.25" customHeight="1">
      <c r="B631" s="92"/>
      <c r="C631" s="92"/>
    </row>
    <row r="632" ht="14.25" customHeight="1">
      <c r="B632" s="92"/>
      <c r="C632" s="92"/>
    </row>
    <row r="633" ht="14.25" customHeight="1">
      <c r="B633" s="92"/>
      <c r="C633" s="92"/>
    </row>
    <row r="634" ht="14.25" customHeight="1">
      <c r="B634" s="92"/>
      <c r="C634" s="92"/>
    </row>
    <row r="635" ht="14.25" customHeight="1">
      <c r="B635" s="92"/>
      <c r="C635" s="92"/>
    </row>
    <row r="636" ht="14.25" customHeight="1">
      <c r="B636" s="92"/>
      <c r="C636" s="92"/>
    </row>
    <row r="637" ht="14.25" customHeight="1">
      <c r="B637" s="92"/>
      <c r="C637" s="92"/>
    </row>
    <row r="638" ht="14.25" customHeight="1">
      <c r="B638" s="92"/>
      <c r="C638" s="92"/>
    </row>
    <row r="639" ht="14.25" customHeight="1">
      <c r="B639" s="92"/>
      <c r="C639" s="92"/>
    </row>
    <row r="640" ht="14.25" customHeight="1">
      <c r="B640" s="92"/>
      <c r="C640" s="92"/>
    </row>
    <row r="641" ht="14.25" customHeight="1">
      <c r="B641" s="92"/>
      <c r="C641" s="92"/>
    </row>
    <row r="642" ht="14.25" customHeight="1">
      <c r="B642" s="92"/>
      <c r="C642" s="92"/>
    </row>
    <row r="643" ht="14.25" customHeight="1">
      <c r="B643" s="92"/>
      <c r="C643" s="92"/>
    </row>
    <row r="644" ht="14.25" customHeight="1">
      <c r="B644" s="92"/>
      <c r="C644" s="92"/>
    </row>
    <row r="645" ht="14.25" customHeight="1">
      <c r="B645" s="92"/>
      <c r="C645" s="92"/>
    </row>
    <row r="646" ht="14.25" customHeight="1">
      <c r="B646" s="92"/>
      <c r="C646" s="92"/>
    </row>
    <row r="647" ht="14.25" customHeight="1">
      <c r="B647" s="92"/>
      <c r="C647" s="92"/>
    </row>
    <row r="648" ht="14.25" customHeight="1">
      <c r="B648" s="92"/>
      <c r="C648" s="92"/>
    </row>
    <row r="649" ht="14.25" customHeight="1">
      <c r="B649" s="92"/>
      <c r="C649" s="92"/>
    </row>
    <row r="650" ht="14.25" customHeight="1">
      <c r="B650" s="92"/>
      <c r="C650" s="92"/>
    </row>
    <row r="651" ht="14.25" customHeight="1">
      <c r="B651" s="92"/>
      <c r="C651" s="92"/>
    </row>
    <row r="652" ht="14.25" customHeight="1">
      <c r="B652" s="92"/>
      <c r="C652" s="92"/>
    </row>
    <row r="653" ht="14.25" customHeight="1">
      <c r="B653" s="92"/>
      <c r="C653" s="92"/>
    </row>
    <row r="654" ht="14.25" customHeight="1">
      <c r="B654" s="92"/>
      <c r="C654" s="92"/>
    </row>
    <row r="655" ht="14.25" customHeight="1">
      <c r="B655" s="92"/>
      <c r="C655" s="92"/>
    </row>
    <row r="656" ht="14.25" customHeight="1">
      <c r="B656" s="92"/>
      <c r="C656" s="92"/>
    </row>
    <row r="657" ht="14.25" customHeight="1">
      <c r="B657" s="92"/>
      <c r="C657" s="92"/>
    </row>
    <row r="658" ht="14.25" customHeight="1">
      <c r="B658" s="92"/>
      <c r="C658" s="92"/>
    </row>
    <row r="659" ht="14.25" customHeight="1">
      <c r="B659" s="92"/>
      <c r="C659" s="92"/>
    </row>
    <row r="660" ht="14.25" customHeight="1">
      <c r="B660" s="92"/>
      <c r="C660" s="92"/>
    </row>
    <row r="661" ht="14.25" customHeight="1">
      <c r="B661" s="92"/>
      <c r="C661" s="92"/>
    </row>
    <row r="662" ht="14.25" customHeight="1">
      <c r="B662" s="92"/>
      <c r="C662" s="92"/>
    </row>
    <row r="663" ht="14.25" customHeight="1">
      <c r="B663" s="92"/>
      <c r="C663" s="92"/>
    </row>
    <row r="664" ht="14.25" customHeight="1">
      <c r="B664" s="92"/>
      <c r="C664" s="92"/>
    </row>
    <row r="665" ht="14.25" customHeight="1">
      <c r="B665" s="92"/>
      <c r="C665" s="92"/>
    </row>
    <row r="666" ht="14.25" customHeight="1">
      <c r="B666" s="92"/>
      <c r="C666" s="92"/>
    </row>
    <row r="667" ht="14.25" customHeight="1">
      <c r="B667" s="92"/>
      <c r="C667" s="92"/>
    </row>
    <row r="668" ht="14.25" customHeight="1">
      <c r="B668" s="92"/>
      <c r="C668" s="92"/>
    </row>
    <row r="669" ht="14.25" customHeight="1">
      <c r="B669" s="92"/>
      <c r="C669" s="92"/>
    </row>
    <row r="670" ht="14.25" customHeight="1">
      <c r="B670" s="92"/>
      <c r="C670" s="92"/>
    </row>
    <row r="671" ht="14.25" customHeight="1">
      <c r="B671" s="92"/>
      <c r="C671" s="92"/>
    </row>
    <row r="672" ht="14.25" customHeight="1">
      <c r="B672" s="92"/>
      <c r="C672" s="92"/>
    </row>
    <row r="673" ht="14.25" customHeight="1">
      <c r="B673" s="92"/>
      <c r="C673" s="92"/>
    </row>
    <row r="674" ht="14.25" customHeight="1">
      <c r="B674" s="92"/>
      <c r="C674" s="92"/>
    </row>
    <row r="675" ht="14.25" customHeight="1">
      <c r="B675" s="92"/>
      <c r="C675" s="92"/>
    </row>
    <row r="676" ht="14.25" customHeight="1">
      <c r="B676" s="92"/>
      <c r="C676" s="92"/>
    </row>
    <row r="677" ht="14.25" customHeight="1">
      <c r="B677" s="92"/>
      <c r="C677" s="92"/>
    </row>
    <row r="678" ht="14.25" customHeight="1">
      <c r="B678" s="92"/>
      <c r="C678" s="92"/>
    </row>
    <row r="679" ht="14.25" customHeight="1">
      <c r="B679" s="92"/>
      <c r="C679" s="92"/>
    </row>
    <row r="680" ht="14.25" customHeight="1">
      <c r="B680" s="92"/>
      <c r="C680" s="92"/>
    </row>
    <row r="681" ht="14.25" customHeight="1">
      <c r="B681" s="92"/>
      <c r="C681" s="92"/>
    </row>
    <row r="682" ht="14.25" customHeight="1">
      <c r="B682" s="92"/>
      <c r="C682" s="92"/>
    </row>
    <row r="683" ht="14.25" customHeight="1">
      <c r="B683" s="92"/>
      <c r="C683" s="92"/>
    </row>
    <row r="684" ht="14.25" customHeight="1">
      <c r="B684" s="92"/>
      <c r="C684" s="92"/>
    </row>
    <row r="685" ht="14.25" customHeight="1">
      <c r="B685" s="92"/>
      <c r="C685" s="92"/>
    </row>
    <row r="686" ht="14.25" customHeight="1">
      <c r="B686" s="92"/>
      <c r="C686" s="92"/>
    </row>
    <row r="687" ht="14.25" customHeight="1">
      <c r="B687" s="92"/>
      <c r="C687" s="92"/>
    </row>
    <row r="688" ht="14.25" customHeight="1">
      <c r="B688" s="92"/>
      <c r="C688" s="92"/>
    </row>
    <row r="689" ht="14.25" customHeight="1">
      <c r="B689" s="92"/>
      <c r="C689" s="92"/>
    </row>
    <row r="690" ht="14.25" customHeight="1">
      <c r="B690" s="92"/>
      <c r="C690" s="92"/>
    </row>
    <row r="691" ht="14.25" customHeight="1">
      <c r="B691" s="92"/>
      <c r="C691" s="92"/>
    </row>
    <row r="692" ht="14.25" customHeight="1">
      <c r="B692" s="92"/>
      <c r="C692" s="92"/>
    </row>
    <row r="693" ht="14.25" customHeight="1">
      <c r="B693" s="92"/>
      <c r="C693" s="92"/>
    </row>
    <row r="694" ht="14.25" customHeight="1">
      <c r="B694" s="92"/>
      <c r="C694" s="92"/>
    </row>
    <row r="695" ht="14.25" customHeight="1">
      <c r="B695" s="92"/>
      <c r="C695" s="92"/>
    </row>
    <row r="696" ht="14.25" customHeight="1">
      <c r="B696" s="92"/>
      <c r="C696" s="92"/>
    </row>
    <row r="697" ht="14.25" customHeight="1">
      <c r="B697" s="92"/>
      <c r="C697" s="92"/>
    </row>
    <row r="698" ht="14.25" customHeight="1">
      <c r="B698" s="92"/>
      <c r="C698" s="92"/>
    </row>
    <row r="699" ht="14.25" customHeight="1">
      <c r="B699" s="92"/>
      <c r="C699" s="92"/>
    </row>
    <row r="700" ht="14.25" customHeight="1">
      <c r="B700" s="92"/>
      <c r="C700" s="92"/>
    </row>
    <row r="701" ht="14.25" customHeight="1">
      <c r="B701" s="92"/>
      <c r="C701" s="92"/>
    </row>
    <row r="702" ht="14.25" customHeight="1">
      <c r="B702" s="92"/>
      <c r="C702" s="92"/>
    </row>
    <row r="703" ht="14.25" customHeight="1">
      <c r="B703" s="92"/>
      <c r="C703" s="92"/>
    </row>
    <row r="704" ht="14.25" customHeight="1">
      <c r="B704" s="92"/>
      <c r="C704" s="92"/>
    </row>
    <row r="705" ht="14.25" customHeight="1">
      <c r="B705" s="92"/>
      <c r="C705" s="92"/>
    </row>
    <row r="706" ht="14.25" customHeight="1">
      <c r="B706" s="92"/>
      <c r="C706" s="92"/>
    </row>
    <row r="707" ht="14.25" customHeight="1">
      <c r="B707" s="92"/>
      <c r="C707" s="92"/>
    </row>
    <row r="708" ht="14.25" customHeight="1">
      <c r="B708" s="92"/>
      <c r="C708" s="92"/>
    </row>
    <row r="709" ht="14.25" customHeight="1">
      <c r="B709" s="92"/>
      <c r="C709" s="92"/>
    </row>
    <row r="710" ht="14.25" customHeight="1">
      <c r="B710" s="92"/>
      <c r="C710" s="92"/>
    </row>
    <row r="711" ht="14.25" customHeight="1">
      <c r="B711" s="92"/>
      <c r="C711" s="92"/>
    </row>
    <row r="712" ht="14.25" customHeight="1">
      <c r="B712" s="92"/>
      <c r="C712" s="92"/>
    </row>
    <row r="713" ht="14.25" customHeight="1">
      <c r="B713" s="92"/>
      <c r="C713" s="92"/>
    </row>
    <row r="714" ht="14.25" customHeight="1">
      <c r="B714" s="92"/>
      <c r="C714" s="92"/>
    </row>
    <row r="715" ht="14.25" customHeight="1">
      <c r="B715" s="92"/>
      <c r="C715" s="92"/>
    </row>
    <row r="716" ht="14.25" customHeight="1">
      <c r="B716" s="92"/>
      <c r="C716" s="92"/>
    </row>
    <row r="717" ht="14.25" customHeight="1">
      <c r="B717" s="92"/>
      <c r="C717" s="92"/>
    </row>
    <row r="718" ht="14.25" customHeight="1">
      <c r="B718" s="92"/>
      <c r="C718" s="92"/>
    </row>
    <row r="719" ht="14.25" customHeight="1">
      <c r="B719" s="92"/>
      <c r="C719" s="92"/>
    </row>
    <row r="720" ht="14.25" customHeight="1">
      <c r="B720" s="92"/>
      <c r="C720" s="92"/>
    </row>
    <row r="721" ht="14.25" customHeight="1">
      <c r="B721" s="92"/>
      <c r="C721" s="92"/>
    </row>
    <row r="722" ht="14.25" customHeight="1">
      <c r="B722" s="92"/>
      <c r="C722" s="92"/>
    </row>
    <row r="723" ht="14.25" customHeight="1">
      <c r="B723" s="92"/>
      <c r="C723" s="92"/>
    </row>
    <row r="724" ht="14.25" customHeight="1">
      <c r="B724" s="92"/>
      <c r="C724" s="92"/>
    </row>
    <row r="725" ht="14.25" customHeight="1">
      <c r="B725" s="92"/>
      <c r="C725" s="92"/>
    </row>
    <row r="726" ht="14.25" customHeight="1">
      <c r="B726" s="92"/>
      <c r="C726" s="92"/>
    </row>
    <row r="727" ht="14.25" customHeight="1">
      <c r="B727" s="92"/>
      <c r="C727" s="92"/>
    </row>
    <row r="728" ht="14.25" customHeight="1">
      <c r="B728" s="92"/>
      <c r="C728" s="92"/>
    </row>
    <row r="729" ht="14.25" customHeight="1">
      <c r="B729" s="92"/>
      <c r="C729" s="92"/>
    </row>
    <row r="730" ht="14.25" customHeight="1">
      <c r="B730" s="92"/>
      <c r="C730" s="92"/>
    </row>
    <row r="731" ht="14.25" customHeight="1">
      <c r="B731" s="92"/>
      <c r="C731" s="92"/>
    </row>
    <row r="732" ht="14.25" customHeight="1">
      <c r="B732" s="92"/>
      <c r="C732" s="92"/>
    </row>
    <row r="733" ht="14.25" customHeight="1">
      <c r="B733" s="92"/>
      <c r="C733" s="92"/>
    </row>
    <row r="734" ht="14.25" customHeight="1">
      <c r="B734" s="92"/>
      <c r="C734" s="92"/>
    </row>
    <row r="735" ht="14.25" customHeight="1">
      <c r="B735" s="92"/>
      <c r="C735" s="92"/>
    </row>
    <row r="736" ht="14.25" customHeight="1">
      <c r="B736" s="92"/>
      <c r="C736" s="92"/>
    </row>
    <row r="737" ht="14.25" customHeight="1">
      <c r="B737" s="92"/>
      <c r="C737" s="92"/>
    </row>
    <row r="738" ht="14.25" customHeight="1">
      <c r="B738" s="92"/>
      <c r="C738" s="92"/>
    </row>
    <row r="739" ht="14.25" customHeight="1">
      <c r="B739" s="92"/>
      <c r="C739" s="92"/>
    </row>
    <row r="740" ht="14.25" customHeight="1">
      <c r="B740" s="92"/>
      <c r="C740" s="92"/>
    </row>
    <row r="741" ht="14.25" customHeight="1">
      <c r="B741" s="92"/>
      <c r="C741" s="92"/>
    </row>
    <row r="742" ht="14.25" customHeight="1">
      <c r="B742" s="92"/>
      <c r="C742" s="92"/>
    </row>
    <row r="743" ht="14.25" customHeight="1">
      <c r="B743" s="92"/>
      <c r="C743" s="92"/>
    </row>
    <row r="744" ht="14.25" customHeight="1">
      <c r="B744" s="92"/>
      <c r="C744" s="92"/>
    </row>
    <row r="745" ht="14.25" customHeight="1">
      <c r="B745" s="92"/>
      <c r="C745" s="92"/>
    </row>
    <row r="746" ht="14.25" customHeight="1">
      <c r="B746" s="92"/>
      <c r="C746" s="92"/>
    </row>
    <row r="747" ht="14.25" customHeight="1">
      <c r="B747" s="92"/>
      <c r="C747" s="92"/>
    </row>
    <row r="748" ht="14.25" customHeight="1">
      <c r="B748" s="92"/>
      <c r="C748" s="92"/>
    </row>
    <row r="749" ht="14.25" customHeight="1">
      <c r="B749" s="92"/>
      <c r="C749" s="92"/>
    </row>
    <row r="750" ht="14.25" customHeight="1">
      <c r="B750" s="92"/>
      <c r="C750" s="92"/>
    </row>
    <row r="751" ht="14.25" customHeight="1">
      <c r="B751" s="92"/>
      <c r="C751" s="92"/>
    </row>
    <row r="752" ht="14.25" customHeight="1">
      <c r="B752" s="92"/>
      <c r="C752" s="92"/>
    </row>
    <row r="753" ht="14.25" customHeight="1">
      <c r="B753" s="92"/>
      <c r="C753" s="92"/>
    </row>
    <row r="754" ht="14.25" customHeight="1">
      <c r="B754" s="92"/>
      <c r="C754" s="92"/>
    </row>
    <row r="755" ht="14.25" customHeight="1">
      <c r="B755" s="92"/>
      <c r="C755" s="92"/>
    </row>
    <row r="756" ht="14.25" customHeight="1">
      <c r="B756" s="92"/>
      <c r="C756" s="92"/>
    </row>
    <row r="757" ht="14.25" customHeight="1">
      <c r="B757" s="92"/>
      <c r="C757" s="92"/>
    </row>
    <row r="758" ht="14.25" customHeight="1">
      <c r="B758" s="92"/>
      <c r="C758" s="92"/>
    </row>
    <row r="759" ht="14.25" customHeight="1">
      <c r="B759" s="92"/>
      <c r="C759" s="92"/>
    </row>
    <row r="760" ht="14.25" customHeight="1">
      <c r="B760" s="92"/>
      <c r="C760" s="92"/>
    </row>
    <row r="761" ht="14.25" customHeight="1">
      <c r="B761" s="92"/>
      <c r="C761" s="92"/>
    </row>
    <row r="762" ht="14.25" customHeight="1">
      <c r="B762" s="92"/>
      <c r="C762" s="92"/>
    </row>
    <row r="763" ht="14.25" customHeight="1">
      <c r="B763" s="92"/>
      <c r="C763" s="92"/>
    </row>
    <row r="764" ht="14.25" customHeight="1">
      <c r="B764" s="92"/>
      <c r="C764" s="92"/>
    </row>
    <row r="765" ht="14.25" customHeight="1">
      <c r="B765" s="92"/>
      <c r="C765" s="92"/>
    </row>
    <row r="766" ht="14.25" customHeight="1">
      <c r="B766" s="92"/>
      <c r="C766" s="92"/>
    </row>
    <row r="767" ht="14.25" customHeight="1">
      <c r="B767" s="92"/>
      <c r="C767" s="92"/>
    </row>
    <row r="768" ht="14.25" customHeight="1">
      <c r="B768" s="92"/>
      <c r="C768" s="92"/>
    </row>
    <row r="769" ht="14.25" customHeight="1">
      <c r="B769" s="92"/>
      <c r="C769" s="92"/>
    </row>
    <row r="770" ht="14.25" customHeight="1">
      <c r="B770" s="92"/>
      <c r="C770" s="92"/>
    </row>
    <row r="771" ht="14.25" customHeight="1">
      <c r="B771" s="92"/>
      <c r="C771" s="92"/>
    </row>
    <row r="772" ht="14.25" customHeight="1">
      <c r="B772" s="92"/>
      <c r="C772" s="92"/>
    </row>
    <row r="773" ht="14.25" customHeight="1">
      <c r="B773" s="92"/>
      <c r="C773" s="92"/>
    </row>
    <row r="774" ht="14.25" customHeight="1">
      <c r="B774" s="92"/>
      <c r="C774" s="92"/>
    </row>
    <row r="775" ht="14.25" customHeight="1">
      <c r="B775" s="92"/>
      <c r="C775" s="92"/>
    </row>
    <row r="776" ht="14.25" customHeight="1">
      <c r="B776" s="92"/>
      <c r="C776" s="92"/>
    </row>
    <row r="777" ht="14.25" customHeight="1">
      <c r="B777" s="92"/>
      <c r="C777" s="92"/>
    </row>
    <row r="778" ht="14.25" customHeight="1">
      <c r="B778" s="92"/>
      <c r="C778" s="92"/>
    </row>
    <row r="779" ht="14.25" customHeight="1">
      <c r="B779" s="92"/>
      <c r="C779" s="92"/>
    </row>
    <row r="780" ht="14.25" customHeight="1">
      <c r="B780" s="92"/>
      <c r="C780" s="92"/>
    </row>
    <row r="781" ht="14.25" customHeight="1">
      <c r="B781" s="92"/>
      <c r="C781" s="92"/>
    </row>
    <row r="782" ht="14.25" customHeight="1">
      <c r="B782" s="92"/>
      <c r="C782" s="92"/>
    </row>
    <row r="783" ht="14.25" customHeight="1">
      <c r="B783" s="92"/>
      <c r="C783" s="92"/>
    </row>
    <row r="784" ht="14.25" customHeight="1">
      <c r="B784" s="92"/>
      <c r="C784" s="92"/>
    </row>
    <row r="785" ht="14.25" customHeight="1">
      <c r="B785" s="92"/>
      <c r="C785" s="92"/>
    </row>
    <row r="786" ht="14.25" customHeight="1">
      <c r="B786" s="92"/>
      <c r="C786" s="92"/>
    </row>
    <row r="787" ht="14.25" customHeight="1">
      <c r="B787" s="92"/>
      <c r="C787" s="92"/>
    </row>
    <row r="788" ht="14.25" customHeight="1">
      <c r="B788" s="92"/>
      <c r="C788" s="92"/>
    </row>
    <row r="789" ht="14.25" customHeight="1">
      <c r="B789" s="92"/>
      <c r="C789" s="92"/>
    </row>
    <row r="790" ht="14.25" customHeight="1">
      <c r="B790" s="92"/>
      <c r="C790" s="92"/>
    </row>
    <row r="791" ht="14.25" customHeight="1">
      <c r="B791" s="92"/>
      <c r="C791" s="92"/>
    </row>
    <row r="792" ht="14.25" customHeight="1">
      <c r="B792" s="92"/>
      <c r="C792" s="92"/>
    </row>
    <row r="793" ht="14.25" customHeight="1">
      <c r="B793" s="92"/>
      <c r="C793" s="92"/>
    </row>
    <row r="794" ht="14.25" customHeight="1">
      <c r="B794" s="92"/>
      <c r="C794" s="92"/>
    </row>
    <row r="795" ht="14.25" customHeight="1">
      <c r="B795" s="92"/>
      <c r="C795" s="92"/>
    </row>
    <row r="796" ht="14.25" customHeight="1">
      <c r="B796" s="92"/>
      <c r="C796" s="92"/>
    </row>
    <row r="797" ht="14.25" customHeight="1">
      <c r="B797" s="92"/>
      <c r="C797" s="92"/>
    </row>
    <row r="798" ht="14.25" customHeight="1">
      <c r="B798" s="92"/>
      <c r="C798" s="92"/>
    </row>
    <row r="799" ht="14.25" customHeight="1">
      <c r="B799" s="92"/>
      <c r="C799" s="92"/>
    </row>
    <row r="800" ht="14.25" customHeight="1">
      <c r="B800" s="92"/>
      <c r="C800" s="92"/>
    </row>
    <row r="801" ht="14.25" customHeight="1">
      <c r="B801" s="92"/>
      <c r="C801" s="92"/>
    </row>
    <row r="802" ht="14.25" customHeight="1">
      <c r="B802" s="92"/>
      <c r="C802" s="92"/>
    </row>
    <row r="803" ht="14.25" customHeight="1">
      <c r="B803" s="92"/>
      <c r="C803" s="92"/>
    </row>
    <row r="804" ht="14.25" customHeight="1">
      <c r="B804" s="92"/>
      <c r="C804" s="92"/>
    </row>
    <row r="805" ht="14.25" customHeight="1">
      <c r="B805" s="92"/>
      <c r="C805" s="92"/>
    </row>
    <row r="806" ht="14.25" customHeight="1">
      <c r="B806" s="92"/>
      <c r="C806" s="92"/>
    </row>
    <row r="807" ht="14.25" customHeight="1">
      <c r="B807" s="92"/>
      <c r="C807" s="92"/>
    </row>
    <row r="808" ht="14.25" customHeight="1">
      <c r="B808" s="92"/>
      <c r="C808" s="92"/>
    </row>
    <row r="809" ht="14.25" customHeight="1">
      <c r="B809" s="92"/>
      <c r="C809" s="92"/>
    </row>
    <row r="810" ht="14.25" customHeight="1">
      <c r="B810" s="92"/>
      <c r="C810" s="92"/>
    </row>
    <row r="811" ht="14.25" customHeight="1">
      <c r="B811" s="92"/>
      <c r="C811" s="92"/>
    </row>
    <row r="812" ht="14.25" customHeight="1">
      <c r="B812" s="92"/>
      <c r="C812" s="92"/>
    </row>
    <row r="813" ht="14.25" customHeight="1">
      <c r="B813" s="92"/>
      <c r="C813" s="92"/>
    </row>
    <row r="814" ht="14.25" customHeight="1">
      <c r="B814" s="92"/>
      <c r="C814" s="92"/>
    </row>
    <row r="815" ht="14.25" customHeight="1">
      <c r="B815" s="92"/>
      <c r="C815" s="92"/>
    </row>
    <row r="816" ht="14.25" customHeight="1">
      <c r="B816" s="92"/>
      <c r="C816" s="92"/>
    </row>
    <row r="817" ht="14.25" customHeight="1">
      <c r="B817" s="92"/>
      <c r="C817" s="92"/>
    </row>
    <row r="818" ht="14.25" customHeight="1">
      <c r="B818" s="92"/>
      <c r="C818" s="92"/>
    </row>
    <row r="819" ht="14.25" customHeight="1">
      <c r="B819" s="92"/>
      <c r="C819" s="92"/>
    </row>
    <row r="820" ht="14.25" customHeight="1">
      <c r="B820" s="92"/>
      <c r="C820" s="92"/>
    </row>
    <row r="821" ht="14.25" customHeight="1">
      <c r="B821" s="92"/>
      <c r="C821" s="92"/>
    </row>
    <row r="822" ht="14.25" customHeight="1">
      <c r="B822" s="92"/>
      <c r="C822" s="92"/>
    </row>
    <row r="823" ht="14.25" customHeight="1">
      <c r="B823" s="92"/>
      <c r="C823" s="92"/>
    </row>
    <row r="824" ht="14.25" customHeight="1">
      <c r="B824" s="92"/>
      <c r="C824" s="92"/>
    </row>
    <row r="825" ht="14.25" customHeight="1">
      <c r="B825" s="92"/>
      <c r="C825" s="92"/>
    </row>
    <row r="826" ht="14.25" customHeight="1">
      <c r="B826" s="92"/>
      <c r="C826" s="92"/>
    </row>
    <row r="827" ht="14.25" customHeight="1">
      <c r="B827" s="92"/>
      <c r="C827" s="92"/>
    </row>
    <row r="828" ht="14.25" customHeight="1">
      <c r="B828" s="92"/>
      <c r="C828" s="92"/>
    </row>
    <row r="829" ht="14.25" customHeight="1">
      <c r="B829" s="92"/>
      <c r="C829" s="92"/>
    </row>
    <row r="830" ht="14.25" customHeight="1">
      <c r="B830" s="92"/>
      <c r="C830" s="92"/>
    </row>
    <row r="831" ht="14.25" customHeight="1">
      <c r="B831" s="92"/>
      <c r="C831" s="92"/>
    </row>
    <row r="832" ht="14.25" customHeight="1">
      <c r="B832" s="92"/>
      <c r="C832" s="92"/>
    </row>
    <row r="833" ht="14.25" customHeight="1">
      <c r="B833" s="92"/>
      <c r="C833" s="92"/>
    </row>
    <row r="834" ht="14.25" customHeight="1">
      <c r="B834" s="92"/>
      <c r="C834" s="92"/>
    </row>
    <row r="835" ht="14.25" customHeight="1">
      <c r="B835" s="92"/>
      <c r="C835" s="92"/>
    </row>
    <row r="836" ht="14.25" customHeight="1">
      <c r="B836" s="92"/>
      <c r="C836" s="92"/>
    </row>
    <row r="837" ht="14.25" customHeight="1">
      <c r="B837" s="92"/>
      <c r="C837" s="92"/>
    </row>
    <row r="838" ht="14.25" customHeight="1">
      <c r="B838" s="92"/>
      <c r="C838" s="92"/>
    </row>
    <row r="839" ht="14.25" customHeight="1">
      <c r="B839" s="92"/>
      <c r="C839" s="92"/>
    </row>
    <row r="840" ht="14.25" customHeight="1">
      <c r="B840" s="92"/>
      <c r="C840" s="92"/>
    </row>
    <row r="841" ht="14.25" customHeight="1">
      <c r="B841" s="92"/>
      <c r="C841" s="92"/>
    </row>
    <row r="842" ht="14.25" customHeight="1">
      <c r="B842" s="92"/>
      <c r="C842" s="92"/>
    </row>
    <row r="843" ht="14.25" customHeight="1">
      <c r="B843" s="92"/>
      <c r="C843" s="92"/>
    </row>
    <row r="844" ht="14.25" customHeight="1">
      <c r="B844" s="92"/>
      <c r="C844" s="92"/>
    </row>
    <row r="845" ht="14.25" customHeight="1">
      <c r="B845" s="92"/>
      <c r="C845" s="92"/>
    </row>
    <row r="846" ht="14.25" customHeight="1">
      <c r="B846" s="92"/>
      <c r="C846" s="92"/>
    </row>
    <row r="847" ht="14.25" customHeight="1">
      <c r="B847" s="92"/>
      <c r="C847" s="92"/>
    </row>
    <row r="848" ht="14.25" customHeight="1">
      <c r="B848" s="92"/>
      <c r="C848" s="92"/>
    </row>
    <row r="849" ht="14.25" customHeight="1">
      <c r="B849" s="92"/>
      <c r="C849" s="92"/>
    </row>
    <row r="850" ht="14.25" customHeight="1">
      <c r="B850" s="92"/>
      <c r="C850" s="92"/>
    </row>
    <row r="851" ht="14.25" customHeight="1">
      <c r="B851" s="92"/>
      <c r="C851" s="92"/>
    </row>
    <row r="852" ht="14.25" customHeight="1">
      <c r="B852" s="92"/>
      <c r="C852" s="92"/>
    </row>
    <row r="853" ht="14.25" customHeight="1">
      <c r="B853" s="92"/>
      <c r="C853" s="92"/>
    </row>
    <row r="854" ht="14.25" customHeight="1">
      <c r="B854" s="92"/>
      <c r="C854" s="92"/>
    </row>
    <row r="855" ht="14.25" customHeight="1">
      <c r="B855" s="92"/>
      <c r="C855" s="92"/>
    </row>
    <row r="856" ht="14.25" customHeight="1">
      <c r="B856" s="92"/>
      <c r="C856" s="92"/>
    </row>
    <row r="857" ht="14.25" customHeight="1">
      <c r="B857" s="92"/>
      <c r="C857" s="92"/>
    </row>
    <row r="858" ht="14.25" customHeight="1">
      <c r="B858" s="92"/>
      <c r="C858" s="92"/>
    </row>
    <row r="859" ht="14.25" customHeight="1">
      <c r="B859" s="92"/>
      <c r="C859" s="92"/>
    </row>
    <row r="860" ht="14.25" customHeight="1">
      <c r="B860" s="92"/>
      <c r="C860" s="92"/>
    </row>
    <row r="861" ht="14.25" customHeight="1">
      <c r="B861" s="92"/>
      <c r="C861" s="92"/>
    </row>
    <row r="862" ht="14.25" customHeight="1">
      <c r="B862" s="92"/>
      <c r="C862" s="92"/>
    </row>
    <row r="863" ht="14.25" customHeight="1">
      <c r="B863" s="92"/>
      <c r="C863" s="92"/>
    </row>
    <row r="864" ht="14.25" customHeight="1">
      <c r="B864" s="92"/>
      <c r="C864" s="92"/>
    </row>
    <row r="865" ht="14.25" customHeight="1">
      <c r="B865" s="92"/>
      <c r="C865" s="92"/>
    </row>
    <row r="866" ht="14.25" customHeight="1">
      <c r="B866" s="92"/>
      <c r="C866" s="92"/>
    </row>
    <row r="867" ht="14.25" customHeight="1">
      <c r="B867" s="92"/>
      <c r="C867" s="92"/>
    </row>
    <row r="868" ht="14.25" customHeight="1">
      <c r="B868" s="92"/>
      <c r="C868" s="92"/>
    </row>
    <row r="869" ht="14.25" customHeight="1">
      <c r="B869" s="92"/>
      <c r="C869" s="92"/>
    </row>
    <row r="870" ht="14.25" customHeight="1">
      <c r="B870" s="92"/>
      <c r="C870" s="92"/>
    </row>
    <row r="871" ht="14.25" customHeight="1">
      <c r="B871" s="92"/>
      <c r="C871" s="92"/>
    </row>
    <row r="872" ht="14.25" customHeight="1">
      <c r="B872" s="92"/>
      <c r="C872" s="92"/>
    </row>
    <row r="873" ht="14.25" customHeight="1">
      <c r="B873" s="92"/>
      <c r="C873" s="92"/>
    </row>
    <row r="874" ht="14.25" customHeight="1">
      <c r="B874" s="92"/>
      <c r="C874" s="92"/>
    </row>
    <row r="875" ht="14.25" customHeight="1">
      <c r="B875" s="92"/>
      <c r="C875" s="92"/>
    </row>
    <row r="876" ht="14.25" customHeight="1">
      <c r="B876" s="92"/>
      <c r="C876" s="92"/>
    </row>
    <row r="877" ht="14.25" customHeight="1">
      <c r="B877" s="92"/>
      <c r="C877" s="92"/>
    </row>
    <row r="878" ht="14.25" customHeight="1">
      <c r="B878" s="92"/>
      <c r="C878" s="92"/>
    </row>
    <row r="879" ht="14.25" customHeight="1">
      <c r="B879" s="92"/>
      <c r="C879" s="92"/>
    </row>
    <row r="880" ht="14.25" customHeight="1">
      <c r="B880" s="92"/>
      <c r="C880" s="92"/>
    </row>
    <row r="881" ht="14.25" customHeight="1">
      <c r="B881" s="92"/>
      <c r="C881" s="92"/>
    </row>
    <row r="882" ht="14.25" customHeight="1">
      <c r="B882" s="92"/>
      <c r="C882" s="92"/>
    </row>
    <row r="883" ht="14.25" customHeight="1">
      <c r="B883" s="92"/>
      <c r="C883" s="92"/>
    </row>
    <row r="884" ht="14.25" customHeight="1">
      <c r="B884" s="92"/>
      <c r="C884" s="92"/>
    </row>
    <row r="885" ht="14.25" customHeight="1">
      <c r="B885" s="92"/>
      <c r="C885" s="92"/>
    </row>
    <row r="886" ht="14.25" customHeight="1">
      <c r="B886" s="92"/>
      <c r="C886" s="92"/>
    </row>
    <row r="887" ht="14.25" customHeight="1">
      <c r="B887" s="92"/>
      <c r="C887" s="92"/>
    </row>
    <row r="888" ht="14.25" customHeight="1">
      <c r="B888" s="92"/>
      <c r="C888" s="92"/>
    </row>
    <row r="889" ht="14.25" customHeight="1">
      <c r="B889" s="92"/>
      <c r="C889" s="92"/>
    </row>
    <row r="890" ht="14.25" customHeight="1">
      <c r="B890" s="92"/>
      <c r="C890" s="92"/>
    </row>
    <row r="891" ht="14.25" customHeight="1">
      <c r="B891" s="92"/>
      <c r="C891" s="92"/>
    </row>
    <row r="892" ht="14.25" customHeight="1">
      <c r="B892" s="92"/>
      <c r="C892" s="92"/>
    </row>
    <row r="893" ht="14.25" customHeight="1">
      <c r="B893" s="92"/>
      <c r="C893" s="92"/>
    </row>
    <row r="894" ht="14.25" customHeight="1">
      <c r="B894" s="92"/>
      <c r="C894" s="92"/>
    </row>
    <row r="895" ht="14.25" customHeight="1">
      <c r="B895" s="92"/>
      <c r="C895" s="92"/>
    </row>
    <row r="896" ht="14.25" customHeight="1">
      <c r="B896" s="92"/>
      <c r="C896" s="92"/>
    </row>
    <row r="897" ht="14.25" customHeight="1">
      <c r="B897" s="92"/>
      <c r="C897" s="92"/>
    </row>
    <row r="898" ht="14.25" customHeight="1">
      <c r="B898" s="92"/>
      <c r="C898" s="92"/>
    </row>
    <row r="899" ht="14.25" customHeight="1">
      <c r="B899" s="92"/>
      <c r="C899" s="92"/>
    </row>
    <row r="900" ht="14.25" customHeight="1">
      <c r="B900" s="92"/>
      <c r="C900" s="92"/>
    </row>
    <row r="901" ht="14.25" customHeight="1">
      <c r="B901" s="92"/>
      <c r="C901" s="92"/>
    </row>
    <row r="902" ht="14.25" customHeight="1">
      <c r="B902" s="92"/>
      <c r="C902" s="92"/>
    </row>
    <row r="903" ht="14.25" customHeight="1">
      <c r="B903" s="92"/>
      <c r="C903" s="92"/>
    </row>
    <row r="904" ht="14.25" customHeight="1">
      <c r="B904" s="92"/>
      <c r="C904" s="92"/>
    </row>
    <row r="905" ht="14.25" customHeight="1">
      <c r="B905" s="92"/>
      <c r="C905" s="92"/>
    </row>
    <row r="906" ht="14.25" customHeight="1">
      <c r="B906" s="92"/>
      <c r="C906" s="92"/>
    </row>
    <row r="907" ht="14.25" customHeight="1">
      <c r="B907" s="92"/>
      <c r="C907" s="92"/>
    </row>
    <row r="908" ht="14.25" customHeight="1">
      <c r="B908" s="92"/>
      <c r="C908" s="92"/>
    </row>
    <row r="909" ht="14.25" customHeight="1">
      <c r="B909" s="92"/>
      <c r="C909" s="92"/>
    </row>
    <row r="910" ht="14.25" customHeight="1">
      <c r="B910" s="92"/>
      <c r="C910" s="92"/>
    </row>
    <row r="911" ht="14.25" customHeight="1">
      <c r="B911" s="92"/>
      <c r="C911" s="92"/>
    </row>
    <row r="912" ht="14.25" customHeight="1">
      <c r="B912" s="92"/>
      <c r="C912" s="92"/>
    </row>
    <row r="913" ht="14.25" customHeight="1">
      <c r="B913" s="92"/>
      <c r="C913" s="92"/>
    </row>
    <row r="914" ht="14.25" customHeight="1">
      <c r="B914" s="92"/>
      <c r="C914" s="92"/>
    </row>
    <row r="915" ht="14.25" customHeight="1">
      <c r="B915" s="92"/>
      <c r="C915" s="92"/>
    </row>
    <row r="916" ht="14.25" customHeight="1">
      <c r="B916" s="92"/>
      <c r="C916" s="92"/>
    </row>
    <row r="917" ht="14.25" customHeight="1">
      <c r="B917" s="92"/>
      <c r="C917" s="92"/>
    </row>
    <row r="918" ht="14.25" customHeight="1">
      <c r="B918" s="92"/>
      <c r="C918" s="92"/>
    </row>
    <row r="919" ht="14.25" customHeight="1">
      <c r="B919" s="92"/>
      <c r="C919" s="92"/>
    </row>
    <row r="920" ht="14.25" customHeight="1">
      <c r="B920" s="92"/>
      <c r="C920" s="92"/>
    </row>
    <row r="921" ht="14.25" customHeight="1">
      <c r="B921" s="92"/>
      <c r="C921" s="92"/>
    </row>
    <row r="922" ht="14.25" customHeight="1">
      <c r="B922" s="92"/>
      <c r="C922" s="92"/>
    </row>
    <row r="923" ht="14.25" customHeight="1">
      <c r="B923" s="92"/>
      <c r="C923" s="92"/>
    </row>
    <row r="924" ht="14.25" customHeight="1">
      <c r="B924" s="92"/>
      <c r="C924" s="92"/>
    </row>
    <row r="925" ht="14.25" customHeight="1">
      <c r="B925" s="92"/>
      <c r="C925" s="92"/>
    </row>
    <row r="926" ht="14.25" customHeight="1">
      <c r="B926" s="92"/>
      <c r="C926" s="92"/>
    </row>
    <row r="927" ht="14.25" customHeight="1">
      <c r="B927" s="92"/>
      <c r="C927" s="92"/>
    </row>
    <row r="928" ht="14.25" customHeight="1">
      <c r="B928" s="92"/>
      <c r="C928" s="92"/>
    </row>
    <row r="929" ht="14.25" customHeight="1">
      <c r="B929" s="92"/>
      <c r="C929" s="92"/>
    </row>
    <row r="930" ht="14.25" customHeight="1">
      <c r="B930" s="92"/>
      <c r="C930" s="92"/>
    </row>
    <row r="931" ht="14.25" customHeight="1">
      <c r="B931" s="92"/>
      <c r="C931" s="92"/>
    </row>
    <row r="932" ht="14.25" customHeight="1">
      <c r="B932" s="92"/>
      <c r="C932" s="92"/>
    </row>
    <row r="933" ht="14.25" customHeight="1">
      <c r="B933" s="92"/>
      <c r="C933" s="92"/>
    </row>
    <row r="934" ht="14.25" customHeight="1">
      <c r="B934" s="92"/>
      <c r="C934" s="92"/>
    </row>
    <row r="935" ht="14.25" customHeight="1">
      <c r="B935" s="92"/>
      <c r="C935" s="92"/>
    </row>
    <row r="936" ht="14.25" customHeight="1">
      <c r="B936" s="92"/>
      <c r="C936" s="92"/>
    </row>
    <row r="937" ht="14.25" customHeight="1">
      <c r="B937" s="92"/>
      <c r="C937" s="92"/>
    </row>
    <row r="938" ht="14.25" customHeight="1">
      <c r="B938" s="92"/>
      <c r="C938" s="92"/>
    </row>
    <row r="939" ht="14.25" customHeight="1">
      <c r="B939" s="92"/>
      <c r="C939" s="92"/>
    </row>
    <row r="940" ht="14.25" customHeight="1">
      <c r="B940" s="92"/>
      <c r="C940" s="92"/>
    </row>
    <row r="941" ht="14.25" customHeight="1">
      <c r="B941" s="92"/>
      <c r="C941" s="92"/>
    </row>
    <row r="942" ht="14.25" customHeight="1">
      <c r="B942" s="92"/>
      <c r="C942" s="92"/>
    </row>
    <row r="943" ht="14.25" customHeight="1">
      <c r="B943" s="92"/>
      <c r="C943" s="92"/>
    </row>
    <row r="944" ht="14.25" customHeight="1">
      <c r="B944" s="92"/>
      <c r="C944" s="92"/>
    </row>
    <row r="945" ht="14.25" customHeight="1">
      <c r="B945" s="92"/>
      <c r="C945" s="92"/>
    </row>
    <row r="946" ht="14.25" customHeight="1">
      <c r="B946" s="92"/>
      <c r="C946" s="92"/>
    </row>
    <row r="947" ht="14.25" customHeight="1">
      <c r="B947" s="92"/>
      <c r="C947" s="92"/>
    </row>
    <row r="948" ht="14.25" customHeight="1">
      <c r="B948" s="92"/>
      <c r="C948" s="92"/>
    </row>
    <row r="949" ht="14.25" customHeight="1">
      <c r="B949" s="92"/>
      <c r="C949" s="92"/>
    </row>
    <row r="950" ht="14.25" customHeight="1">
      <c r="B950" s="92"/>
      <c r="C950" s="92"/>
    </row>
    <row r="951" ht="14.25" customHeight="1">
      <c r="B951" s="92"/>
      <c r="C951" s="92"/>
    </row>
    <row r="952" ht="14.25" customHeight="1">
      <c r="B952" s="92"/>
      <c r="C952" s="92"/>
    </row>
    <row r="953" ht="14.25" customHeight="1">
      <c r="B953" s="92"/>
      <c r="C953" s="92"/>
    </row>
    <row r="954" ht="14.25" customHeight="1">
      <c r="B954" s="92"/>
      <c r="C954" s="92"/>
    </row>
    <row r="955" ht="14.25" customHeight="1">
      <c r="B955" s="92"/>
      <c r="C955" s="92"/>
    </row>
    <row r="956" ht="14.25" customHeight="1">
      <c r="B956" s="92"/>
      <c r="C956" s="92"/>
    </row>
    <row r="957" ht="14.25" customHeight="1">
      <c r="B957" s="92"/>
      <c r="C957" s="92"/>
    </row>
    <row r="958" ht="14.25" customHeight="1">
      <c r="B958" s="92"/>
      <c r="C958" s="92"/>
    </row>
    <row r="959" ht="14.25" customHeight="1">
      <c r="B959" s="92"/>
      <c r="C959" s="92"/>
    </row>
    <row r="960" ht="14.25" customHeight="1">
      <c r="B960" s="92"/>
      <c r="C960" s="92"/>
    </row>
    <row r="961" ht="14.25" customHeight="1">
      <c r="B961" s="92"/>
      <c r="C961" s="92"/>
    </row>
    <row r="962" ht="14.25" customHeight="1">
      <c r="B962" s="92"/>
      <c r="C962" s="92"/>
    </row>
    <row r="963" ht="14.25" customHeight="1">
      <c r="B963" s="92"/>
      <c r="C963" s="92"/>
    </row>
    <row r="964" ht="14.25" customHeight="1">
      <c r="B964" s="92"/>
      <c r="C964" s="92"/>
    </row>
    <row r="965" ht="14.25" customHeight="1">
      <c r="B965" s="92"/>
      <c r="C965" s="92"/>
    </row>
    <row r="966" ht="14.25" customHeight="1">
      <c r="B966" s="92"/>
      <c r="C966" s="92"/>
    </row>
    <row r="967" ht="14.25" customHeight="1">
      <c r="B967" s="92"/>
      <c r="C967" s="92"/>
    </row>
    <row r="968" ht="14.25" customHeight="1">
      <c r="B968" s="92"/>
      <c r="C968" s="92"/>
    </row>
    <row r="969" ht="14.25" customHeight="1">
      <c r="B969" s="92"/>
      <c r="C969" s="92"/>
    </row>
    <row r="970" ht="14.25" customHeight="1">
      <c r="B970" s="92"/>
      <c r="C970" s="92"/>
    </row>
    <row r="971" ht="14.25" customHeight="1">
      <c r="B971" s="92"/>
      <c r="C971" s="92"/>
    </row>
    <row r="972" ht="14.25" customHeight="1">
      <c r="B972" s="92"/>
      <c r="C972" s="92"/>
    </row>
    <row r="973" ht="14.25" customHeight="1">
      <c r="B973" s="92"/>
      <c r="C973" s="92"/>
    </row>
    <row r="974" ht="14.25" customHeight="1">
      <c r="B974" s="92"/>
      <c r="C974" s="92"/>
    </row>
    <row r="975" ht="14.25" customHeight="1">
      <c r="B975" s="92"/>
      <c r="C975" s="92"/>
    </row>
    <row r="976" ht="14.25" customHeight="1">
      <c r="B976" s="92"/>
      <c r="C976" s="92"/>
    </row>
    <row r="977" ht="14.25" customHeight="1">
      <c r="B977" s="92"/>
      <c r="C977" s="92"/>
    </row>
    <row r="978" ht="14.25" customHeight="1">
      <c r="B978" s="92"/>
      <c r="C978" s="92"/>
    </row>
    <row r="979" ht="14.25" customHeight="1">
      <c r="B979" s="92"/>
      <c r="C979" s="92"/>
    </row>
    <row r="980" ht="14.25" customHeight="1">
      <c r="B980" s="92"/>
      <c r="C980" s="92"/>
    </row>
    <row r="981" ht="14.25" customHeight="1">
      <c r="B981" s="92"/>
      <c r="C981" s="92"/>
    </row>
    <row r="982" ht="14.25" customHeight="1">
      <c r="B982" s="92"/>
      <c r="C982" s="92"/>
    </row>
    <row r="983" ht="14.25" customHeight="1">
      <c r="B983" s="92"/>
      <c r="C983" s="92"/>
    </row>
    <row r="984" ht="14.25" customHeight="1">
      <c r="B984" s="92"/>
      <c r="C984" s="92"/>
    </row>
    <row r="985" ht="14.25" customHeight="1">
      <c r="B985" s="92"/>
      <c r="C985" s="92"/>
    </row>
    <row r="986" ht="14.25" customHeight="1">
      <c r="B986" s="92"/>
      <c r="C986" s="92"/>
    </row>
    <row r="987" ht="14.25" customHeight="1">
      <c r="B987" s="92"/>
      <c r="C987" s="92"/>
    </row>
    <row r="988" ht="14.25" customHeight="1">
      <c r="B988" s="92"/>
      <c r="C988" s="92"/>
    </row>
    <row r="989" ht="14.25" customHeight="1">
      <c r="B989" s="92"/>
      <c r="C989" s="92"/>
    </row>
    <row r="990" ht="14.25" customHeight="1">
      <c r="B990" s="92"/>
      <c r="C990" s="92"/>
    </row>
    <row r="991" ht="14.25" customHeight="1">
      <c r="B991" s="92"/>
      <c r="C991" s="92"/>
    </row>
    <row r="992" ht="14.25" customHeight="1">
      <c r="B992" s="92"/>
      <c r="C992" s="92"/>
    </row>
    <row r="993" ht="14.25" customHeight="1">
      <c r="B993" s="92"/>
      <c r="C993" s="92"/>
    </row>
    <row r="994" ht="14.25" customHeight="1">
      <c r="B994" s="92"/>
      <c r="C994" s="92"/>
    </row>
    <row r="995" ht="14.25" customHeight="1">
      <c r="B995" s="92"/>
      <c r="C995" s="92"/>
    </row>
    <row r="996" ht="14.25" customHeight="1">
      <c r="B996" s="92"/>
      <c r="C996" s="92"/>
    </row>
    <row r="997" ht="14.25" customHeight="1">
      <c r="B997" s="92"/>
      <c r="C997" s="92"/>
    </row>
    <row r="998" ht="14.25" customHeight="1">
      <c r="B998" s="92"/>
      <c r="C998" s="92"/>
    </row>
    <row r="999" ht="14.25" customHeight="1">
      <c r="B999" s="92"/>
      <c r="C999" s="92"/>
    </row>
    <row r="1000" ht="14.25" customHeight="1">
      <c r="B1000" s="92"/>
      <c r="C1000" s="92"/>
    </row>
  </sheetData>
  <printOptions/>
  <pageMargins bottom="0.75" footer="0.0" header="0.0" left="0.7" right="0.7" top="0.75"/>
  <pageSetup orientation="landscape"/>
  <drawing r:id="rId1"/>
</worksheet>
</file>