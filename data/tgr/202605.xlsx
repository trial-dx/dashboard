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【提出用】5月度TGR全体PL※編集不要" sheetId="1" r:id="rId5"/>
    <sheet state="visible" name="5月度　対予算（旅館）" sheetId="2" r:id="rId6"/>
    <sheet state="visible" name="5月度　対見込み（旅館）" sheetId="3" r:id="rId7"/>
    <sheet state="visible" name="5月度　対見込み（ゴルフ）" sheetId="4" r:id="rId8"/>
    <sheet state="visible" name="5月度　対予算（ゴルフ）" sheetId="5" r:id="rId9"/>
    <sheet state="hidden" name="当月定例会最終版（ゴルフ）" sheetId="6" r:id="rId10"/>
    <sheet state="hidden" name="当月定例会最終版（旅館）" sheetId="7" r:id="rId11"/>
    <sheet state="hidden" name="旅館PL" sheetId="8" r:id="rId12"/>
  </sheets>
  <definedNames>
    <definedName name="TemptableForExport">#REF!</definedName>
    <definedName hidden="1" localSheetId="7" name="_xlnm._FilterDatabase">'旅館PL'!$B$2:$AN$358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9">
      <text>
        <t xml:space="preserve">TGRO･TGRAのインフォマート導入費用100千円×2を旅館とゴルフで按分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6">
      <text>
        <t xml:space="preserve">No.9橋脚償却費増加
→6月見込み数値更新済
</t>
      </text>
    </comment>
    <comment authorId="0" ref="E98">
      <text>
        <t xml:space="preserve">コース管理確認</t>
      </text>
    </comment>
    <comment authorId="0" ref="D64">
      <text>
        <t xml:space="preserve">3月遅れ請求書
254,923円
</t>
      </text>
    </comment>
    <comment authorId="0" ref="G130">
      <text>
        <t xml:space="preserve">4月遅れ請求書
1,376,500円
配点による人件費変動
+40万円
配点にかかる費用
+50万円
</t>
      </text>
    </comment>
    <comment authorId="0" ref="D126">
      <text>
        <t xml:space="preserve">3月･4月遅れ請求書
155,338円
</t>
      </text>
    </comment>
    <comment authorId="0" ref="D76">
      <text>
        <t xml:space="preserve">見込み更新漏れ</t>
      </text>
    </comment>
    <comment authorId="0" ref="D74">
      <text>
        <t xml:space="preserve">備品購入
見込更新漏れ
</t>
      </text>
    </comment>
    <comment authorId="0" ref="D25">
      <text>
        <t xml:space="preserve">確認中</t>
      </text>
    </comment>
    <comment authorId="0" ref="D40">
      <text>
        <t xml:space="preserve">確認中
</t>
      </text>
    </comment>
    <comment authorId="0" ref="D88">
      <text>
        <t xml:space="preserve">確認中</t>
      </text>
    </comment>
    <comment authorId="0" ref="F25">
      <text>
        <t xml:space="preserve">食事売上の見込み誤り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6">
      <text>
        <t xml:space="preserve">No.9橋脚償却費増加
→6月見込み数値更新済
</t>
      </text>
    </comment>
    <comment authorId="0" ref="E98">
      <text>
        <t xml:space="preserve">コース管理確認</t>
      </text>
    </comment>
    <comment authorId="0" ref="D64">
      <text>
        <t xml:space="preserve">3月遅れ請求書
254,923円
</t>
      </text>
    </comment>
    <comment authorId="0" ref="G130">
      <text>
        <t xml:space="preserve">4月遅れ請求書
1,376,500円
配点による人件費変動
+40万円
配点にかかる費用
+50万円
</t>
      </text>
    </comment>
    <comment authorId="0" ref="D126">
      <text>
        <t xml:space="preserve">3月･4月遅れ請求書
155,338円
</t>
      </text>
    </comment>
    <comment authorId="0" ref="D76">
      <text>
        <t xml:space="preserve">見込み更新漏れ</t>
      </text>
    </comment>
    <comment authorId="0" ref="D74">
      <text>
        <t xml:space="preserve">備品購入
見込更新漏れ
</t>
      </text>
    </comment>
    <comment authorId="0" ref="D25">
      <text>
        <t xml:space="preserve">確認中</t>
      </text>
    </comment>
    <comment authorId="0" ref="D40">
      <text>
        <t xml:space="preserve">確認中
</t>
      </text>
    </comment>
    <comment authorId="0" ref="D88">
      <text>
        <t xml:space="preserve">確認中</t>
      </text>
    </comment>
    <comment authorId="0" ref="F25">
      <text>
        <t xml:space="preserve">食事売上の見込み誤り
</t>
      </text>
    </comment>
  </commentList>
</comments>
</file>

<file path=xl/sharedStrings.xml><?xml version="1.0" encoding="utf-8"?>
<sst xmlns="http://schemas.openxmlformats.org/spreadsheetml/2006/main" count="1521" uniqueCount="380">
  <si>
    <t>2026.5月度（速報）</t>
  </si>
  <si>
    <t xml:space="preserve">九重久織亭		</t>
  </si>
  <si>
    <t>九重虎の湯</t>
  </si>
  <si>
    <t>宮若虎の湯</t>
  </si>
  <si>
    <t>小塚久の葉</t>
  </si>
  <si>
    <t>仙石原久の葉</t>
  </si>
  <si>
    <t>古民家煉り</t>
  </si>
  <si>
    <t>九重PJ</t>
  </si>
  <si>
    <t>Tsmart</t>
  </si>
  <si>
    <t>旅館事業合計</t>
  </si>
  <si>
    <t>本社旅館</t>
  </si>
  <si>
    <t>若宮コース</t>
  </si>
  <si>
    <t>大分コース</t>
  </si>
  <si>
    <t>阿蘇コース</t>
  </si>
  <si>
    <t>ゴルフ事業合計</t>
  </si>
  <si>
    <t>本社ゴルフ</t>
  </si>
  <si>
    <t>TGR全体</t>
  </si>
  <si>
    <t>メンバー</t>
  </si>
  <si>
    <t>ビジター</t>
  </si>
  <si>
    <t>来場者数計</t>
  </si>
  <si>
    <t>販売客室数</t>
  </si>
  <si>
    <t>客室稼働率</t>
  </si>
  <si>
    <t>ADR（円）</t>
  </si>
  <si>
    <t>RevPAR（円）</t>
  </si>
  <si>
    <t>売上高合計</t>
  </si>
  <si>
    <t>売上原価</t>
  </si>
  <si>
    <t>原価率</t>
  </si>
  <si>
    <t>売上総利益</t>
  </si>
  <si>
    <t>人件費</t>
  </si>
  <si>
    <t>運営費</t>
  </si>
  <si>
    <t>固定費</t>
  </si>
  <si>
    <t>本部費</t>
  </si>
  <si>
    <t>販売管理費</t>
  </si>
  <si>
    <t>営業利益</t>
  </si>
  <si>
    <t>利益率</t>
  </si>
  <si>
    <t>減価償却費</t>
  </si>
  <si>
    <t>EBITDA</t>
  </si>
  <si>
    <t>飲食売上高</t>
  </si>
  <si>
    <t>旅館売上高</t>
  </si>
  <si>
    <t>売店売上高</t>
  </si>
  <si>
    <t>予算</t>
  </si>
  <si>
    <t>実績</t>
  </si>
  <si>
    <t>役員報酬</t>
  </si>
  <si>
    <t>給与手当</t>
  </si>
  <si>
    <t>雑給</t>
  </si>
  <si>
    <t>出向人件費</t>
  </si>
  <si>
    <t>見込み</t>
  </si>
  <si>
    <t>賞与引当金繰入</t>
  </si>
  <si>
    <t>法定福利費</t>
  </si>
  <si>
    <t>福利厚生費</t>
  </si>
  <si>
    <t>派遣外注費</t>
  </si>
  <si>
    <t>委託外注費</t>
  </si>
  <si>
    <t>清掃費（外注）</t>
  </si>
  <si>
    <t>業務委託費</t>
  </si>
  <si>
    <t>顧問料</t>
  </si>
  <si>
    <t>広告宣伝費</t>
  </si>
  <si>
    <t>販売促進費</t>
  </si>
  <si>
    <t>送客手数料</t>
  </si>
  <si>
    <t>送客手数料（旅行会社）</t>
  </si>
  <si>
    <t>クレジット手数料</t>
  </si>
  <si>
    <t>水道光熱費</t>
  </si>
  <si>
    <t>修繕引当金繰入</t>
  </si>
  <si>
    <t>修繕費</t>
  </si>
  <si>
    <t>特別修繕引当金繰入</t>
  </si>
  <si>
    <t>備品消耗品費</t>
  </si>
  <si>
    <t>客用消耗品費</t>
  </si>
  <si>
    <t>クリーニング費</t>
  </si>
  <si>
    <t>荷造運賃</t>
  </si>
  <si>
    <t>接待交際費</t>
  </si>
  <si>
    <t>通信費</t>
  </si>
  <si>
    <t>租税公課</t>
  </si>
  <si>
    <t>車両費</t>
  </si>
  <si>
    <t>旅費交通費</t>
  </si>
  <si>
    <t>保険料</t>
  </si>
  <si>
    <t>清掃費</t>
  </si>
  <si>
    <t>事務用品費</t>
  </si>
  <si>
    <t>温泉使用料</t>
  </si>
  <si>
    <t>支払手数料</t>
  </si>
  <si>
    <t>採用費</t>
  </si>
  <si>
    <t>教育費</t>
  </si>
  <si>
    <t>雑費</t>
  </si>
  <si>
    <t>寄付金</t>
  </si>
  <si>
    <t>地代家賃</t>
  </si>
  <si>
    <t>リース料</t>
  </si>
  <si>
    <t>システム利用料</t>
  </si>
  <si>
    <t>保守管理費</t>
  </si>
  <si>
    <t>諸会費</t>
  </si>
  <si>
    <t>営業利益（見込み）</t>
  </si>
  <si>
    <t>予算比</t>
  </si>
  <si>
    <t>本部費の端数は宮若虎の湯で調整</t>
  </si>
  <si>
    <t>営業利益（予算）</t>
  </si>
  <si>
    <t>人時</t>
  </si>
  <si>
    <t>従業員</t>
  </si>
  <si>
    <t>正社員</t>
  </si>
  <si>
    <t>AS</t>
  </si>
  <si>
    <t>タイミー</t>
  </si>
  <si>
    <t>来場客数</t>
  </si>
  <si>
    <t>来場組数</t>
  </si>
  <si>
    <t>稼働率</t>
  </si>
  <si>
    <t>客単価</t>
  </si>
  <si>
    <t>平均バッグ数</t>
  </si>
  <si>
    <t>レストラン売上高</t>
  </si>
  <si>
    <t>ゴルフ売上高</t>
  </si>
  <si>
    <t>宿泊売上高</t>
  </si>
  <si>
    <t>その他売上</t>
  </si>
  <si>
    <t>キャンセル料</t>
  </si>
  <si>
    <t>レストラン原価</t>
  </si>
  <si>
    <t>売店原価</t>
  </si>
  <si>
    <t>外注費</t>
  </si>
  <si>
    <t>新聞図書費</t>
  </si>
  <si>
    <t>コース管理費</t>
  </si>
  <si>
    <t>カート管理費</t>
  </si>
  <si>
    <t>会議費</t>
  </si>
  <si>
    <t>寄附金</t>
  </si>
  <si>
    <t>繰延資産償却</t>
  </si>
  <si>
    <t>本部費の端数は若宮で調整</t>
  </si>
  <si>
    <t>見込み比</t>
  </si>
  <si>
    <t>オレンジ部分を値貼り付け</t>
  </si>
  <si>
    <t>WAKAMIYA</t>
  </si>
  <si>
    <t>OITA</t>
  </si>
  <si>
    <t>ASO</t>
  </si>
  <si>
    <t>ASO_ゴルフ</t>
  </si>
  <si>
    <t>ASO_ホテル</t>
  </si>
  <si>
    <t>合計</t>
  </si>
  <si>
    <t>予約</t>
  </si>
  <si>
    <t>予約進捗率</t>
  </si>
  <si>
    <t>見込予算比</t>
  </si>
  <si>
    <t>昨年実績</t>
  </si>
  <si>
    <t>昨対比</t>
  </si>
  <si>
    <t>乗入フィー売上</t>
  </si>
  <si>
    <t>乗入組数</t>
  </si>
  <si>
    <t>乗入人数</t>
  </si>
  <si>
    <t>乗入率</t>
  </si>
  <si>
    <t>見込み単価</t>
  </si>
  <si>
    <t>プレー売上</t>
  </si>
  <si>
    <t>食割合（期中累計）</t>
  </si>
  <si>
    <t>食材原価</t>
  </si>
  <si>
    <t xml:space="preserve">　原価率（3月実績）</t>
  </si>
  <si>
    <t>ゴルフ</t>
  </si>
  <si>
    <t>ホテル</t>
  </si>
  <si>
    <t>レストラン</t>
  </si>
  <si>
    <t>施設延床面積</t>
  </si>
  <si>
    <t>サニクリーン九州（ゴキブリ防除等）</t>
  </si>
  <si>
    <t>サニクリーン九州（吸水吸塵マット等）</t>
  </si>
  <si>
    <t>ジャパンエレベータサービス九州（昇降機保守点検）</t>
  </si>
  <si>
    <t>アルメックス（保守料）</t>
  </si>
  <si>
    <t>アサヒファシリティズ（空気環境測定等）</t>
  </si>
  <si>
    <t>エース工機（清掃業務）</t>
  </si>
  <si>
    <t>エース工機（グリスフィルタレンタル）</t>
  </si>
  <si>
    <t>日本カルミック</t>
  </si>
  <si>
    <t>上村商会（産廃業者）</t>
  </si>
  <si>
    <t>上村商会（浄化槽点検）</t>
  </si>
  <si>
    <t>同仁グローカル（レジオネラ検査）</t>
  </si>
  <si>
    <t>同仁グローカル（農薬分析）</t>
  </si>
  <si>
    <t>ALSOK（機械警備）</t>
  </si>
  <si>
    <t>九州電気保安協会</t>
  </si>
  <si>
    <t>消防用設備保守管理</t>
  </si>
  <si>
    <t>ガラス清掃</t>
  </si>
  <si>
    <t>レストラン衛生検査</t>
  </si>
  <si>
    <t>浄化槽汚泥抜き取り検査</t>
  </si>
  <si>
    <t>浴槽水質検査</t>
  </si>
  <si>
    <t>浄化槽法定点検</t>
  </si>
  <si>
    <t>貯湯槽洗浄</t>
  </si>
  <si>
    <t>ブランコ保守</t>
  </si>
  <si>
    <t>その他経費</t>
  </si>
  <si>
    <t>販管費合計</t>
  </si>
  <si>
    <t>営業利益（見込）</t>
  </si>
  <si>
    <t>営業利益（見込4.5）</t>
  </si>
  <si>
    <t>営業利益（前期実績）</t>
  </si>
  <si>
    <t>全て値貼り付け</t>
  </si>
  <si>
    <t>九重久織亭</t>
  </si>
  <si>
    <t xml:space="preserve">九重虎乃湯 </t>
  </si>
  <si>
    <t>食割合（予約実績）</t>
  </si>
  <si>
    <t xml:space="preserve">　原価率</t>
  </si>
  <si>
    <t>●追加経費</t>
  </si>
  <si>
    <t>営業利益（昨年）</t>
  </si>
  <si>
    <t>→</t>
  </si>
  <si>
    <t>対象期間: 2026-05-01 - 2026-05-31</t>
  </si>
  <si>
    <t>勘定科目</t>
  </si>
  <si>
    <t>補助科目</t>
  </si>
  <si>
    <t>九重</t>
  </si>
  <si>
    <t>箱根</t>
  </si>
  <si>
    <t>若宮</t>
  </si>
  <si>
    <t>本社</t>
  </si>
  <si>
    <t>九重料匠虎白</t>
  </si>
  <si>
    <t>九重虎乃湯</t>
  </si>
  <si>
    <t>九重こはく食堂</t>
  </si>
  <si>
    <t>共通費</t>
  </si>
  <si>
    <t>仙石原久の葉（箱根久織亭）</t>
  </si>
  <si>
    <t>小塚久の葉（仙石原虎乃湯）</t>
  </si>
  <si>
    <t>仙石原こはく食堂</t>
  </si>
  <si>
    <t>【食】仙石原久の葉（箱根久織亭）</t>
  </si>
  <si>
    <t>芦ノ湖虎乃湯</t>
  </si>
  <si>
    <t>宮若buffet</t>
  </si>
  <si>
    <t>Tメゾン脇田</t>
  </si>
  <si>
    <t>売上高</t>
  </si>
  <si>
    <t>料匠虎白</t>
  </si>
  <si>
    <t>こはく食堂</t>
  </si>
  <si>
    <t>buffetKOHAKU</t>
  </si>
  <si>
    <t>補助科目なし</t>
  </si>
  <si>
    <t>送迎代</t>
  </si>
  <si>
    <t>売上値引・返品</t>
  </si>
  <si>
    <t>バースデー券利用</t>
  </si>
  <si>
    <t>HOT PRICE</t>
  </si>
  <si>
    <t>ゴルフ事業収入</t>
  </si>
  <si>
    <t>レストラン収入</t>
  </si>
  <si>
    <t>茶店収入</t>
  </si>
  <si>
    <t>ショップ売上</t>
  </si>
  <si>
    <t>ショップ売上（軽減8％）</t>
  </si>
  <si>
    <t>その他</t>
  </si>
  <si>
    <t>期首棚卸高</t>
  </si>
  <si>
    <t>飲食仕入高</t>
  </si>
  <si>
    <t>売店仕入高</t>
  </si>
  <si>
    <t>当期商品仕入高</t>
  </si>
  <si>
    <t>当期商品仕入高（軽減8％）</t>
  </si>
  <si>
    <t>期末棚卸高</t>
  </si>
  <si>
    <t>売上原価合計</t>
  </si>
  <si>
    <t>販売費及び一般管理費</t>
  </si>
  <si>
    <t>サンハイツJ棟</t>
  </si>
  <si>
    <t>パームコート206</t>
  </si>
  <si>
    <t>ロワールイン赤間202</t>
  </si>
  <si>
    <t>プラウド仙石原207</t>
  </si>
  <si>
    <t>アビターレ107</t>
  </si>
  <si>
    <t>制服</t>
  </si>
  <si>
    <t>グッドマンサービス</t>
  </si>
  <si>
    <t>マトリクス・エスディ</t>
  </si>
  <si>
    <t>Timee</t>
  </si>
  <si>
    <t>AFO</t>
  </si>
  <si>
    <t>リミ</t>
  </si>
  <si>
    <t>RMS</t>
  </si>
  <si>
    <t>PFJ顧問料</t>
  </si>
  <si>
    <t>柴田弁護士</t>
  </si>
  <si>
    <t>松尾愼祐弁護士</t>
  </si>
  <si>
    <t>内田・阿部法律事務所</t>
  </si>
  <si>
    <t>トライアルホールディングス</t>
  </si>
  <si>
    <t>趙ハンナ</t>
  </si>
  <si>
    <t>富士桜</t>
  </si>
  <si>
    <t>こはく本舗</t>
  </si>
  <si>
    <t>給与</t>
  </si>
  <si>
    <t>楽天</t>
  </si>
  <si>
    <t>ブランジスタ</t>
  </si>
  <si>
    <t>じゃらん</t>
  </si>
  <si>
    <t>宿クーポン</t>
  </si>
  <si>
    <t>一休</t>
  </si>
  <si>
    <t>他勘定振替</t>
  </si>
  <si>
    <t>ブッキング</t>
  </si>
  <si>
    <t>ﾀﾞｲﾚｸﾄｲﾝpaypay決済</t>
  </si>
  <si>
    <t>ﾘｸﾙｰﾄ事前決済</t>
  </si>
  <si>
    <t>ダイナテック</t>
  </si>
  <si>
    <t>JTBBook＆Pay</t>
  </si>
  <si>
    <t>リラックス</t>
  </si>
  <si>
    <t>agoda</t>
  </si>
  <si>
    <t>Trip.com</t>
  </si>
  <si>
    <t>GDO</t>
  </si>
  <si>
    <t>楽天GORA</t>
  </si>
  <si>
    <t>Bookinng.com</t>
  </si>
  <si>
    <t>トライアルツアーズ</t>
  </si>
  <si>
    <t xml:space="preserve">JCB </t>
  </si>
  <si>
    <t>VISA</t>
  </si>
  <si>
    <t>MUFG</t>
  </si>
  <si>
    <t>PayPay</t>
  </si>
  <si>
    <t>auPay</t>
  </si>
  <si>
    <t>d払い</t>
  </si>
  <si>
    <t>寺岡精工</t>
  </si>
  <si>
    <t>Omni/システムギア</t>
  </si>
  <si>
    <t>Tripla</t>
  </si>
  <si>
    <t>水道代</t>
  </si>
  <si>
    <t>電気代</t>
  </si>
  <si>
    <t>ガス代</t>
  </si>
  <si>
    <t>灯油代</t>
  </si>
  <si>
    <t>小山</t>
  </si>
  <si>
    <t>白洋舎</t>
  </si>
  <si>
    <t>NTTファイナンス</t>
  </si>
  <si>
    <t>NTTドコモ</t>
  </si>
  <si>
    <t>ソフトバンク</t>
  </si>
  <si>
    <t>アスパイアメディア</t>
  </si>
  <si>
    <t>インボイス</t>
  </si>
  <si>
    <t>合同会社サーバー</t>
  </si>
  <si>
    <t>USEN</t>
  </si>
  <si>
    <t>スマートビリングサービス</t>
  </si>
  <si>
    <t>JCOM</t>
  </si>
  <si>
    <t>ベネフィット・ワン</t>
  </si>
  <si>
    <t>NHK</t>
  </si>
  <si>
    <t>CANVA</t>
  </si>
  <si>
    <t>切手・レターパック等</t>
  </si>
  <si>
    <t>固定資産税</t>
  </si>
  <si>
    <t>ガソリン代</t>
  </si>
  <si>
    <t>通勤手当</t>
  </si>
  <si>
    <t>交通費等</t>
  </si>
  <si>
    <t>髙山不動産</t>
  </si>
  <si>
    <t>箱根美掃</t>
  </si>
  <si>
    <t>セーフティ</t>
  </si>
  <si>
    <t>SANｰKEI</t>
  </si>
  <si>
    <t>ゼオライト</t>
  </si>
  <si>
    <t>アイリスオーヤマ</t>
  </si>
  <si>
    <t>振込手数料</t>
  </si>
  <si>
    <t>トライアルカンパニー</t>
  </si>
  <si>
    <t>国有地</t>
  </si>
  <si>
    <t>民有地</t>
  </si>
  <si>
    <t>大分リース</t>
  </si>
  <si>
    <t xml:space="preserve">肥銀リース　</t>
  </si>
  <si>
    <t>三井住友FL</t>
  </si>
  <si>
    <t>MHF)B-ﾊﾟ-ﾄﾅ-</t>
  </si>
  <si>
    <t>サニクリーン</t>
  </si>
  <si>
    <t>ダスキン</t>
  </si>
  <si>
    <t>アイシグリーンシステム</t>
  </si>
  <si>
    <t>オリックス　電気設備監視システム</t>
  </si>
  <si>
    <t>にしけい　AEDレンタル</t>
  </si>
  <si>
    <t>NTTTCリース</t>
  </si>
  <si>
    <t>JRFGリース</t>
  </si>
  <si>
    <t>クボタ産業　レストラン食器リース</t>
  </si>
  <si>
    <t>手間いらず</t>
  </si>
  <si>
    <t>マネーフォワード</t>
  </si>
  <si>
    <t>ネットバンキング</t>
  </si>
  <si>
    <t>構造計画研究所</t>
  </si>
  <si>
    <t>アドネット九州</t>
  </si>
  <si>
    <t>福岡銀行ビジネスバンキング</t>
  </si>
  <si>
    <t>テラオカ</t>
  </si>
  <si>
    <t>aipass</t>
  </si>
  <si>
    <t>バリューゴルフ㈱</t>
  </si>
  <si>
    <t>Okage株式会社</t>
  </si>
  <si>
    <t>インフォマート</t>
  </si>
  <si>
    <t>タケマツ環境</t>
  </si>
  <si>
    <t>日本テクノ</t>
  </si>
  <si>
    <t>野田電気事務所</t>
  </si>
  <si>
    <t>にしけい</t>
  </si>
  <si>
    <t>オリエント産業</t>
  </si>
  <si>
    <t>グッドマンダスキン害虫駆除</t>
  </si>
  <si>
    <t>トライアルリアルエステート</t>
  </si>
  <si>
    <t>館内マット（ダスキン）</t>
  </si>
  <si>
    <t>㈱日本サーモエナー</t>
  </si>
  <si>
    <t>福岡県ゴルフ協会月会費</t>
  </si>
  <si>
    <t>クラブ費</t>
  </si>
  <si>
    <t>綿谷プロ</t>
  </si>
  <si>
    <t>若宮オープン</t>
  </si>
  <si>
    <t>和牛カップ</t>
  </si>
  <si>
    <t>開場記念杯</t>
  </si>
  <si>
    <t>月例杯</t>
  </si>
  <si>
    <t>手嶋理事長</t>
  </si>
  <si>
    <t>コース管理外注費</t>
  </si>
  <si>
    <t>コース管理リース料</t>
  </si>
  <si>
    <t>コース管理その他資材等</t>
  </si>
  <si>
    <t>建物減価償却費</t>
  </si>
  <si>
    <t>旅館</t>
  </si>
  <si>
    <t>建物付属設備減価償却費</t>
  </si>
  <si>
    <t>構築物減価償却費</t>
  </si>
  <si>
    <t>機械装置減価償却費</t>
  </si>
  <si>
    <t>車両運搬具減価償却費</t>
  </si>
  <si>
    <t>工具器具備品減価償却費</t>
  </si>
  <si>
    <t>一括償却資産減価償却費</t>
  </si>
  <si>
    <t>ソフトウェア減価償却費</t>
  </si>
  <si>
    <t>水道施設利用権減価償却費</t>
  </si>
  <si>
    <t>商標権減価償却費</t>
  </si>
  <si>
    <t>販売費及び一般管理費合計</t>
  </si>
  <si>
    <t>営業外収益</t>
  </si>
  <si>
    <t>雑収入</t>
  </si>
  <si>
    <t>受取諸手数料</t>
  </si>
  <si>
    <t>名義書換料等</t>
  </si>
  <si>
    <t>受取家賃</t>
  </si>
  <si>
    <t>年会費収入</t>
  </si>
  <si>
    <t>営業外収益合計</t>
  </si>
  <si>
    <t>営業外費用</t>
  </si>
  <si>
    <t>支払利息</t>
  </si>
  <si>
    <t>肥後銀行コロナ</t>
  </si>
  <si>
    <t>みずほ（ゴルフ）</t>
  </si>
  <si>
    <t>雑損失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</si>
  <si>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</si>
  <si>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</si>
  <si>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</si>
  <si>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</si>
  <si>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</si>
  <si>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</si>
  <si>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</si>
  <si>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</si>
  <si>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</si>
  <si>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PL販管費</t>
  </si>
  <si>
    <t>①シート販管費</t>
  </si>
  <si>
    <t>PL営業利益</t>
  </si>
  <si>
    <t>①シート営業利益</t>
  </si>
  <si>
    <t>①シート本部費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</si>
</sst>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%"/>
    <numFmt numFmtId="165" formatCode="#,##0;&quot;▲ &quot;#,##0"/>
    <numFmt numFmtId="166" formatCode="0.00_);[Red]\(0.00\)"/>
    <numFmt numFmtId="167" formatCode="#,##0.000;[Red]\-#,##0.000"/>
    <numFmt numFmtId="168" formatCode="#,##0.000;&quot;▲ &quot;#,##0.000"/>
    <numFmt numFmtId="169" formatCode="#,##0_);[Red]\(#,##0\)"/>
    <numFmt numFmtId="170" formatCode="#,##0;[Red]\-#,##0;\-"/>
    <numFmt numFmtId="171" formatCode="0.000"/>
    <numFmt numFmtId="172" formatCode="#,##0.000;[Red]\-#,##0.000;\-"/>
    <numFmt numFmtId="173" formatCode="#,##0_ "/>
    <numFmt numFmtId="174" formatCode="0_);[Red]\(0\)"/>
    <numFmt numFmtId="175" formatCode="#,##0_);[Red]\-#,##0"/>
  </numFmts>
  <fonts count="28">
    <font>
      <sz val="11.0"/>
      <color theme="1"/>
      <name val="Calibri"/>
      <scheme val="minor"/>
    </font>
    <font>
      <b/>
      <sz val="11.0"/>
      <color theme="1"/>
      <name val="游ゴシック"/>
    </font>
    <font>
      <b/>
      <sz val="11.0"/>
      <color theme="0"/>
      <name val="游ゴシック"/>
    </font>
    <font>
      <sz val="11.0"/>
      <color theme="1"/>
      <name val="游ゴシック"/>
    </font>
    <font>
      <sz val="11.0"/>
      <color rgb="FF0000FF"/>
      <name val="游ゴシック"/>
    </font>
    <font>
      <sz val="11.0"/>
      <color theme="1"/>
      <name val="Calibri"/>
    </font>
    <font>
      <b/>
      <sz val="11.0"/>
      <color rgb="FF0000FF"/>
      <name val="游ゴシック"/>
    </font>
    <font>
      <sz val="11.0"/>
      <color rgb="FFFF0000"/>
      <name val="游ゴシック"/>
    </font>
    <font>
      <b/>
      <sz val="11.0"/>
      <color rgb="FFFF0000"/>
      <name val="游ゴシック"/>
    </font>
    <font>
      <sz val="11.0"/>
      <color theme="0"/>
      <name val="游ゴシック"/>
    </font>
    <font>
      <sz val="11.0"/>
      <color theme="1"/>
      <name val="MS PGothic"/>
    </font>
    <font>
      <b/>
      <sz val="11.0"/>
      <color theme="0"/>
      <name val="Calibri"/>
    </font>
    <font>
      <sz val="11.0"/>
      <color theme="1"/>
      <name val="Aptos Narrow"/>
    </font>
    <font>
      <b/>
      <sz val="11.0"/>
      <color theme="1"/>
      <name val="MS PGothic"/>
    </font>
    <font>
      <sz val="10.0"/>
      <color theme="1"/>
      <name val="MS PGothic"/>
    </font>
    <font>
      <sz val="10.0"/>
      <color rgb="FF366092"/>
      <name val="MS PGothic"/>
    </font>
    <font>
      <b/>
      <sz val="10.0"/>
      <color theme="1"/>
      <name val="MS PGothic"/>
    </font>
    <font>
      <sz val="10.0"/>
      <color rgb="FFFF0000"/>
      <name val="MS PGothic"/>
    </font>
    <font>
      <sz val="10.0"/>
      <color rgb="FF000000"/>
      <name val="MS PGothic"/>
    </font>
    <font>
      <b/>
      <sz val="10.0"/>
      <color rgb="FF000000"/>
      <name val="MS PGothic"/>
    </font>
    <font>
      <b/>
      <sz val="11.0"/>
      <color rgb="FF000000"/>
      <name val="MS PGothic"/>
    </font>
    <font>
      <sz val="11.0"/>
      <color rgb="FF000000"/>
      <name val="MS PGothic"/>
    </font>
    <font>
      <b/>
      <sz val="12.0"/>
      <color rgb="FF000000"/>
      <name val="MS PGothic"/>
    </font>
    <font>
      <sz val="11.0"/>
      <color rgb="FFFF0000"/>
      <name val="MS PGothic"/>
    </font>
    <font>
      <b/>
      <sz val="16.0"/>
      <color theme="1"/>
      <name val="MS PGothic"/>
    </font>
    <font>
      <b/>
      <sz val="11.0"/>
      <color rgb="FFFF0000"/>
      <name val="MS PGothic"/>
    </font>
    <font>
      <color theme="1"/>
      <name val="Calibri"/>
      <scheme val="minor"/>
    </font>
    <font>
      <u/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FFCCFF"/>
        <bgColor rgb="FFFFCCFF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002060"/>
        <bgColor rgb="FF002060"/>
      </patternFill>
    </fill>
    <fill>
      <patternFill patternType="solid">
        <fgColor rgb="FFF4B083"/>
        <bgColor rgb="FFF4B083"/>
      </patternFill>
    </fill>
    <fill>
      <patternFill patternType="solid">
        <fgColor rgb="FFC1F0C8"/>
        <bgColor rgb="FFC1F0C8"/>
      </patternFill>
    </fill>
    <fill>
      <patternFill patternType="solid">
        <fgColor rgb="FF9FC5E8"/>
        <bgColor rgb="FF9FC5E8"/>
      </patternFill>
    </fill>
    <fill>
      <patternFill patternType="solid">
        <fgColor rgb="FFFAE2D5"/>
        <bgColor rgb="FFFAE2D5"/>
      </patternFill>
    </fill>
    <fill>
      <patternFill patternType="solid">
        <fgColor rgb="FFB6DDE8"/>
        <bgColor rgb="FFB6DDE8"/>
      </patternFill>
    </fill>
    <fill>
      <patternFill patternType="solid">
        <fgColor rgb="FFFDE9D9"/>
        <bgColor rgb="FFFDE9D9"/>
      </patternFill>
    </fill>
    <fill>
      <patternFill patternType="solid">
        <fgColor rgb="FFFFFF99"/>
        <bgColor rgb="FFFFFF99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BE5F1"/>
        <bgColor rgb="FFDBE5F1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EF2CB"/>
        <bgColor rgb="FFFEF2CB"/>
      </patternFill>
    </fill>
  </fills>
  <borders count="9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/>
      <right style="thin">
        <color rgb="FF000000"/>
      </right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/>
      <right/>
      <top style="hair">
        <color rgb="FF000000"/>
      </top>
      <bottom style="medium">
        <color rgb="FF000000"/>
      </bottom>
    </border>
    <border>
      <left/>
      <right style="medium">
        <color rgb="FF000000"/>
      </right>
      <top style="hair">
        <color rgb="FF000000"/>
      </top>
      <bottom style="medium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right style="thin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right/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 style="hair">
        <color rgb="FF000000"/>
      </top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 style="medium">
        <color rgb="FF000000"/>
      </left>
      <top style="hair">
        <color rgb="FF000000"/>
      </top>
      <bottom style="thick">
        <color rgb="FF000000"/>
      </bottom>
    </border>
    <border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000000"/>
      </left>
      <right/>
      <top style="hair">
        <color rgb="FF000000"/>
      </top>
      <bottom style="thick">
        <color rgb="FF000000"/>
      </bottom>
    </border>
    <border>
      <left/>
      <right style="medium">
        <color rgb="FF000000"/>
      </right>
      <top style="hair">
        <color rgb="FF000000"/>
      </top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medium">
        <color rgb="FF000000"/>
      </bottom>
    </border>
    <border>
      <left/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/>
      <top style="hair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12">
    <xf borderId="0" fillId="0" fontId="0" numFmtId="0" xfId="0" applyAlignment="1" applyFont="1">
      <alignment readingOrder="0" shrinkToFit="0" vertical="center" wrapText="0"/>
    </xf>
    <xf borderId="0" fillId="0" fontId="1" numFmtId="38" xfId="0" applyAlignment="1" applyFont="1" applyNumberFormat="1">
      <alignment horizontal="center" vertical="center"/>
    </xf>
    <xf borderId="1" fillId="2" fontId="2" numFmtId="38" xfId="0" applyAlignment="1" applyBorder="1" applyFill="1" applyFont="1" applyNumberFormat="1">
      <alignment horizontal="left" vertical="center"/>
    </xf>
    <xf borderId="2" fillId="2" fontId="2" numFmtId="38" xfId="0" applyAlignment="1" applyBorder="1" applyFont="1" applyNumberFormat="1">
      <alignment horizontal="center" vertical="center"/>
    </xf>
    <xf borderId="0" fillId="0" fontId="3" numFmtId="38" xfId="0" applyAlignment="1" applyFont="1" applyNumberFormat="1">
      <alignment vertical="center"/>
    </xf>
    <xf borderId="1" fillId="3" fontId="4" numFmtId="38" xfId="0" applyAlignment="1" applyBorder="1" applyFill="1" applyFont="1" applyNumberFormat="1">
      <alignment vertical="center"/>
    </xf>
    <xf borderId="3" fillId="3" fontId="3" numFmtId="38" xfId="0" applyAlignment="1" applyBorder="1" applyFont="1" applyNumberFormat="1">
      <alignment vertical="center"/>
    </xf>
    <xf borderId="3" fillId="3" fontId="4" numFmtId="38" xfId="0" applyAlignment="1" applyBorder="1" applyFont="1" applyNumberFormat="1">
      <alignment vertical="center"/>
    </xf>
    <xf borderId="1" fillId="3" fontId="4" numFmtId="164" xfId="0" applyAlignment="1" applyBorder="1" applyFont="1" applyNumberFormat="1">
      <alignment vertical="center"/>
    </xf>
    <xf borderId="3" fillId="3" fontId="4" numFmtId="164" xfId="0" applyAlignment="1" applyBorder="1" applyFont="1" applyNumberFormat="1">
      <alignment vertical="center"/>
    </xf>
    <xf borderId="0" fillId="0" fontId="3" numFmtId="40" xfId="0" applyAlignment="1" applyFont="1" applyNumberFormat="1">
      <alignment vertical="center"/>
    </xf>
    <xf borderId="1" fillId="3" fontId="4" numFmtId="40" xfId="0" applyAlignment="1" applyBorder="1" applyFont="1" applyNumberFormat="1">
      <alignment vertical="center"/>
    </xf>
    <xf borderId="3" fillId="3" fontId="3" numFmtId="40" xfId="0" applyAlignment="1" applyBorder="1" applyFont="1" applyNumberFormat="1">
      <alignment vertical="center"/>
    </xf>
    <xf borderId="3" fillId="3" fontId="4" numFmtId="40" xfId="0" applyAlignment="1" applyBorder="1" applyFont="1" applyNumberFormat="1">
      <alignment vertical="center"/>
    </xf>
    <xf borderId="0" fillId="0" fontId="5" numFmtId="40" xfId="0" applyAlignment="1" applyFont="1" applyNumberFormat="1">
      <alignment vertical="center"/>
    </xf>
    <xf borderId="1" fillId="4" fontId="6" numFmtId="38" xfId="0" applyAlignment="1" applyBorder="1" applyFill="1" applyFont="1" applyNumberFormat="1">
      <alignment vertical="center"/>
    </xf>
    <xf borderId="3" fillId="4" fontId="6" numFmtId="38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1" fillId="4" fontId="8" numFmtId="164" xfId="0" applyAlignment="1" applyBorder="1" applyFont="1" applyNumberFormat="1">
      <alignment vertical="center"/>
    </xf>
    <xf borderId="3" fillId="4" fontId="8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1" fillId="4" fontId="6" numFmtId="165" xfId="0" applyAlignment="1" applyBorder="1" applyFont="1" applyNumberFormat="1">
      <alignment vertical="center"/>
    </xf>
    <xf borderId="3" fillId="4" fontId="6" numFmtId="165" xfId="0" applyAlignment="1" applyBorder="1" applyFont="1" applyNumberFormat="1">
      <alignment vertical="center"/>
    </xf>
    <xf borderId="3" fillId="0" fontId="3" numFmtId="165" xfId="0" applyAlignment="1" applyBorder="1" applyFont="1" applyNumberFormat="1">
      <alignment vertical="center"/>
    </xf>
    <xf borderId="1" fillId="5" fontId="6" numFmtId="165" xfId="0" applyAlignment="1" applyBorder="1" applyFill="1" applyFont="1" applyNumberFormat="1">
      <alignment vertical="center"/>
    </xf>
    <xf borderId="3" fillId="5" fontId="6" numFmtId="165" xfId="0" applyAlignment="1" applyBorder="1" applyFont="1" applyNumberFormat="1">
      <alignment vertical="center"/>
    </xf>
    <xf borderId="0" fillId="0" fontId="8" numFmtId="164" xfId="0" applyAlignment="1" applyFont="1" applyNumberFormat="1">
      <alignment vertical="center"/>
    </xf>
    <xf borderId="1" fillId="3" fontId="8" numFmtId="164" xfId="0" applyAlignment="1" applyBorder="1" applyFont="1" applyNumberFormat="1">
      <alignment vertical="center"/>
    </xf>
    <xf borderId="4" fillId="3" fontId="8" numFmtId="164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1" fillId="2" fontId="2" numFmtId="38" xfId="0" applyAlignment="1" applyBorder="1" applyFont="1" applyNumberFormat="1">
      <alignment horizontal="center" vertical="center"/>
    </xf>
    <xf borderId="1" fillId="3" fontId="3" numFmtId="38" xfId="0" applyAlignment="1" applyBorder="1" applyFont="1" applyNumberFormat="1">
      <alignment vertical="center"/>
    </xf>
    <xf borderId="0" fillId="0" fontId="3" numFmtId="38" xfId="0" applyAlignment="1" applyFont="1" applyNumberFormat="1">
      <alignment horizontal="left" vertical="center"/>
    </xf>
    <xf borderId="3" fillId="0" fontId="3" numFmtId="38" xfId="0" applyAlignment="1" applyBorder="1" applyFont="1" applyNumberFormat="1">
      <alignment vertical="center"/>
    </xf>
    <xf borderId="1" fillId="4" fontId="4" numFmtId="38" xfId="0" applyAlignment="1" applyBorder="1" applyFont="1" applyNumberFormat="1">
      <alignment vertical="center"/>
    </xf>
    <xf borderId="3" fillId="4" fontId="4" numFmtId="38" xfId="0" applyAlignment="1" applyBorder="1" applyFont="1" applyNumberFormat="1">
      <alignment vertical="center"/>
    </xf>
    <xf borderId="3" fillId="4" fontId="4" numFmtId="165" xfId="0" applyAlignment="1" applyBorder="1" applyFont="1" applyNumberFormat="1">
      <alignment vertical="center"/>
    </xf>
    <xf borderId="0" fillId="0" fontId="1" numFmtId="38" xfId="0" applyAlignment="1" applyFont="1" applyNumberFormat="1">
      <alignment vertical="center"/>
    </xf>
    <xf borderId="3" fillId="0" fontId="1" numFmtId="165" xfId="0" applyAlignment="1" applyBorder="1" applyFont="1" applyNumberFormat="1">
      <alignment vertical="center"/>
    </xf>
    <xf borderId="1" fillId="6" fontId="3" numFmtId="165" xfId="0" applyAlignment="1" applyBorder="1" applyFill="1" applyFont="1" applyNumberFormat="1">
      <alignment horizontal="left" vertical="center"/>
    </xf>
    <xf borderId="1" fillId="6" fontId="3" numFmtId="38" xfId="0" applyAlignment="1" applyBorder="1" applyFont="1" applyNumberFormat="1">
      <alignment vertical="center"/>
    </xf>
    <xf borderId="3" fillId="6" fontId="3" numFmtId="165" xfId="0" applyAlignment="1" applyBorder="1" applyFont="1" applyNumberFormat="1">
      <alignment vertical="center"/>
    </xf>
    <xf borderId="1" fillId="6" fontId="1" numFmtId="38" xfId="0" applyAlignment="1" applyBorder="1" applyFont="1" applyNumberFormat="1">
      <alignment vertical="center"/>
    </xf>
    <xf borderId="3" fillId="6" fontId="1" numFmtId="165" xfId="0" applyAlignment="1" applyBorder="1" applyFont="1" applyNumberFormat="1">
      <alignment vertical="center"/>
    </xf>
    <xf borderId="1" fillId="3" fontId="3" numFmtId="165" xfId="0" applyAlignment="1" applyBorder="1" applyFont="1" applyNumberFormat="1">
      <alignment vertical="center"/>
    </xf>
    <xf borderId="1" fillId="7" fontId="3" numFmtId="165" xfId="0" applyAlignment="1" applyBorder="1" applyFill="1" applyFont="1" applyNumberFormat="1">
      <alignment horizontal="left" vertical="center"/>
    </xf>
    <xf borderId="1" fillId="7" fontId="3" numFmtId="38" xfId="0" applyAlignment="1" applyBorder="1" applyFont="1" applyNumberFormat="1">
      <alignment vertical="center"/>
    </xf>
    <xf borderId="3" fillId="7" fontId="3" numFmtId="165" xfId="0" applyAlignment="1" applyBorder="1" applyFont="1" applyNumberFormat="1">
      <alignment vertical="center"/>
    </xf>
    <xf borderId="1" fillId="7" fontId="1" numFmtId="38" xfId="0" applyAlignment="1" applyBorder="1" applyFont="1" applyNumberFormat="1">
      <alignment vertical="center"/>
    </xf>
    <xf borderId="3" fillId="7" fontId="1" numFmtId="165" xfId="0" applyAlignment="1" applyBorder="1" applyFont="1" applyNumberFormat="1">
      <alignment vertical="center"/>
    </xf>
    <xf borderId="1" fillId="8" fontId="3" numFmtId="165" xfId="0" applyAlignment="1" applyBorder="1" applyFill="1" applyFont="1" applyNumberFormat="1">
      <alignment horizontal="left" vertical="center"/>
    </xf>
    <xf borderId="1" fillId="8" fontId="3" numFmtId="38" xfId="0" applyAlignment="1" applyBorder="1" applyFont="1" applyNumberFormat="1">
      <alignment vertical="center"/>
    </xf>
    <xf borderId="3" fillId="8" fontId="3" numFmtId="165" xfId="0" applyAlignment="1" applyBorder="1" applyFont="1" applyNumberFormat="1">
      <alignment vertical="center"/>
    </xf>
    <xf borderId="1" fillId="8" fontId="1" numFmtId="38" xfId="0" applyAlignment="1" applyBorder="1" applyFont="1" applyNumberFormat="1">
      <alignment vertical="center"/>
    </xf>
    <xf borderId="3" fillId="8" fontId="1" numFmtId="165" xfId="0" applyAlignment="1" applyBorder="1" applyFont="1" applyNumberFormat="1">
      <alignment vertical="center"/>
    </xf>
    <xf borderId="0" fillId="0" fontId="9" numFmtId="165" xfId="0" applyAlignment="1" applyFont="1" applyNumberFormat="1">
      <alignment vertical="center"/>
    </xf>
    <xf borderId="1" fillId="5" fontId="4" numFmtId="38" xfId="0" applyAlignment="1" applyBorder="1" applyFont="1" applyNumberFormat="1">
      <alignment vertical="center"/>
    </xf>
    <xf borderId="3" fillId="5" fontId="4" numFmtId="165" xfId="0" applyAlignment="1" applyBorder="1" applyFont="1" applyNumberFormat="1">
      <alignment vertical="center"/>
    </xf>
    <xf borderId="1" fillId="5" fontId="6" numFmtId="38" xfId="0" applyAlignment="1" applyBorder="1" applyFont="1" applyNumberFormat="1">
      <alignment vertical="center"/>
    </xf>
    <xf borderId="0" fillId="0" fontId="8" numFmtId="38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5" fillId="0" fontId="2" numFmtId="38" xfId="0" applyAlignment="1" applyBorder="1" applyFont="1" applyNumberFormat="1">
      <alignment horizontal="center" vertical="center"/>
    </xf>
    <xf borderId="5" fillId="0" fontId="4" numFmtId="38" xfId="0" applyAlignment="1" applyBorder="1" applyFont="1" applyNumberFormat="1">
      <alignment vertical="center"/>
    </xf>
    <xf borderId="5" fillId="0" fontId="4" numFmtId="164" xfId="0" applyAlignment="1" applyBorder="1" applyFont="1" applyNumberFormat="1">
      <alignment vertical="center"/>
    </xf>
    <xf borderId="5" fillId="0" fontId="3" numFmtId="38" xfId="0" applyAlignment="1" applyBorder="1" applyFont="1" applyNumberFormat="1">
      <alignment vertical="center"/>
    </xf>
    <xf borderId="1" fillId="4" fontId="4" numFmtId="0" xfId="0" applyAlignment="1" applyBorder="1" applyFont="1">
      <alignment vertical="center"/>
    </xf>
    <xf borderId="5" fillId="0" fontId="6" numFmtId="38" xfId="0" applyAlignment="1" applyBorder="1" applyFont="1" applyNumberFormat="1">
      <alignment vertical="center"/>
    </xf>
    <xf borderId="5" fillId="0" fontId="4" numFmtId="165" xfId="0" applyAlignment="1" applyBorder="1" applyFont="1" applyNumberFormat="1">
      <alignment vertical="center"/>
    </xf>
    <xf borderId="5" fillId="0" fontId="6" numFmtId="165" xfId="0" applyAlignment="1" applyBorder="1" applyFont="1" applyNumberFormat="1">
      <alignment vertical="center"/>
    </xf>
    <xf borderId="5" fillId="0" fontId="3" numFmtId="165" xfId="0" applyAlignment="1" applyBorder="1" applyFont="1" applyNumberFormat="1">
      <alignment vertical="center"/>
    </xf>
    <xf borderId="5" fillId="0" fontId="1" numFmtId="165" xfId="0" applyAlignment="1" applyBorder="1" applyFont="1" applyNumberFormat="1">
      <alignment vertical="center"/>
    </xf>
    <xf borderId="5" fillId="0" fontId="8" numFmtId="16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1" numFmtId="38" xfId="0" applyAlignment="1" applyFont="1" applyNumberFormat="1">
      <alignment horizontal="left" vertical="center"/>
    </xf>
    <xf borderId="0" fillId="0" fontId="2" numFmtId="38" xfId="0" applyAlignment="1" applyFont="1" applyNumberFormat="1">
      <alignment horizontal="center" vertical="center"/>
    </xf>
    <xf borderId="1" fillId="3" fontId="6" numFmtId="38" xfId="0" applyAlignment="1" applyBorder="1" applyFont="1" applyNumberFormat="1">
      <alignment vertical="center"/>
    </xf>
    <xf borderId="3" fillId="3" fontId="6" numFmtId="38" xfId="0" applyAlignment="1" applyBorder="1" applyFont="1" applyNumberFormat="1">
      <alignment vertical="center"/>
    </xf>
    <xf borderId="3" fillId="3" fontId="4" numFmtId="164" xfId="0" applyAlignment="1" applyBorder="1" applyFont="1" applyNumberFormat="1">
      <alignment horizontal="right" vertical="center"/>
    </xf>
    <xf borderId="3" fillId="3" fontId="6" numFmtId="164" xfId="0" applyAlignment="1" applyBorder="1" applyFont="1" applyNumberFormat="1">
      <alignment vertical="center"/>
    </xf>
    <xf borderId="3" fillId="3" fontId="4" numFmtId="3" xfId="0" applyAlignment="1" applyBorder="1" applyFont="1" applyNumberFormat="1">
      <alignment vertical="center"/>
    </xf>
    <xf borderId="1" fillId="3" fontId="4" numFmtId="167" xfId="0" applyAlignment="1" applyBorder="1" applyFont="1" applyNumberFormat="1">
      <alignment vertical="center"/>
    </xf>
    <xf borderId="3" fillId="3" fontId="4" numFmtId="167" xfId="0" applyAlignment="1" applyBorder="1" applyFont="1" applyNumberFormat="1">
      <alignment vertical="center"/>
    </xf>
    <xf borderId="0" fillId="0" fontId="3" numFmtId="167" xfId="0" applyAlignment="1" applyFont="1" applyNumberFormat="1">
      <alignment vertical="center"/>
    </xf>
    <xf borderId="3" fillId="3" fontId="6" numFmtId="167" xfId="0" applyAlignment="1" applyBorder="1" applyFont="1" applyNumberFormat="1">
      <alignment vertical="center"/>
    </xf>
    <xf borderId="0" fillId="0" fontId="3" numFmtId="168" xfId="0" applyAlignment="1" applyFont="1" applyNumberFormat="1">
      <alignment vertical="center"/>
    </xf>
    <xf borderId="0" fillId="0" fontId="3" numFmtId="167" xfId="0" applyAlignment="1" applyFont="1" applyNumberFormat="1">
      <alignment horizontal="left" vertical="center"/>
    </xf>
    <xf borderId="0" fillId="0" fontId="5" numFmtId="167" xfId="0" applyAlignment="1" applyFont="1" applyNumberFormat="1">
      <alignment vertical="center"/>
    </xf>
    <xf borderId="0" fillId="0" fontId="7" numFmtId="164" xfId="0" applyAlignment="1" applyFont="1" applyNumberFormat="1">
      <alignment horizontal="left" vertical="center"/>
    </xf>
    <xf borderId="0" fillId="0" fontId="5" numFmtId="0" xfId="0" applyAlignment="1" applyFont="1">
      <alignment horizontal="right" vertical="center"/>
    </xf>
    <xf borderId="0" fillId="0" fontId="3" numFmtId="165" xfId="0" applyAlignment="1" applyFont="1" applyNumberFormat="1">
      <alignment horizontal="left" vertical="center"/>
    </xf>
    <xf borderId="0" fillId="0" fontId="5" numFmtId="165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8" numFmtId="164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shrinkToFit="1" vertical="center" wrapText="0"/>
    </xf>
    <xf borderId="6" fillId="9" fontId="11" numFmtId="0" xfId="0" applyAlignment="1" applyBorder="1" applyFill="1" applyFont="1">
      <alignment horizontal="center" vertical="center"/>
    </xf>
    <xf borderId="7" fillId="0" fontId="10" numFmtId="169" xfId="0" applyAlignment="1" applyBorder="1" applyFont="1" applyNumberFormat="1">
      <alignment horizontal="center" shrinkToFit="1" vertical="center" wrapText="0"/>
    </xf>
    <xf borderId="8" fillId="0" fontId="10" numFmtId="169" xfId="0" applyAlignment="1" applyBorder="1" applyFont="1" applyNumberFormat="1">
      <alignment shrinkToFit="1" vertical="center" wrapText="0"/>
    </xf>
    <xf borderId="9" fillId="10" fontId="10" numFmtId="170" xfId="0" applyAlignment="1" applyBorder="1" applyFill="1" applyFont="1" applyNumberFormat="1">
      <alignment shrinkToFit="1" vertical="center" wrapText="0"/>
    </xf>
    <xf borderId="10" fillId="10" fontId="10" numFmtId="170" xfId="0" applyAlignment="1" applyBorder="1" applyFont="1" applyNumberFormat="1">
      <alignment shrinkToFit="1" vertical="center" wrapText="0"/>
    </xf>
    <xf borderId="11" fillId="10" fontId="10" numFmtId="170" xfId="0" applyAlignment="1" applyBorder="1" applyFont="1" applyNumberFormat="1">
      <alignment shrinkToFit="1" vertical="center" wrapText="0"/>
    </xf>
    <xf borderId="12" fillId="0" fontId="12" numFmtId="0" xfId="0" applyAlignment="1" applyBorder="1" applyFont="1">
      <alignment vertical="bottom"/>
    </xf>
    <xf borderId="13" fillId="0" fontId="10" numFmtId="169" xfId="0" applyAlignment="1" applyBorder="1" applyFont="1" applyNumberFormat="1">
      <alignment shrinkToFit="1" vertical="center" wrapText="0"/>
    </xf>
    <xf borderId="14" fillId="10" fontId="10" numFmtId="170" xfId="0" applyAlignment="1" applyBorder="1" applyFont="1" applyNumberFormat="1">
      <alignment shrinkToFit="1" vertical="center" wrapText="0"/>
    </xf>
    <xf borderId="15" fillId="10" fontId="10" numFmtId="170" xfId="0" applyAlignment="1" applyBorder="1" applyFont="1" applyNumberFormat="1">
      <alignment shrinkToFit="1" vertical="center" wrapText="0"/>
    </xf>
    <xf borderId="16" fillId="10" fontId="10" numFmtId="170" xfId="0" applyAlignment="1" applyBorder="1" applyFont="1" applyNumberFormat="1">
      <alignment shrinkToFit="1" vertical="center" wrapText="0"/>
    </xf>
    <xf borderId="13" fillId="11" fontId="10" numFmtId="169" xfId="0" applyAlignment="1" applyBorder="1" applyFill="1" applyFont="1" applyNumberFormat="1">
      <alignment shrinkToFit="1" vertical="center" wrapText="0"/>
    </xf>
    <xf borderId="14" fillId="10" fontId="10" numFmtId="164" xfId="0" applyAlignment="1" applyBorder="1" applyFont="1" applyNumberFormat="1">
      <alignment shrinkToFit="1" vertical="center" wrapText="0"/>
    </xf>
    <xf borderId="15" fillId="10" fontId="10" numFmtId="164" xfId="0" applyAlignment="1" applyBorder="1" applyFont="1" applyNumberFormat="1">
      <alignment shrinkToFit="1" vertical="center" wrapText="0"/>
    </xf>
    <xf borderId="17" fillId="10" fontId="10" numFmtId="164" xfId="0" applyAlignment="1" applyBorder="1" applyFont="1" applyNumberFormat="1">
      <alignment shrinkToFit="1" vertical="center" wrapText="0"/>
    </xf>
    <xf borderId="16" fillId="10" fontId="10" numFmtId="164" xfId="0" applyAlignment="1" applyBorder="1" applyFont="1" applyNumberFormat="1">
      <alignment shrinkToFit="1" vertical="center" wrapText="0"/>
    </xf>
    <xf borderId="13" fillId="12" fontId="13" numFmtId="169" xfId="0" applyAlignment="1" applyBorder="1" applyFill="1" applyFont="1" applyNumberFormat="1">
      <alignment shrinkToFit="1" vertical="center" wrapText="0"/>
    </xf>
    <xf borderId="14" fillId="10" fontId="13" numFmtId="170" xfId="0" applyAlignment="1" applyBorder="1" applyFont="1" applyNumberFormat="1">
      <alignment shrinkToFit="1" vertical="center" wrapText="0"/>
    </xf>
    <xf borderId="15" fillId="10" fontId="13" numFmtId="170" xfId="0" applyAlignment="1" applyBorder="1" applyFont="1" applyNumberFormat="1">
      <alignment shrinkToFit="1" vertical="center" wrapText="0"/>
    </xf>
    <xf borderId="16" fillId="10" fontId="13" numFmtId="170" xfId="0" applyAlignment="1" applyBorder="1" applyFont="1" applyNumberFormat="1">
      <alignment shrinkToFit="1" vertical="center" wrapText="0"/>
    </xf>
    <xf borderId="13" fillId="12" fontId="10" numFmtId="164" xfId="0" applyAlignment="1" applyBorder="1" applyFont="1" applyNumberFormat="1">
      <alignment shrinkToFit="1" vertical="center" wrapText="0"/>
    </xf>
    <xf borderId="18" fillId="0" fontId="12" numFmtId="0" xfId="0" applyAlignment="1" applyBorder="1" applyFont="1">
      <alignment vertical="bottom"/>
    </xf>
    <xf borderId="19" fillId="13" fontId="10" numFmtId="164" xfId="0" applyAlignment="1" applyBorder="1" applyFill="1" applyFont="1" applyNumberFormat="1">
      <alignment shrinkToFit="1" vertical="center" wrapText="0"/>
    </xf>
    <xf borderId="20" fillId="10" fontId="10" numFmtId="164" xfId="0" applyAlignment="1" applyBorder="1" applyFont="1" applyNumberFormat="1">
      <alignment shrinkToFit="1" vertical="center" wrapText="0"/>
    </xf>
    <xf borderId="21" fillId="10" fontId="10" numFmtId="164" xfId="0" applyAlignment="1" applyBorder="1" applyFont="1" applyNumberFormat="1">
      <alignment shrinkToFit="1" vertical="center" wrapText="0"/>
    </xf>
    <xf borderId="22" fillId="10" fontId="10" numFmtId="164" xfId="0" applyAlignment="1" applyBorder="1" applyFont="1" applyNumberFormat="1">
      <alignment shrinkToFit="1" vertical="center" wrapText="0"/>
    </xf>
    <xf borderId="23" fillId="10" fontId="10" numFmtId="170" xfId="0" applyAlignment="1" applyBorder="1" applyFont="1" applyNumberFormat="1">
      <alignment shrinkToFit="1" vertical="center" wrapText="0"/>
    </xf>
    <xf borderId="24" fillId="10" fontId="10" numFmtId="170" xfId="0" applyAlignment="1" applyBorder="1" applyFont="1" applyNumberFormat="1">
      <alignment shrinkToFit="1" vertical="center" wrapText="0"/>
    </xf>
    <xf borderId="25" fillId="10" fontId="13" numFmtId="3" xfId="0" applyAlignment="1" applyBorder="1" applyFont="1" applyNumberFormat="1">
      <alignment shrinkToFit="1" vertical="center" wrapText="0"/>
    </xf>
    <xf borderId="15" fillId="10" fontId="13" numFmtId="3" xfId="0" applyAlignment="1" applyBorder="1" applyFont="1" applyNumberFormat="1">
      <alignment shrinkToFit="1" vertical="center" wrapText="0"/>
    </xf>
    <xf borderId="14" fillId="10" fontId="13" numFmtId="3" xfId="0" applyAlignment="1" applyBorder="1" applyFont="1" applyNumberFormat="1">
      <alignment shrinkToFit="1" vertical="center" wrapText="0"/>
    </xf>
    <xf borderId="16" fillId="10" fontId="13" numFmtId="3" xfId="0" applyAlignment="1" applyBorder="1" applyFont="1" applyNumberFormat="1">
      <alignment shrinkToFit="1" vertical="center" wrapText="0"/>
    </xf>
    <xf borderId="14" fillId="10" fontId="10" numFmtId="3" xfId="0" applyAlignment="1" applyBorder="1" applyFont="1" applyNumberFormat="1">
      <alignment shrinkToFit="1" vertical="center" wrapText="0"/>
    </xf>
    <xf borderId="26" fillId="10" fontId="10" numFmtId="170" xfId="0" applyAlignment="1" applyBorder="1" applyFont="1" applyNumberFormat="1">
      <alignment shrinkToFit="1" vertical="center" wrapText="0"/>
    </xf>
    <xf borderId="27" fillId="10" fontId="10" numFmtId="170" xfId="0" applyAlignment="1" applyBorder="1" applyFont="1" applyNumberFormat="1">
      <alignment shrinkToFit="1" vertical="center" wrapText="0"/>
    </xf>
    <xf borderId="27" fillId="10" fontId="10" numFmtId="164" xfId="0" applyAlignment="1" applyBorder="1" applyFont="1" applyNumberFormat="1">
      <alignment shrinkToFit="1" vertical="center" wrapText="0"/>
    </xf>
    <xf borderId="28" fillId="10" fontId="10" numFmtId="164" xfId="0" applyAlignment="1" applyBorder="1" applyFont="1" applyNumberFormat="1">
      <alignment shrinkToFit="1" vertical="center" wrapText="0"/>
    </xf>
    <xf borderId="7" fillId="0" fontId="10" numFmtId="164" xfId="0" applyAlignment="1" applyBorder="1" applyFont="1" applyNumberFormat="1">
      <alignment horizontal="center" shrinkToFit="1" vertical="center" wrapText="0"/>
    </xf>
    <xf borderId="9" fillId="10" fontId="10" numFmtId="164" xfId="0" applyAlignment="1" applyBorder="1" applyFont="1" applyNumberFormat="1">
      <alignment shrinkToFit="1" vertical="center" wrapText="0"/>
    </xf>
    <xf borderId="23" fillId="10" fontId="10" numFmtId="164" xfId="0" applyAlignment="1" applyBorder="1" applyFont="1" applyNumberFormat="1">
      <alignment shrinkToFit="1" vertical="center" wrapText="0"/>
    </xf>
    <xf borderId="11" fillId="10" fontId="10" numFmtId="164" xfId="0" applyAlignment="1" applyBorder="1" applyFont="1" applyNumberFormat="1">
      <alignment shrinkToFit="1" vertical="center" wrapText="0"/>
    </xf>
    <xf borderId="14" fillId="10" fontId="13" numFmtId="164" xfId="0" applyAlignment="1" applyBorder="1" applyFont="1" applyNumberFormat="1">
      <alignment shrinkToFit="1" vertical="center" wrapText="0"/>
    </xf>
    <xf borderId="15" fillId="10" fontId="13" numFmtId="164" xfId="0" applyAlignment="1" applyBorder="1" applyFont="1" applyNumberFormat="1">
      <alignment shrinkToFit="1" vertical="center" wrapText="0"/>
    </xf>
    <xf borderId="19" fillId="0" fontId="10" numFmtId="164" xfId="0" applyAlignment="1" applyBorder="1" applyFont="1" applyNumberFormat="1">
      <alignment shrinkToFit="1" vertical="center" wrapText="0"/>
    </xf>
    <xf borderId="9" fillId="10" fontId="10" numFmtId="171" xfId="0" applyAlignment="1" applyBorder="1" applyFont="1" applyNumberFormat="1">
      <alignment shrinkToFit="1" vertical="center" wrapText="0"/>
    </xf>
    <xf borderId="23" fillId="10" fontId="10" numFmtId="172" xfId="0" applyAlignment="1" applyBorder="1" applyFont="1" applyNumberFormat="1">
      <alignment shrinkToFit="1" vertical="center" wrapText="0"/>
    </xf>
    <xf borderId="9" fillId="10" fontId="10" numFmtId="172" xfId="0" applyAlignment="1" applyBorder="1" applyFont="1" applyNumberFormat="1">
      <alignment shrinkToFit="1" vertical="center" wrapText="0"/>
    </xf>
    <xf borderId="11" fillId="10" fontId="10" numFmtId="172" xfId="0" applyAlignment="1" applyBorder="1" applyFont="1" applyNumberFormat="1">
      <alignment shrinkToFit="1" vertical="center" wrapText="0"/>
    </xf>
    <xf borderId="14" fillId="10" fontId="10" numFmtId="171" xfId="0" applyAlignment="1" applyBorder="1" applyFont="1" applyNumberFormat="1">
      <alignment shrinkToFit="1" vertical="center" wrapText="0"/>
    </xf>
    <xf borderId="15" fillId="10" fontId="10" numFmtId="172" xfId="0" applyAlignment="1" applyBorder="1" applyFont="1" applyNumberFormat="1">
      <alignment shrinkToFit="1" vertical="center" wrapText="0"/>
    </xf>
    <xf borderId="14" fillId="10" fontId="10" numFmtId="172" xfId="0" applyAlignment="1" applyBorder="1" applyFont="1" applyNumberFormat="1">
      <alignment shrinkToFit="1" vertical="center" wrapText="0"/>
    </xf>
    <xf borderId="16" fillId="10" fontId="10" numFmtId="172" xfId="0" applyAlignment="1" applyBorder="1" applyFont="1" applyNumberFormat="1">
      <alignment shrinkToFit="1" vertical="center" wrapText="0"/>
    </xf>
    <xf borderId="14" fillId="10" fontId="13" numFmtId="172" xfId="0" applyAlignment="1" applyBorder="1" applyFont="1" applyNumberFormat="1">
      <alignment shrinkToFit="1" vertical="center" wrapText="0"/>
    </xf>
    <xf borderId="15" fillId="10" fontId="13" numFmtId="172" xfId="0" applyAlignment="1" applyBorder="1" applyFont="1" applyNumberFormat="1">
      <alignment shrinkToFit="1" vertical="center" wrapText="0"/>
    </xf>
    <xf borderId="16" fillId="10" fontId="13" numFmtId="172" xfId="0" applyAlignment="1" applyBorder="1" applyFont="1" applyNumberFormat="1">
      <alignment shrinkToFit="1" vertical="center" wrapText="0"/>
    </xf>
    <xf borderId="9" fillId="10" fontId="10" numFmtId="3" xfId="0" applyAlignment="1" applyBorder="1" applyFont="1" applyNumberFormat="1">
      <alignment shrinkToFit="1" vertical="center" wrapText="0"/>
    </xf>
    <xf borderId="10" fillId="10" fontId="10" numFmtId="3" xfId="0" applyAlignment="1" applyBorder="1" applyFont="1" applyNumberFormat="1">
      <alignment shrinkToFit="1" vertical="center" wrapText="0"/>
    </xf>
    <xf borderId="26" fillId="10" fontId="10" numFmtId="164" xfId="0" applyAlignment="1" applyBorder="1" applyFont="1" applyNumberFormat="1">
      <alignment shrinkToFit="1" vertical="center" wrapText="0"/>
    </xf>
    <xf borderId="15" fillId="10" fontId="10" numFmtId="3" xfId="0" applyAlignment="1" applyBorder="1" applyFont="1" applyNumberFormat="1">
      <alignment shrinkToFit="1" vertical="center" wrapText="0"/>
    </xf>
    <xf borderId="14" fillId="10" fontId="10" numFmtId="10" xfId="0" applyAlignment="1" applyBorder="1" applyFont="1" applyNumberFormat="1">
      <alignment horizontal="right" shrinkToFit="1" vertical="center" wrapText="0"/>
    </xf>
    <xf borderId="13" fillId="0" fontId="10" numFmtId="0" xfId="0" applyAlignment="1" applyBorder="1" applyFont="1">
      <alignment shrinkToFit="1" vertical="center" wrapText="0"/>
    </xf>
    <xf borderId="0" fillId="0" fontId="10" numFmtId="164" xfId="0" applyAlignment="1" applyFont="1" applyNumberFormat="1">
      <alignment shrinkToFit="1" vertical="center" wrapText="0"/>
    </xf>
    <xf borderId="29" fillId="0" fontId="13" numFmtId="169" xfId="0" applyAlignment="1" applyBorder="1" applyFont="1" applyNumberFormat="1">
      <alignment horizontal="left" shrinkToFit="1" vertical="center" wrapText="0"/>
    </xf>
    <xf borderId="30" fillId="0" fontId="13" numFmtId="169" xfId="0" applyAlignment="1" applyBorder="1" applyFont="1" applyNumberFormat="1">
      <alignment horizontal="left" shrinkToFit="1" vertical="center" wrapText="0"/>
    </xf>
    <xf borderId="9" fillId="0" fontId="13" numFmtId="38" xfId="0" applyAlignment="1" applyBorder="1" applyFont="1" applyNumberFormat="1">
      <alignment shrinkToFit="1" vertical="center" wrapText="0"/>
    </xf>
    <xf borderId="31" fillId="0" fontId="13" numFmtId="38" xfId="0" applyAlignment="1" applyBorder="1" applyFont="1" applyNumberFormat="1">
      <alignment shrinkToFit="1" vertical="center" wrapText="0"/>
    </xf>
    <xf borderId="32" fillId="0" fontId="13" numFmtId="3" xfId="0" applyAlignment="1" applyBorder="1" applyFont="1" applyNumberFormat="1">
      <alignment horizontal="left" shrinkToFit="1" vertical="center" wrapText="0"/>
    </xf>
    <xf borderId="33" fillId="0" fontId="13" numFmtId="3" xfId="0" applyAlignment="1" applyBorder="1" applyFont="1" applyNumberFormat="1">
      <alignment horizontal="left" shrinkToFit="1" vertical="center" wrapText="0"/>
    </xf>
    <xf borderId="34" fillId="0" fontId="13" numFmtId="3" xfId="0" applyAlignment="1" applyBorder="1" applyFont="1" applyNumberFormat="1">
      <alignment shrinkToFit="1" vertical="center" wrapText="0"/>
    </xf>
    <xf borderId="35" fillId="0" fontId="13" numFmtId="3" xfId="0" applyAlignment="1" applyBorder="1" applyFont="1" applyNumberFormat="1">
      <alignment shrinkToFit="1" vertical="center" wrapText="0"/>
    </xf>
    <xf borderId="0" fillId="0" fontId="14" numFmtId="164" xfId="0" applyAlignment="1" applyFont="1" applyNumberFormat="1">
      <alignment vertical="center"/>
    </xf>
    <xf borderId="36" fillId="0" fontId="15" numFmtId="164" xfId="0" applyAlignment="1" applyBorder="1" applyFont="1" applyNumberFormat="1">
      <alignment horizontal="left" shrinkToFit="1" vertical="center" wrapText="0"/>
    </xf>
    <xf borderId="37" fillId="0" fontId="15" numFmtId="164" xfId="0" applyAlignment="1" applyBorder="1" applyFont="1" applyNumberFormat="1">
      <alignment horizontal="right" shrinkToFit="1" vertical="center" wrapText="0"/>
    </xf>
    <xf borderId="38" fillId="0" fontId="15" numFmtId="164" xfId="0" applyAlignment="1" applyBorder="1" applyFont="1" applyNumberFormat="1">
      <alignment shrinkToFit="1" vertical="center" wrapText="0"/>
    </xf>
    <xf borderId="39" fillId="0" fontId="15" numFmtId="164" xfId="0" applyAlignment="1" applyBorder="1" applyFont="1" applyNumberFormat="1">
      <alignment shrinkToFit="1" vertical="center" wrapText="0"/>
    </xf>
    <xf borderId="40" fillId="0" fontId="15" numFmtId="164" xfId="0" applyAlignment="1" applyBorder="1" applyFont="1" applyNumberFormat="1">
      <alignment shrinkToFit="1" vertical="center" wrapText="0"/>
    </xf>
    <xf borderId="0" fillId="0" fontId="14" numFmtId="164" xfId="0" applyAlignment="1" applyFont="1" applyNumberFormat="1">
      <alignment shrinkToFit="1" vertical="center" wrapText="0"/>
    </xf>
    <xf borderId="0" fillId="0" fontId="10" numFmtId="164" xfId="0" applyAlignment="1" applyFont="1" applyNumberFormat="1">
      <alignment vertical="center"/>
    </xf>
    <xf borderId="41" fillId="14" fontId="13" numFmtId="164" xfId="0" applyAlignment="1" applyBorder="1" applyFill="1" applyFont="1" applyNumberFormat="1">
      <alignment shrinkToFit="1" vertical="center" wrapText="0"/>
    </xf>
    <xf borderId="42" fillId="14" fontId="13" numFmtId="164" xfId="0" applyAlignment="1" applyBorder="1" applyFont="1" applyNumberFormat="1">
      <alignment horizontal="right" shrinkToFit="1" vertical="center" wrapText="0"/>
    </xf>
    <xf borderId="17" fillId="14" fontId="13" numFmtId="38" xfId="0" applyAlignment="1" applyBorder="1" applyFont="1" applyNumberFormat="1">
      <alignment shrinkToFit="1" vertical="center" wrapText="0"/>
    </xf>
    <xf borderId="43" fillId="14" fontId="13" numFmtId="38" xfId="0" applyAlignment="1" applyBorder="1" applyFont="1" applyNumberFormat="1">
      <alignment shrinkToFit="1" vertical="center" wrapText="0"/>
    </xf>
    <xf borderId="44" fillId="14" fontId="16" numFmtId="164" xfId="0" applyAlignment="1" applyBorder="1" applyFont="1" applyNumberFormat="1">
      <alignment shrinkToFit="1" vertical="center" wrapText="0"/>
    </xf>
    <xf borderId="45" fillId="14" fontId="16" numFmtId="164" xfId="0" applyAlignment="1" applyBorder="1" applyFont="1" applyNumberFormat="1">
      <alignment horizontal="right" shrinkToFit="1" vertical="center" wrapText="0"/>
    </xf>
    <xf borderId="46" fillId="14" fontId="15" numFmtId="164" xfId="0" applyAlignment="1" applyBorder="1" applyFont="1" applyNumberFormat="1">
      <alignment shrinkToFit="1" vertical="center" wrapText="0"/>
    </xf>
    <xf borderId="47" fillId="14" fontId="15" numFmtId="164" xfId="0" applyAlignment="1" applyBorder="1" applyFont="1" applyNumberFormat="1">
      <alignment shrinkToFit="1" vertical="center" wrapText="0"/>
    </xf>
    <xf borderId="0" fillId="0" fontId="14" numFmtId="38" xfId="0" applyAlignment="1" applyFont="1" applyNumberFormat="1">
      <alignment vertical="center"/>
    </xf>
    <xf borderId="41" fillId="15" fontId="13" numFmtId="38" xfId="0" applyAlignment="1" applyBorder="1" applyFill="1" applyFont="1" applyNumberFormat="1">
      <alignment horizontal="left" vertical="center"/>
    </xf>
    <xf borderId="42" fillId="15" fontId="16" numFmtId="38" xfId="0" applyAlignment="1" applyBorder="1" applyFont="1" applyNumberFormat="1">
      <alignment horizontal="left" shrinkToFit="1" vertical="center" wrapText="0"/>
    </xf>
    <xf borderId="0" fillId="0" fontId="14" numFmtId="38" xfId="0" applyAlignment="1" applyFont="1" applyNumberFormat="1">
      <alignment shrinkToFit="1" vertical="center" wrapText="0"/>
    </xf>
    <xf borderId="44" fillId="15" fontId="16" numFmtId="164" xfId="0" applyAlignment="1" applyBorder="1" applyFont="1" applyNumberFormat="1">
      <alignment horizontal="left" shrinkToFit="1" vertical="center" wrapText="0"/>
    </xf>
    <xf borderId="45" fillId="15" fontId="16" numFmtId="164" xfId="0" applyAlignment="1" applyBorder="1" applyFont="1" applyNumberFormat="1">
      <alignment horizontal="left" shrinkToFit="1" vertical="center" wrapText="0"/>
    </xf>
    <xf borderId="41" fillId="15" fontId="13" numFmtId="3" xfId="0" applyAlignment="1" applyBorder="1" applyFont="1" applyNumberFormat="1">
      <alignment horizontal="left" shrinkToFit="1" vertical="center" wrapText="0"/>
    </xf>
    <xf borderId="42" fillId="15" fontId="13" numFmtId="3" xfId="0" applyAlignment="1" applyBorder="1" applyFont="1" applyNumberFormat="1">
      <alignment horizontal="left" shrinkToFit="1" vertical="center" wrapText="0"/>
    </xf>
    <xf borderId="17" fillId="10" fontId="10" numFmtId="38" xfId="0" applyAlignment="1" applyBorder="1" applyFont="1" applyNumberFormat="1">
      <alignment shrinkToFit="1" vertical="center" wrapText="0"/>
    </xf>
    <xf borderId="44" fillId="15" fontId="17" numFmtId="164" xfId="0" applyAlignment="1" applyBorder="1" applyFont="1" applyNumberFormat="1">
      <alignment horizontal="left" shrinkToFit="1" vertical="center" wrapText="0"/>
    </xf>
    <xf borderId="45" fillId="15" fontId="17" numFmtId="164" xfId="0" applyAlignment="1" applyBorder="1" applyFont="1" applyNumberFormat="1">
      <alignment horizontal="right" vertical="center"/>
    </xf>
    <xf borderId="0" fillId="0" fontId="17" numFmtId="164" xfId="0" applyAlignment="1" applyFont="1" applyNumberFormat="1">
      <alignment shrinkToFit="1" vertical="center" wrapText="0"/>
    </xf>
    <xf borderId="41" fillId="14" fontId="13" numFmtId="38" xfId="0" applyAlignment="1" applyBorder="1" applyFont="1" applyNumberFormat="1">
      <alignment shrinkToFit="1" vertical="center" wrapText="0"/>
    </xf>
    <xf borderId="42" fillId="14" fontId="18" numFmtId="0" xfId="0" applyAlignment="1" applyBorder="1" applyFont="1">
      <alignment horizontal="right" vertical="center"/>
    </xf>
    <xf borderId="43" fillId="14" fontId="10" numFmtId="38" xfId="0" applyAlignment="1" applyBorder="1" applyFont="1" applyNumberFormat="1">
      <alignment shrinkToFit="1" vertical="center" wrapText="0"/>
    </xf>
    <xf borderId="48" fillId="14" fontId="17" numFmtId="164" xfId="0" applyAlignment="1" applyBorder="1" applyFont="1" applyNumberFormat="1">
      <alignment horizontal="left" shrinkToFit="1" vertical="center" wrapText="0"/>
    </xf>
    <xf borderId="49" fillId="14" fontId="19" numFmtId="38" xfId="0" applyAlignment="1" applyBorder="1" applyFont="1" applyNumberFormat="1">
      <alignment horizontal="right" vertical="center"/>
    </xf>
    <xf borderId="50" fillId="14" fontId="20" numFmtId="3" xfId="0" applyAlignment="1" applyBorder="1" applyFont="1" applyNumberFormat="1">
      <alignment shrinkToFit="1" vertical="center" wrapText="0"/>
    </xf>
    <xf borderId="51" fillId="14" fontId="20" numFmtId="3" xfId="0" applyAlignment="1" applyBorder="1" applyFont="1" applyNumberFormat="1">
      <alignment shrinkToFit="1" vertical="center" wrapText="0"/>
    </xf>
    <xf borderId="44" fillId="14" fontId="17" numFmtId="164" xfId="0" applyAlignment="1" applyBorder="1" applyFont="1" applyNumberFormat="1">
      <alignment horizontal="left" shrinkToFit="1" vertical="center" wrapText="0"/>
    </xf>
    <xf borderId="45" fillId="14" fontId="18" numFmtId="164" xfId="0" applyAlignment="1" applyBorder="1" applyFont="1" applyNumberFormat="1">
      <alignment horizontal="right" vertical="center"/>
    </xf>
    <xf borderId="41" fillId="14" fontId="13" numFmtId="164" xfId="0" applyAlignment="1" applyBorder="1" applyFont="1" applyNumberFormat="1">
      <alignment vertical="center"/>
    </xf>
    <xf borderId="42" fillId="14" fontId="21" numFmtId="0" xfId="0" applyAlignment="1" applyBorder="1" applyFont="1">
      <alignment horizontal="right" shrinkToFit="1" vertical="center" wrapText="0"/>
    </xf>
    <xf borderId="17" fillId="14" fontId="10" numFmtId="38" xfId="0" applyAlignment="1" applyBorder="1" applyFont="1" applyNumberFormat="1">
      <alignment shrinkToFit="1" vertical="center" wrapText="0"/>
    </xf>
    <xf borderId="48" fillId="14" fontId="16" numFmtId="164" xfId="0" applyAlignment="1" applyBorder="1" applyFont="1" applyNumberFormat="1">
      <alignment shrinkToFit="1" vertical="center" wrapText="0"/>
    </xf>
    <xf borderId="49" fillId="14" fontId="19" numFmtId="0" xfId="0" applyAlignment="1" applyBorder="1" applyFont="1">
      <alignment horizontal="right" shrinkToFit="1" vertical="center" wrapText="0"/>
    </xf>
    <xf borderId="0" fillId="0" fontId="15" numFmtId="164" xfId="0" applyAlignment="1" applyFont="1" applyNumberFormat="1">
      <alignment vertical="center"/>
    </xf>
    <xf borderId="45" fillId="14" fontId="18" numFmtId="164" xfId="0" applyAlignment="1" applyBorder="1" applyFont="1" applyNumberFormat="1">
      <alignment horizontal="right" shrinkToFit="1" vertical="center" wrapText="0"/>
    </xf>
    <xf borderId="0" fillId="0" fontId="15" numFmtId="164" xfId="0" applyAlignment="1" applyFont="1" applyNumberFormat="1">
      <alignment shrinkToFit="1" vertical="center" wrapText="0"/>
    </xf>
    <xf borderId="41" fillId="15" fontId="13" numFmtId="10" xfId="0" applyAlignment="1" applyBorder="1" applyFont="1" applyNumberFormat="1">
      <alignment shrinkToFit="1" vertical="center" wrapText="0"/>
    </xf>
    <xf borderId="42" fillId="15" fontId="10" numFmtId="0" xfId="0" applyAlignment="1" applyBorder="1" applyFont="1">
      <alignment horizontal="right" shrinkToFit="1" vertical="center" wrapText="0"/>
    </xf>
    <xf borderId="17" fillId="13" fontId="10" numFmtId="38" xfId="0" applyAlignment="1" applyBorder="1" applyFont="1" applyNumberFormat="1">
      <alignment shrinkToFit="1" vertical="center" wrapText="0"/>
    </xf>
    <xf borderId="52" fillId="13" fontId="10" numFmtId="38" xfId="0" applyAlignment="1" applyBorder="1" applyFont="1" applyNumberFormat="1">
      <alignment shrinkToFit="1" vertical="center" wrapText="0"/>
    </xf>
    <xf borderId="48" fillId="15" fontId="13" numFmtId="10" xfId="0" applyAlignment="1" applyBorder="1" applyFont="1" applyNumberFormat="1">
      <alignment shrinkToFit="1" vertical="center" wrapText="0"/>
    </xf>
    <xf borderId="49" fillId="15" fontId="13" numFmtId="10" xfId="0" applyAlignment="1" applyBorder="1" applyFont="1" applyNumberFormat="1">
      <alignment horizontal="right" shrinkToFit="1" vertical="center" wrapText="0"/>
    </xf>
    <xf borderId="53" fillId="13" fontId="20" numFmtId="3" xfId="0" applyAlignment="1" applyBorder="1" applyFont="1" applyNumberFormat="1">
      <alignment shrinkToFit="1" vertical="center" wrapText="0"/>
    </xf>
    <xf borderId="50" fillId="13" fontId="20" numFmtId="3" xfId="0" applyAlignment="1" applyBorder="1" applyFont="1" applyNumberFormat="1">
      <alignment shrinkToFit="1" vertical="center" wrapText="0"/>
    </xf>
    <xf borderId="54" fillId="13" fontId="20" numFmtId="3" xfId="0" applyAlignment="1" applyBorder="1" applyFont="1" applyNumberFormat="1">
      <alignment shrinkToFit="1" vertical="center" wrapText="0"/>
    </xf>
    <xf borderId="44" fillId="15" fontId="13" numFmtId="10" xfId="0" applyAlignment="1" applyBorder="1" applyFont="1" applyNumberFormat="1">
      <alignment shrinkToFit="1" vertical="center" wrapText="0"/>
    </xf>
    <xf borderId="45" fillId="15" fontId="13" numFmtId="10" xfId="0" applyAlignment="1" applyBorder="1" applyFont="1" applyNumberFormat="1">
      <alignment shrinkToFit="1" vertical="center" wrapText="0"/>
    </xf>
    <xf borderId="55" fillId="13" fontId="15" numFmtId="164" xfId="0" applyAlignment="1" applyBorder="1" applyFont="1" applyNumberFormat="1">
      <alignment shrinkToFit="1" vertical="center" wrapText="0"/>
    </xf>
    <xf borderId="46" fillId="13" fontId="15" numFmtId="164" xfId="0" applyAlignment="1" applyBorder="1" applyFont="1" applyNumberFormat="1">
      <alignment shrinkToFit="1" vertical="center" wrapText="0"/>
    </xf>
    <xf borderId="56" fillId="13" fontId="15" numFmtId="164" xfId="0" applyAlignment="1" applyBorder="1" applyFont="1" applyNumberFormat="1">
      <alignment shrinkToFit="1" vertical="center" wrapText="0"/>
    </xf>
    <xf borderId="57" fillId="0" fontId="10" numFmtId="10" xfId="0" applyAlignment="1" applyBorder="1" applyFont="1" applyNumberFormat="1">
      <alignment horizontal="left" vertical="center"/>
    </xf>
    <xf borderId="58" fillId="0" fontId="10" numFmtId="0" xfId="0" applyAlignment="1" applyBorder="1" applyFont="1">
      <alignment horizontal="right" vertical="center"/>
    </xf>
    <xf borderId="14" fillId="10" fontId="10" numFmtId="38" xfId="0" applyAlignment="1" applyBorder="1" applyFont="1" applyNumberFormat="1">
      <alignment shrinkToFit="1" vertical="center" wrapText="0"/>
    </xf>
    <xf borderId="14" fillId="10" fontId="13" numFmtId="38" xfId="0" applyAlignment="1" applyBorder="1" applyFont="1" applyNumberFormat="1">
      <alignment shrinkToFit="1" vertical="center" wrapText="0"/>
    </xf>
    <xf borderId="16" fillId="13" fontId="10" numFmtId="38" xfId="0" applyAlignment="1" applyBorder="1" applyFont="1" applyNumberFormat="1">
      <alignment shrinkToFit="1" vertical="center" wrapText="0"/>
    </xf>
    <xf borderId="58" fillId="0" fontId="13" numFmtId="10" xfId="0" applyAlignment="1" applyBorder="1" applyFont="1" applyNumberFormat="1">
      <alignment horizontal="right" vertical="center"/>
    </xf>
    <xf borderId="16" fillId="13" fontId="13" numFmtId="38" xfId="0" applyAlignment="1" applyBorder="1" applyFont="1" applyNumberFormat="1">
      <alignment shrinkToFit="1" vertical="center" wrapText="0"/>
    </xf>
    <xf borderId="0" fillId="0" fontId="13" numFmtId="164" xfId="0" applyAlignment="1" applyFont="1" applyNumberFormat="1">
      <alignment vertical="center"/>
    </xf>
    <xf borderId="0" fillId="0" fontId="13" numFmtId="164" xfId="0" applyAlignment="1" applyFont="1" applyNumberFormat="1">
      <alignment shrinkToFit="1" vertical="center" wrapText="0"/>
    </xf>
    <xf borderId="14" fillId="13" fontId="10" numFmtId="38" xfId="0" applyAlignment="1" applyBorder="1" applyFont="1" applyNumberFormat="1">
      <alignment shrinkToFit="1" vertical="center" wrapText="0"/>
    </xf>
    <xf borderId="14" fillId="13" fontId="13" numFmtId="38" xfId="0" applyAlignment="1" applyBorder="1" applyFont="1" applyNumberFormat="1">
      <alignment shrinkToFit="1" vertical="center" wrapText="0"/>
    </xf>
    <xf borderId="0" fillId="0" fontId="10" numFmtId="0" xfId="0" applyAlignment="1" applyFont="1">
      <alignment vertical="center"/>
    </xf>
    <xf borderId="17" fillId="13" fontId="14" numFmtId="38" xfId="0" applyAlignment="1" applyBorder="1" applyFont="1" applyNumberFormat="1">
      <alignment shrinkToFit="1" vertical="center" wrapText="0"/>
    </xf>
    <xf borderId="52" fillId="13" fontId="14" numFmtId="38" xfId="0" applyAlignment="1" applyBorder="1" applyFont="1" applyNumberFormat="1">
      <alignment shrinkToFit="1" vertical="center" wrapText="0"/>
    </xf>
    <xf borderId="49" fillId="15" fontId="20" numFmtId="10" xfId="0" applyAlignment="1" applyBorder="1" applyFont="1" applyNumberFormat="1">
      <alignment horizontal="right" shrinkToFit="1" vertical="center" wrapText="0"/>
    </xf>
    <xf borderId="53" fillId="13" fontId="22" numFmtId="3" xfId="0" applyAlignment="1" applyBorder="1" applyFont="1" applyNumberFormat="1">
      <alignment shrinkToFit="1" vertical="center" wrapText="0"/>
    </xf>
    <xf borderId="50" fillId="13" fontId="22" numFmtId="3" xfId="0" applyAlignment="1" applyBorder="1" applyFont="1" applyNumberFormat="1">
      <alignment shrinkToFit="1" vertical="center" wrapText="0"/>
    </xf>
    <xf borderId="57" fillId="0" fontId="10" numFmtId="164" xfId="0" applyAlignment="1" applyBorder="1" applyFont="1" applyNumberFormat="1">
      <alignment horizontal="left" vertical="center"/>
    </xf>
    <xf borderId="58" fillId="0" fontId="13" numFmtId="164" xfId="0" applyAlignment="1" applyBorder="1" applyFont="1" applyNumberFormat="1">
      <alignment horizontal="right" vertical="center"/>
    </xf>
    <xf borderId="32" fillId="0" fontId="10" numFmtId="164" xfId="0" applyAlignment="1" applyBorder="1" applyFont="1" applyNumberFormat="1">
      <alignment horizontal="left" vertical="center"/>
    </xf>
    <xf borderId="33" fillId="0" fontId="13" numFmtId="164" xfId="0" applyAlignment="1" applyBorder="1" applyFont="1" applyNumberFormat="1">
      <alignment horizontal="right" vertical="center"/>
    </xf>
    <xf borderId="33" fillId="0" fontId="10" numFmtId="0" xfId="0" applyAlignment="1" applyBorder="1" applyFont="1">
      <alignment horizontal="right" vertical="center"/>
    </xf>
    <xf borderId="32" fillId="0" fontId="10" numFmtId="0" xfId="0" applyAlignment="1" applyBorder="1" applyFont="1">
      <alignment horizontal="left" vertical="center"/>
    </xf>
    <xf borderId="33" fillId="0" fontId="13" numFmtId="164" xfId="0" applyAlignment="1" applyBorder="1" applyFont="1" applyNumberFormat="1">
      <alignment horizontal="right" shrinkToFit="1" vertical="center" wrapText="0"/>
    </xf>
    <xf borderId="57" fillId="0" fontId="10" numFmtId="0" xfId="0" applyAlignment="1" applyBorder="1" applyFont="1">
      <alignment horizontal="left" vertical="center"/>
    </xf>
    <xf borderId="33" fillId="0" fontId="10" numFmtId="0" xfId="0" applyAlignment="1" applyBorder="1" applyFont="1">
      <alignment horizontal="right" shrinkToFit="1" vertical="center" wrapText="0"/>
    </xf>
    <xf borderId="0" fillId="0" fontId="14" numFmtId="3" xfId="0" applyAlignment="1" applyFont="1" applyNumberFormat="1">
      <alignment shrinkToFit="1" vertical="center" wrapText="0"/>
    </xf>
    <xf borderId="57" fillId="0" fontId="10" numFmtId="173" xfId="0" applyAlignment="1" applyBorder="1" applyFont="1" applyNumberFormat="1">
      <alignment horizontal="left" vertical="center"/>
    </xf>
    <xf borderId="33" fillId="0" fontId="13" numFmtId="0" xfId="0" applyAlignment="1" applyBorder="1" applyFont="1">
      <alignment horizontal="right" vertical="center"/>
    </xf>
    <xf borderId="58" fillId="0" fontId="13" numFmtId="173" xfId="0" applyAlignment="1" applyBorder="1" applyFont="1" applyNumberFormat="1">
      <alignment horizontal="right" vertical="center"/>
    </xf>
    <xf borderId="0" fillId="0" fontId="10" numFmtId="3" xfId="0" applyAlignment="1" applyFont="1" applyNumberFormat="1">
      <alignment shrinkToFit="1" vertical="center" wrapText="0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1" vertical="center" wrapText="0"/>
    </xf>
    <xf borderId="0" fillId="0" fontId="13" numFmtId="3" xfId="0" applyAlignment="1" applyFont="1" applyNumberFormat="1">
      <alignment shrinkToFit="1" vertical="center" wrapText="0"/>
    </xf>
    <xf borderId="0" fillId="0" fontId="15" numFmtId="3" xfId="0" applyAlignment="1" applyFont="1" applyNumberFormat="1">
      <alignment shrinkToFit="1" vertical="center" wrapText="0"/>
    </xf>
    <xf borderId="0" fillId="0" fontId="14" numFmtId="0" xfId="0" applyAlignment="1" applyFont="1">
      <alignment vertical="center"/>
    </xf>
    <xf borderId="0" fillId="0" fontId="14" numFmtId="0" xfId="0" applyAlignment="1" applyFont="1">
      <alignment shrinkToFit="1" vertical="center" wrapText="0"/>
    </xf>
    <xf borderId="0" fillId="0" fontId="10" numFmtId="165" xfId="0" applyAlignment="1" applyFont="1" applyNumberFormat="1">
      <alignment vertical="center"/>
    </xf>
    <xf borderId="0" fillId="0" fontId="10" numFmtId="165" xfId="0" applyAlignment="1" applyFont="1" applyNumberFormat="1">
      <alignment shrinkToFit="1" vertical="center" wrapText="0"/>
    </xf>
    <xf borderId="0" fillId="0" fontId="13" numFmtId="165" xfId="0" applyAlignment="1" applyFont="1" applyNumberFormat="1">
      <alignment vertical="center"/>
    </xf>
    <xf borderId="0" fillId="0" fontId="13" numFmtId="165" xfId="0" applyAlignment="1" applyFont="1" applyNumberFormat="1">
      <alignment shrinkToFit="1" vertical="center" wrapText="0"/>
    </xf>
    <xf borderId="0" fillId="0" fontId="10" numFmtId="165" xfId="0" applyAlignment="1" applyFont="1" applyNumberFormat="1">
      <alignment horizontal="right" vertical="center"/>
    </xf>
    <xf borderId="0" fillId="0" fontId="10" numFmtId="165" xfId="0" applyAlignment="1" applyFont="1" applyNumberFormat="1">
      <alignment horizontal="right" shrinkToFit="1" vertical="center" wrapText="0"/>
    </xf>
    <xf borderId="0" fillId="0" fontId="13" numFmtId="174" xfId="0" applyAlignment="1" applyFont="1" applyNumberFormat="1">
      <alignment horizontal="right" vertical="center"/>
    </xf>
    <xf borderId="32" fillId="0" fontId="10" numFmtId="173" xfId="0" applyAlignment="1" applyBorder="1" applyFont="1" applyNumberFormat="1">
      <alignment horizontal="left" vertical="center"/>
    </xf>
    <xf borderId="33" fillId="0" fontId="13" numFmtId="173" xfId="0" applyAlignment="1" applyBorder="1" applyFont="1" applyNumberFormat="1">
      <alignment horizontal="right" vertical="center"/>
    </xf>
    <xf borderId="52" fillId="13" fontId="13" numFmtId="38" xfId="0" applyAlignment="1" applyBorder="1" applyFont="1" applyNumberFormat="1">
      <alignment shrinkToFit="1" vertical="center" wrapText="0"/>
    </xf>
    <xf borderId="32" fillId="0" fontId="10" numFmtId="0" xfId="0" applyAlignment="1" applyBorder="1" applyFont="1">
      <alignment horizontal="left" shrinkToFit="1" vertical="center" wrapText="0"/>
    </xf>
    <xf borderId="17" fillId="10" fontId="14" numFmtId="38" xfId="0" applyAlignment="1" applyBorder="1" applyFont="1" applyNumberFormat="1">
      <alignment shrinkToFit="1" vertical="center" wrapText="0"/>
    </xf>
    <xf borderId="17" fillId="10" fontId="13" numFmtId="3" xfId="0" applyAlignment="1" applyBorder="1" applyFont="1" applyNumberFormat="1">
      <alignment shrinkToFit="1" vertical="center" wrapText="0"/>
    </xf>
    <xf borderId="52" fillId="13" fontId="13" numFmtId="3" xfId="0" applyAlignment="1" applyBorder="1" applyFont="1" applyNumberFormat="1">
      <alignment shrinkToFit="1" vertical="center" wrapText="0"/>
    </xf>
    <xf borderId="45" fillId="15" fontId="10" numFmtId="10" xfId="0" applyAlignment="1" applyBorder="1" applyFont="1" applyNumberFormat="1">
      <alignment horizontal="right" shrinkToFit="1" vertical="center" wrapText="0"/>
    </xf>
    <xf borderId="41" fillId="15" fontId="13" numFmtId="10" xfId="0" applyAlignment="1" applyBorder="1" applyFont="1" applyNumberFormat="1">
      <alignment vertical="center"/>
    </xf>
    <xf borderId="52" fillId="13" fontId="20" numFmtId="3" xfId="0" applyAlignment="1" applyBorder="1" applyFont="1" applyNumberFormat="1">
      <alignment shrinkToFit="1" vertical="center" wrapText="0"/>
    </xf>
    <xf borderId="54" fillId="13" fontId="15" numFmtId="164" xfId="0" applyAlignment="1" applyBorder="1" applyFont="1" applyNumberFormat="1">
      <alignment shrinkToFit="1" vertical="center" wrapText="0"/>
    </xf>
    <xf borderId="32" fillId="0" fontId="21" numFmtId="0" xfId="0" applyAlignment="1" applyBorder="1" applyFont="1">
      <alignment horizontal="left" vertical="center"/>
    </xf>
    <xf borderId="32" fillId="0" fontId="10" numFmtId="10" xfId="0" applyAlignment="1" applyBorder="1" applyFont="1" applyNumberFormat="1">
      <alignment horizontal="left" vertical="center"/>
    </xf>
    <xf borderId="32" fillId="0" fontId="10" numFmtId="165" xfId="0" applyAlignment="1" applyBorder="1" applyFont="1" applyNumberFormat="1">
      <alignment horizontal="left" vertical="center"/>
    </xf>
    <xf borderId="32" fillId="0" fontId="23" numFmtId="10" xfId="0" applyAlignment="1" applyBorder="1" applyFont="1" applyNumberFormat="1">
      <alignment horizontal="left" vertical="center"/>
    </xf>
    <xf borderId="33" fillId="0" fontId="13" numFmtId="165" xfId="0" applyAlignment="1" applyBorder="1" applyFont="1" applyNumberFormat="1">
      <alignment horizontal="right" vertical="center"/>
    </xf>
    <xf borderId="33" fillId="0" fontId="13" numFmtId="10" xfId="0" applyAlignment="1" applyBorder="1" applyFont="1" applyNumberFormat="1">
      <alignment horizontal="right" vertical="center"/>
    </xf>
    <xf borderId="17" fillId="13" fontId="10" numFmtId="165" xfId="0" applyAlignment="1" applyBorder="1" applyFont="1" applyNumberFormat="1">
      <alignment shrinkToFit="1" vertical="center" wrapText="0"/>
    </xf>
    <xf borderId="59" fillId="13" fontId="10" numFmtId="165" xfId="0" applyAlignment="1" applyBorder="1" applyFont="1" applyNumberFormat="1">
      <alignment shrinkToFit="1" vertical="center" wrapText="0"/>
    </xf>
    <xf borderId="60" fillId="0" fontId="10" numFmtId="10" xfId="0" applyAlignment="1" applyBorder="1" applyFont="1" applyNumberFormat="1">
      <alignment horizontal="left" vertical="center"/>
    </xf>
    <xf borderId="61" fillId="0" fontId="13" numFmtId="10" xfId="0" applyAlignment="1" applyBorder="1" applyFont="1" applyNumberFormat="1">
      <alignment horizontal="right" vertical="center"/>
    </xf>
    <xf borderId="62" fillId="13" fontId="13" numFmtId="165" xfId="0" applyAlignment="1" applyBorder="1" applyFont="1" applyNumberFormat="1">
      <alignment shrinkToFit="1" vertical="center" wrapText="0"/>
    </xf>
    <xf borderId="63" fillId="13" fontId="13" numFmtId="165" xfId="0" applyAlignment="1" applyBorder="1" applyFont="1" applyNumberFormat="1">
      <alignment shrinkToFit="1" vertical="center" wrapText="0"/>
    </xf>
    <xf borderId="64" fillId="13" fontId="13" numFmtId="38" xfId="0" applyAlignment="1" applyBorder="1" applyFont="1" applyNumberFormat="1">
      <alignment shrinkToFit="1" vertical="center" wrapText="0"/>
    </xf>
    <xf borderId="42" fillId="14" fontId="10" numFmtId="0" xfId="0" applyAlignment="1" applyBorder="1" applyFont="1">
      <alignment horizontal="right" shrinkToFit="1" vertical="center" wrapText="0"/>
    </xf>
    <xf borderId="17" fillId="14" fontId="14" numFmtId="38" xfId="0" applyAlignment="1" applyBorder="1" applyFont="1" applyNumberFormat="1">
      <alignment shrinkToFit="1" vertical="center" wrapText="0"/>
    </xf>
    <xf borderId="51" fillId="14" fontId="14" numFmtId="38" xfId="0" applyAlignment="1" applyBorder="1" applyFont="1" applyNumberFormat="1">
      <alignment shrinkToFit="1" vertical="center" wrapText="0"/>
    </xf>
    <xf borderId="49" fillId="14" fontId="16" numFmtId="164" xfId="0" applyAlignment="1" applyBorder="1" applyFont="1" applyNumberFormat="1">
      <alignment horizontal="right" shrinkToFit="1" vertical="center" wrapText="0"/>
    </xf>
    <xf borderId="65" fillId="5" fontId="13" numFmtId="38" xfId="0" applyAlignment="1" applyBorder="1" applyFont="1" applyNumberFormat="1">
      <alignment horizontal="left" vertical="center"/>
    </xf>
    <xf borderId="6" fillId="5" fontId="13" numFmtId="38" xfId="0" applyAlignment="1" applyBorder="1" applyFont="1" applyNumberFormat="1">
      <alignment horizontal="left" shrinkToFit="1" vertical="center" wrapText="0"/>
    </xf>
    <xf borderId="24" fillId="5" fontId="13" numFmtId="38" xfId="0" applyAlignment="1" applyBorder="1" applyFont="1" applyNumberFormat="1">
      <alignment shrinkToFit="1" vertical="center" wrapText="0"/>
    </xf>
    <xf borderId="6" fillId="5" fontId="13" numFmtId="38" xfId="0" applyAlignment="1" applyBorder="1" applyFont="1" applyNumberFormat="1">
      <alignment shrinkToFit="1" vertical="center" wrapText="0"/>
    </xf>
    <xf borderId="66" fillId="5" fontId="13" numFmtId="38" xfId="0" applyAlignment="1" applyBorder="1" applyFont="1" applyNumberFormat="1">
      <alignment shrinkToFit="1" vertical="center" wrapText="0"/>
    </xf>
    <xf borderId="67" fillId="5" fontId="13" numFmtId="38" xfId="0" applyAlignment="1" applyBorder="1" applyFont="1" applyNumberFormat="1">
      <alignment shrinkToFit="1" vertical="center" wrapText="0"/>
    </xf>
    <xf borderId="68" fillId="5" fontId="13" numFmtId="38" xfId="0" applyAlignment="1" applyBorder="1" applyFont="1" applyNumberFormat="1">
      <alignment shrinkToFit="1" vertical="center" wrapText="0"/>
    </xf>
    <xf borderId="69" fillId="5" fontId="15" numFmtId="164" xfId="0" applyAlignment="1" applyBorder="1" applyFont="1" applyNumberFormat="1">
      <alignment shrinkToFit="1" vertical="center" wrapText="0"/>
    </xf>
    <xf borderId="70" fillId="5" fontId="15" numFmtId="164" xfId="0" applyAlignment="1" applyBorder="1" applyFont="1" applyNumberFormat="1">
      <alignment shrinkToFit="1" vertical="center" wrapText="0"/>
    </xf>
    <xf borderId="29" fillId="0" fontId="13" numFmtId="165" xfId="0" applyAlignment="1" applyBorder="1" applyFont="1" applyNumberFormat="1">
      <alignment horizontal="left" shrinkToFit="1" vertical="center" wrapText="0"/>
    </xf>
    <xf borderId="30" fillId="0" fontId="5" numFmtId="0" xfId="0" applyAlignment="1" applyBorder="1" applyFont="1">
      <alignment vertical="center"/>
    </xf>
    <xf borderId="71" fillId="0" fontId="13" numFmtId="165" xfId="0" applyAlignment="1" applyBorder="1" applyFont="1" applyNumberFormat="1">
      <alignment horizontal="right" shrinkToFit="1" vertical="center" wrapText="0"/>
    </xf>
    <xf borderId="72" fillId="0" fontId="13" numFmtId="165" xfId="0" applyAlignment="1" applyBorder="1" applyFont="1" applyNumberFormat="1">
      <alignment horizontal="right" shrinkToFit="1" vertical="center" wrapText="0"/>
    </xf>
    <xf borderId="73" fillId="0" fontId="15" numFmtId="164" xfId="0" applyAlignment="1" applyBorder="1" applyFont="1" applyNumberFormat="1">
      <alignment horizontal="left" shrinkToFit="1" vertical="center" wrapText="0"/>
    </xf>
    <xf borderId="74" fillId="0" fontId="5" numFmtId="0" xfId="0" applyAlignment="1" applyBorder="1" applyFont="1">
      <alignment vertical="center"/>
    </xf>
    <xf borderId="71" fillId="0" fontId="13" numFmtId="165" xfId="0" applyAlignment="1" applyBorder="1" applyFont="1" applyNumberFormat="1">
      <alignment horizontal="right" vertical="center"/>
    </xf>
    <xf borderId="75" fillId="0" fontId="13" numFmtId="165" xfId="0" applyAlignment="1" applyBorder="1" applyFont="1" applyNumberFormat="1">
      <alignment horizontal="right" vertical="center"/>
    </xf>
    <xf borderId="72" fillId="0" fontId="13" numFmtId="165" xfId="0" applyAlignment="1" applyBorder="1" applyFont="1" applyNumberFormat="1">
      <alignment horizontal="right" vertical="center"/>
    </xf>
    <xf borderId="76" fillId="16" fontId="13" numFmtId="38" xfId="0" applyAlignment="1" applyBorder="1" applyFill="1" applyFont="1" applyNumberFormat="1">
      <alignment vertical="center"/>
    </xf>
    <xf borderId="77" fillId="16" fontId="13" numFmtId="38" xfId="0" applyAlignment="1" applyBorder="1" applyFont="1" applyNumberFormat="1">
      <alignment shrinkToFit="1" vertical="center" wrapText="0"/>
    </xf>
    <xf borderId="76" fillId="17" fontId="13" numFmtId="38" xfId="0" applyAlignment="1" applyBorder="1" applyFill="1" applyFont="1" applyNumberFormat="1">
      <alignment horizontal="left" vertical="center"/>
    </xf>
    <xf borderId="71" fillId="10" fontId="13" numFmtId="38" xfId="0" applyAlignment="1" applyBorder="1" applyFont="1" applyNumberFormat="1">
      <alignment horizontal="right" vertical="center"/>
    </xf>
    <xf borderId="78" fillId="10" fontId="13" numFmtId="38" xfId="0" applyAlignment="1" applyBorder="1" applyFont="1" applyNumberFormat="1">
      <alignment horizontal="right" vertical="center"/>
    </xf>
    <xf borderId="79" fillId="0" fontId="24" numFmtId="38" xfId="0" applyAlignment="1" applyBorder="1" applyFont="1" applyNumberFormat="1">
      <alignment horizontal="right" shrinkToFit="1" vertical="center" wrapText="0"/>
    </xf>
    <xf borderId="80" fillId="0" fontId="5" numFmtId="0" xfId="0" applyAlignment="1" applyBorder="1" applyFont="1">
      <alignment horizontal="right" vertical="bottom"/>
    </xf>
    <xf borderId="81" fillId="0" fontId="13" numFmtId="0" xfId="0" applyAlignment="1" applyBorder="1" applyFont="1">
      <alignment horizontal="center" shrinkToFit="1" vertical="center" wrapText="0"/>
    </xf>
    <xf borderId="82" fillId="0" fontId="13" numFmtId="0" xfId="0" applyAlignment="1" applyBorder="1" applyFont="1">
      <alignment horizontal="center" shrinkToFit="1" vertical="center" wrapText="0"/>
    </xf>
    <xf borderId="83" fillId="0" fontId="13" numFmtId="0" xfId="0" applyAlignment="1" applyBorder="1" applyFont="1">
      <alignment horizontal="center" shrinkToFit="1" vertical="center" wrapText="0"/>
    </xf>
    <xf borderId="84" fillId="15" fontId="13" numFmtId="175" xfId="0" applyAlignment="1" applyBorder="1" applyFont="1" applyNumberFormat="1">
      <alignment horizontal="left" shrinkToFit="1" vertical="center" wrapText="0"/>
    </xf>
    <xf borderId="10" fillId="15" fontId="13" numFmtId="175" xfId="0" applyAlignment="1" applyBorder="1" applyFont="1" applyNumberFormat="1">
      <alignment horizontal="left" shrinkToFit="1" vertical="center" wrapText="0"/>
    </xf>
    <xf borderId="85" fillId="15" fontId="13" numFmtId="175" xfId="0" applyAlignment="1" applyBorder="1" applyFont="1" applyNumberFormat="1">
      <alignment shrinkToFit="1" vertical="center" wrapText="0"/>
    </xf>
    <xf borderId="9" fillId="15" fontId="13" numFmtId="175" xfId="0" applyAlignment="1" applyBorder="1" applyFont="1" applyNumberFormat="1">
      <alignment shrinkToFit="1" vertical="center" wrapText="0"/>
    </xf>
    <xf borderId="26" fillId="15" fontId="13" numFmtId="175" xfId="0" applyAlignment="1" applyBorder="1" applyFont="1" applyNumberFormat="1">
      <alignment shrinkToFit="1" vertical="center" wrapText="0"/>
    </xf>
    <xf borderId="41" fillId="15" fontId="13" numFmtId="175" xfId="0" applyAlignment="1" applyBorder="1" applyFont="1" applyNumberFormat="1">
      <alignment horizontal="left" shrinkToFit="1" vertical="center" wrapText="0"/>
    </xf>
    <xf borderId="42" fillId="15" fontId="13" numFmtId="175" xfId="0" applyAlignment="1" applyBorder="1" applyFont="1" applyNumberFormat="1">
      <alignment horizontal="left" shrinkToFit="1" vertical="center" wrapText="0"/>
    </xf>
    <xf borderId="59" fillId="15" fontId="13" numFmtId="175" xfId="0" applyAlignment="1" applyBorder="1" applyFont="1" applyNumberFormat="1">
      <alignment shrinkToFit="1" vertical="center" wrapText="0"/>
    </xf>
    <xf borderId="17" fillId="15" fontId="13" numFmtId="175" xfId="0" applyAlignment="1" applyBorder="1" applyFont="1" applyNumberFormat="1">
      <alignment shrinkToFit="1" vertical="center" wrapText="0"/>
    </xf>
    <xf borderId="43" fillId="15" fontId="13" numFmtId="175" xfId="0" applyAlignment="1" applyBorder="1" applyFont="1" applyNumberFormat="1">
      <alignment shrinkToFit="1" vertical="center" wrapText="0"/>
    </xf>
    <xf borderId="44" fillId="18" fontId="19" numFmtId="0" xfId="0" applyAlignment="1" applyBorder="1" applyFill="1" applyFont="1">
      <alignment horizontal="left" shrinkToFit="1" vertical="center" wrapText="0"/>
    </xf>
    <xf borderId="45" fillId="18" fontId="19" numFmtId="0" xfId="0" applyAlignment="1" applyBorder="1" applyFont="1">
      <alignment horizontal="right" shrinkToFit="1" vertical="center" wrapText="0"/>
    </xf>
    <xf borderId="86" fillId="18" fontId="15" numFmtId="164" xfId="0" applyAlignment="1" applyBorder="1" applyFont="1" applyNumberFormat="1">
      <alignment shrinkToFit="1" vertical="center" wrapText="0"/>
    </xf>
    <xf borderId="46" fillId="18" fontId="15" numFmtId="164" xfId="0" applyAlignment="1" applyBorder="1" applyFont="1" applyNumberFormat="1">
      <alignment shrinkToFit="1" vertical="center" wrapText="0"/>
    </xf>
    <xf borderId="55" fillId="15" fontId="15" numFmtId="164" xfId="0" applyAlignment="1" applyBorder="1" applyFont="1" applyNumberFormat="1">
      <alignment shrinkToFit="1" vertical="center" wrapText="0"/>
    </xf>
    <xf borderId="47" fillId="15" fontId="15" numFmtId="164" xfId="0" applyAlignment="1" applyBorder="1" applyFont="1" applyNumberFormat="1">
      <alignment shrinkToFit="1" vertical="center" wrapText="0"/>
    </xf>
    <xf borderId="41" fillId="14" fontId="13" numFmtId="175" xfId="0" applyAlignment="1" applyBorder="1" applyFont="1" applyNumberFormat="1">
      <alignment shrinkToFit="1" vertical="center" wrapText="0"/>
    </xf>
    <xf borderId="42" fillId="14" fontId="13" numFmtId="175" xfId="0" applyAlignment="1" applyBorder="1" applyFont="1" applyNumberFormat="1">
      <alignment horizontal="right" shrinkToFit="1" vertical="center" wrapText="0"/>
    </xf>
    <xf borderId="59" fillId="14" fontId="13" numFmtId="175" xfId="0" applyAlignment="1" applyBorder="1" applyFont="1" applyNumberFormat="1">
      <alignment shrinkToFit="1" vertical="center" wrapText="0"/>
    </xf>
    <xf borderId="17" fillId="14" fontId="13" numFmtId="175" xfId="0" applyAlignment="1" applyBorder="1" applyFont="1" applyNumberFormat="1">
      <alignment shrinkToFit="1" vertical="center" wrapText="0"/>
    </xf>
    <xf borderId="43" fillId="14" fontId="13" numFmtId="175" xfId="0" applyAlignment="1" applyBorder="1" applyFont="1" applyNumberFormat="1">
      <alignment shrinkToFit="1" vertical="center" wrapText="0"/>
    </xf>
    <xf borderId="55" fillId="14" fontId="15" numFmtId="164" xfId="0" applyAlignment="1" applyBorder="1" applyFont="1" applyNumberFormat="1">
      <alignment shrinkToFit="1" vertical="center" wrapText="0"/>
    </xf>
    <xf borderId="42" fillId="15" fontId="18" numFmtId="38" xfId="0" applyAlignment="1" applyBorder="1" applyFont="1" applyNumberFormat="1">
      <alignment horizontal="right" shrinkToFit="1" vertical="center" wrapText="0"/>
    </xf>
    <xf borderId="59" fillId="15" fontId="14" numFmtId="38" xfId="0" applyAlignment="1" applyBorder="1" applyFont="1" applyNumberFormat="1">
      <alignment shrinkToFit="1" vertical="center" wrapText="0"/>
    </xf>
    <xf borderId="17" fillId="15" fontId="14" numFmtId="38" xfId="0" applyAlignment="1" applyBorder="1" applyFont="1" applyNumberFormat="1">
      <alignment shrinkToFit="1" vertical="center" wrapText="0"/>
    </xf>
    <xf borderId="43" fillId="15" fontId="14" numFmtId="38" xfId="0" applyAlignment="1" applyBorder="1" applyFont="1" applyNumberFormat="1">
      <alignment shrinkToFit="1" vertical="center" wrapText="0"/>
    </xf>
    <xf borderId="48" fillId="15" fontId="16" numFmtId="164" xfId="0" applyAlignment="1" applyBorder="1" applyFont="1" applyNumberFormat="1">
      <alignment horizontal="left" shrinkToFit="1" vertical="center" wrapText="0"/>
    </xf>
    <xf borderId="49" fillId="15" fontId="20" numFmtId="164" xfId="0" applyAlignment="1" applyBorder="1" applyFont="1" applyNumberFormat="1">
      <alignment horizontal="right" shrinkToFit="1" vertical="center" wrapText="0"/>
    </xf>
    <xf borderId="53" fillId="15" fontId="20" numFmtId="3" xfId="0" applyAlignment="1" applyBorder="1" applyFont="1" applyNumberFormat="1">
      <alignment shrinkToFit="1" vertical="center" wrapText="0"/>
    </xf>
    <xf borderId="50" fillId="15" fontId="20" numFmtId="3" xfId="0" applyAlignment="1" applyBorder="1" applyFont="1" applyNumberFormat="1">
      <alignment shrinkToFit="1" vertical="center" wrapText="0"/>
    </xf>
    <xf borderId="51" fillId="15" fontId="20" numFmtId="3" xfId="0" applyAlignment="1" applyBorder="1" applyFont="1" applyNumberFormat="1">
      <alignment shrinkToFit="1" vertical="center" wrapText="0"/>
    </xf>
    <xf borderId="45" fillId="15" fontId="18" numFmtId="164" xfId="0" applyAlignment="1" applyBorder="1" applyFont="1" applyNumberFormat="1">
      <alignment horizontal="right" shrinkToFit="1" vertical="center" wrapText="0"/>
    </xf>
    <xf borderId="55" fillId="15" fontId="17" numFmtId="164" xfId="0" applyAlignment="1" applyBorder="1" applyFont="1" applyNumberFormat="1">
      <alignment shrinkToFit="1" vertical="center" wrapText="0"/>
    </xf>
    <xf borderId="46" fillId="15" fontId="17" numFmtId="164" xfId="0" applyAlignment="1" applyBorder="1" applyFont="1" applyNumberFormat="1">
      <alignment shrinkToFit="1" vertical="center" wrapText="0"/>
    </xf>
    <xf borderId="47" fillId="15" fontId="17" numFmtId="164" xfId="0" applyAlignment="1" applyBorder="1" applyFont="1" applyNumberFormat="1">
      <alignment shrinkToFit="1" vertical="center" wrapText="0"/>
    </xf>
    <xf borderId="42" fillId="15" fontId="18" numFmtId="175" xfId="0" applyAlignment="1" applyBorder="1" applyFont="1" applyNumberFormat="1">
      <alignment horizontal="right" shrinkToFit="1" vertical="center" wrapText="0"/>
    </xf>
    <xf borderId="59" fillId="15" fontId="14" numFmtId="175" xfId="0" applyAlignment="1" applyBorder="1" applyFont="1" applyNumberFormat="1">
      <alignment shrinkToFit="1" vertical="center" wrapText="0"/>
    </xf>
    <xf borderId="17" fillId="15" fontId="14" numFmtId="175" xfId="0" applyAlignment="1" applyBorder="1" applyFont="1" applyNumberFormat="1">
      <alignment shrinkToFit="1" vertical="center" wrapText="0"/>
    </xf>
    <xf borderId="43" fillId="15" fontId="14" numFmtId="175" xfId="0" applyAlignment="1" applyBorder="1" applyFont="1" applyNumberFormat="1">
      <alignment shrinkToFit="1" vertical="center" wrapText="0"/>
    </xf>
    <xf borderId="48" fillId="15" fontId="17" numFmtId="164" xfId="0" applyAlignment="1" applyBorder="1" applyFont="1" applyNumberFormat="1">
      <alignment horizontal="left" shrinkToFit="1" vertical="center" wrapText="0"/>
    </xf>
    <xf borderId="49" fillId="15" fontId="20" numFmtId="175" xfId="0" applyAlignment="1" applyBorder="1" applyFont="1" applyNumberFormat="1">
      <alignment horizontal="right" vertical="center"/>
    </xf>
    <xf borderId="17" fillId="15" fontId="20" numFmtId="175" xfId="0" applyAlignment="1" applyBorder="1" applyFont="1" applyNumberFormat="1">
      <alignment shrinkToFit="1" vertical="center" wrapText="0"/>
    </xf>
    <xf borderId="45" fillId="15" fontId="18" numFmtId="0" xfId="0" applyAlignment="1" applyBorder="1" applyFont="1">
      <alignment horizontal="right" vertical="center"/>
    </xf>
    <xf borderId="47" fillId="15" fontId="17" numFmtId="38" xfId="0" applyAlignment="1" applyBorder="1" applyFont="1" applyNumberFormat="1">
      <alignment shrinkToFit="1" vertical="center" wrapText="0"/>
    </xf>
    <xf borderId="48" fillId="14" fontId="13" numFmtId="175" xfId="0" applyAlignment="1" applyBorder="1" applyFont="1" applyNumberFormat="1">
      <alignment shrinkToFit="1" vertical="center" wrapText="0"/>
    </xf>
    <xf borderId="49" fillId="14" fontId="18" numFmtId="175" xfId="0" applyAlignment="1" applyBorder="1" applyFont="1" applyNumberFormat="1">
      <alignment horizontal="right" vertical="center"/>
    </xf>
    <xf borderId="53" fillId="14" fontId="14" numFmtId="175" xfId="0" applyAlignment="1" applyBorder="1" applyFont="1" applyNumberFormat="1">
      <alignment shrinkToFit="1" vertical="center" wrapText="0"/>
    </xf>
    <xf borderId="50" fillId="14" fontId="14" numFmtId="175" xfId="0" applyAlignment="1" applyBorder="1" applyFont="1" applyNumberFormat="1">
      <alignment shrinkToFit="1" vertical="center" wrapText="0"/>
    </xf>
    <xf borderId="51" fillId="14" fontId="14" numFmtId="175" xfId="0" applyAlignment="1" applyBorder="1" applyFont="1" applyNumberFormat="1">
      <alignment shrinkToFit="1" vertical="center" wrapText="0"/>
    </xf>
    <xf borderId="49" fillId="14" fontId="19" numFmtId="175" xfId="0" applyAlignment="1" applyBorder="1" applyFont="1" applyNumberFormat="1">
      <alignment horizontal="right" vertical="center"/>
    </xf>
    <xf borderId="53" fillId="14" fontId="13" numFmtId="175" xfId="0" applyAlignment="1" applyBorder="1" applyFont="1" applyNumberFormat="1">
      <alignment shrinkToFit="1" vertical="center" wrapText="0"/>
    </xf>
    <xf borderId="50" fillId="14" fontId="13" numFmtId="175" xfId="0" applyAlignment="1" applyBorder="1" applyFont="1" applyNumberFormat="1">
      <alignment shrinkToFit="1" vertical="center" wrapText="0"/>
    </xf>
    <xf borderId="49" fillId="14" fontId="18" numFmtId="164" xfId="0" applyAlignment="1" applyBorder="1" applyFont="1" applyNumberFormat="1">
      <alignment horizontal="right" vertical="center"/>
    </xf>
    <xf borderId="53" fillId="14" fontId="15" numFmtId="164" xfId="0" applyAlignment="1" applyBorder="1" applyFont="1" applyNumberFormat="1">
      <alignment shrinkToFit="1" vertical="center" wrapText="0"/>
    </xf>
    <xf borderId="50" fillId="14" fontId="15" numFmtId="164" xfId="0" applyAlignment="1" applyBorder="1" applyFont="1" applyNumberFormat="1">
      <alignment shrinkToFit="1" vertical="center" wrapText="0"/>
    </xf>
    <xf borderId="51" fillId="14" fontId="15" numFmtId="164" xfId="0" applyAlignment="1" applyBorder="1" applyFont="1" applyNumberFormat="1">
      <alignment shrinkToFit="1" vertical="center" wrapText="0"/>
    </xf>
    <xf borderId="41" fillId="14" fontId="13" numFmtId="175" xfId="0" applyAlignment="1" applyBorder="1" applyFont="1" applyNumberFormat="1">
      <alignment vertical="center"/>
    </xf>
    <xf borderId="59" fillId="14" fontId="14" numFmtId="175" xfId="0" applyAlignment="1" applyBorder="1" applyFont="1" applyNumberFormat="1">
      <alignment shrinkToFit="1" vertical="center" wrapText="0"/>
    </xf>
    <xf borderId="17" fillId="14" fontId="14" numFmtId="175" xfId="0" applyAlignment="1" applyBorder="1" applyFont="1" applyNumberFormat="1">
      <alignment shrinkToFit="1" vertical="center" wrapText="0"/>
    </xf>
    <xf borderId="43" fillId="14" fontId="14" numFmtId="175" xfId="0" applyAlignment="1" applyBorder="1" applyFont="1" applyNumberFormat="1">
      <alignment shrinkToFit="1" vertical="center" wrapText="0"/>
    </xf>
    <xf borderId="49" fillId="14" fontId="20" numFmtId="175" xfId="0" applyAlignment="1" applyBorder="1" applyFont="1" applyNumberFormat="1">
      <alignment horizontal="right" vertical="center"/>
    </xf>
    <xf borderId="53" fillId="14" fontId="20" numFmtId="3" xfId="0" applyAlignment="1" applyBorder="1" applyFont="1" applyNumberFormat="1">
      <alignment shrinkToFit="1" vertical="center" wrapText="0"/>
    </xf>
    <xf borderId="49" fillId="14" fontId="18" numFmtId="164" xfId="0" applyAlignment="1" applyBorder="1" applyFont="1" applyNumberFormat="1">
      <alignment horizontal="right" shrinkToFit="1" vertical="center" wrapText="0"/>
    </xf>
    <xf borderId="48" fillId="15" fontId="15" numFmtId="164" xfId="0" applyAlignment="1" applyBorder="1" applyFont="1" applyNumberFormat="1">
      <alignment horizontal="left" vertical="center"/>
    </xf>
    <xf borderId="44" fillId="15" fontId="15" numFmtId="164" xfId="0" applyAlignment="1" applyBorder="1" applyFont="1" applyNumberFormat="1">
      <alignment horizontal="left" vertical="center"/>
    </xf>
    <xf borderId="45" fillId="15" fontId="18" numFmtId="164" xfId="0" applyAlignment="1" applyBorder="1" applyFont="1" applyNumberFormat="1">
      <alignment horizontal="right" vertical="center"/>
    </xf>
    <xf borderId="46" fillId="15" fontId="15" numFmtId="164" xfId="0" applyAlignment="1" applyBorder="1" applyFont="1" applyNumberFormat="1">
      <alignment shrinkToFit="1" vertical="center" wrapText="0"/>
    </xf>
    <xf borderId="87" fillId="3" fontId="10" numFmtId="10" xfId="0" applyAlignment="1" applyBorder="1" applyFont="1" applyNumberFormat="1">
      <alignment horizontal="left" vertical="center"/>
    </xf>
    <xf borderId="25" fillId="3" fontId="21" numFmtId="175" xfId="0" applyAlignment="1" applyBorder="1" applyFont="1" applyNumberFormat="1">
      <alignment horizontal="right" vertical="center"/>
    </xf>
    <xf borderId="88" fillId="3" fontId="10" numFmtId="38" xfId="0" applyAlignment="1" applyBorder="1" applyFont="1" applyNumberFormat="1">
      <alignment shrinkToFit="1" vertical="center" wrapText="0"/>
    </xf>
    <xf borderId="14" fillId="3" fontId="10" numFmtId="38" xfId="0" applyAlignment="1" applyBorder="1" applyFont="1" applyNumberFormat="1">
      <alignment shrinkToFit="1" vertical="center" wrapText="0"/>
    </xf>
    <xf borderId="27" fillId="3" fontId="10" numFmtId="38" xfId="0" applyAlignment="1" applyBorder="1" applyFont="1" applyNumberFormat="1">
      <alignment shrinkToFit="1" vertical="center" wrapText="0"/>
    </xf>
    <xf borderId="25" fillId="3" fontId="20" numFmtId="10" xfId="0" applyAlignment="1" applyBorder="1" applyFont="1" applyNumberFormat="1">
      <alignment horizontal="right" vertical="center"/>
    </xf>
    <xf borderId="59" fillId="19" fontId="13" numFmtId="38" xfId="0" applyAlignment="1" applyBorder="1" applyFill="1" applyFont="1" applyNumberFormat="1">
      <alignment shrinkToFit="1" vertical="center" wrapText="0"/>
    </xf>
    <xf borderId="14" fillId="19" fontId="13" numFmtId="38" xfId="0" applyAlignment="1" applyBorder="1" applyFont="1" applyNumberFormat="1">
      <alignment shrinkToFit="1" vertical="center" wrapText="0"/>
    </xf>
    <xf borderId="88" fillId="19" fontId="13" numFmtId="38" xfId="0" applyAlignment="1" applyBorder="1" applyFont="1" applyNumberFormat="1">
      <alignment shrinkToFit="1" vertical="center" wrapText="0"/>
    </xf>
    <xf borderId="27" fillId="19" fontId="13" numFmtId="38" xfId="0" applyAlignment="1" applyBorder="1" applyFont="1" applyNumberFormat="1">
      <alignment shrinkToFit="1" vertical="center" wrapText="0"/>
    </xf>
    <xf borderId="59" fillId="19" fontId="10" numFmtId="38" xfId="0" applyAlignment="1" applyBorder="1" applyFont="1" applyNumberFormat="1">
      <alignment shrinkToFit="1" vertical="center" wrapText="0"/>
    </xf>
    <xf borderId="14" fillId="19" fontId="10" numFmtId="38" xfId="0" applyAlignment="1" applyBorder="1" applyFont="1" applyNumberFormat="1">
      <alignment shrinkToFit="1" vertical="center" wrapText="0"/>
    </xf>
    <xf borderId="88" fillId="19" fontId="10" numFmtId="38" xfId="0" applyAlignment="1" applyBorder="1" applyFont="1" applyNumberFormat="1">
      <alignment shrinkToFit="1" vertical="center" wrapText="0"/>
    </xf>
    <xf borderId="27" fillId="19" fontId="10" numFmtId="38" xfId="0" applyAlignment="1" applyBorder="1" applyFont="1" applyNumberFormat="1">
      <alignment shrinkToFit="1" vertical="center" wrapText="0"/>
    </xf>
    <xf borderId="41" fillId="3" fontId="10" numFmtId="10" xfId="0" applyAlignment="1" applyBorder="1" applyFont="1" applyNumberFormat="1">
      <alignment horizontal="left" vertical="center"/>
    </xf>
    <xf borderId="42" fillId="3" fontId="20" numFmtId="10" xfId="0" applyAlignment="1" applyBorder="1" applyFont="1" applyNumberFormat="1">
      <alignment horizontal="right" vertical="center"/>
    </xf>
    <xf borderId="17" fillId="19" fontId="13" numFmtId="38" xfId="0" applyAlignment="1" applyBorder="1" applyFont="1" applyNumberFormat="1">
      <alignment shrinkToFit="1" vertical="center" wrapText="0"/>
    </xf>
    <xf borderId="43" fillId="19" fontId="13" numFmtId="38" xfId="0" applyAlignment="1" applyBorder="1" applyFont="1" applyNumberFormat="1">
      <alignment shrinkToFit="1" vertical="center" wrapText="0"/>
    </xf>
    <xf borderId="41" fillId="15" fontId="13" numFmtId="175" xfId="0" applyAlignment="1" applyBorder="1" applyFont="1" applyNumberFormat="1">
      <alignment horizontal="left" vertical="center"/>
    </xf>
    <xf borderId="42" fillId="15" fontId="18" numFmtId="175" xfId="0" applyAlignment="1" applyBorder="1" applyFont="1" applyNumberFormat="1">
      <alignment horizontal="right" vertical="center"/>
    </xf>
    <xf borderId="87" fillId="3" fontId="10" numFmtId="175" xfId="0" applyAlignment="1" applyBorder="1" applyFont="1" applyNumberFormat="1">
      <alignment horizontal="left" vertical="center"/>
    </xf>
    <xf borderId="14" fillId="19" fontId="10" numFmtId="175" xfId="0" applyAlignment="1" applyBorder="1" applyFont="1" applyNumberFormat="1">
      <alignment shrinkToFit="1" vertical="center" wrapText="0"/>
    </xf>
    <xf borderId="88" fillId="19" fontId="10" numFmtId="175" xfId="0" applyAlignment="1" applyBorder="1" applyFont="1" applyNumberFormat="1">
      <alignment shrinkToFit="1" vertical="center" wrapText="0"/>
    </xf>
    <xf borderId="27" fillId="19" fontId="10" numFmtId="175" xfId="0" applyAlignment="1" applyBorder="1" applyFont="1" applyNumberFormat="1">
      <alignment shrinkToFit="1" vertical="center" wrapText="0"/>
    </xf>
    <xf borderId="25" fillId="3" fontId="20" numFmtId="175" xfId="0" applyAlignment="1" applyBorder="1" applyFont="1" applyNumberFormat="1">
      <alignment horizontal="right" vertical="center"/>
    </xf>
    <xf borderId="14" fillId="19" fontId="13" numFmtId="175" xfId="0" applyAlignment="1" applyBorder="1" applyFont="1" applyNumberFormat="1">
      <alignment shrinkToFit="1" vertical="center" wrapText="0"/>
    </xf>
    <xf borderId="88" fillId="19" fontId="13" numFmtId="175" xfId="0" applyAlignment="1" applyBorder="1" applyFont="1" applyNumberFormat="1">
      <alignment shrinkToFit="1" vertical="center" wrapText="0"/>
    </xf>
    <xf borderId="27" fillId="19" fontId="13" numFmtId="175" xfId="0" applyAlignment="1" applyBorder="1" applyFont="1" applyNumberFormat="1">
      <alignment shrinkToFit="1" vertical="center" wrapText="0"/>
    </xf>
    <xf borderId="88" fillId="19" fontId="20" numFmtId="175" xfId="0" applyAlignment="1" applyBorder="1" applyFont="1" applyNumberFormat="1">
      <alignment shrinkToFit="1" vertical="center" wrapText="0"/>
    </xf>
    <xf borderId="88" fillId="19" fontId="21" numFmtId="175" xfId="0" applyAlignment="1" applyBorder="1" applyFont="1" applyNumberFormat="1">
      <alignment shrinkToFit="1" vertical="center" wrapText="0"/>
    </xf>
    <xf borderId="25" fillId="3" fontId="20" numFmtId="175" xfId="0" applyAlignment="1" applyBorder="1" applyFont="1" applyNumberFormat="1">
      <alignment horizontal="right" shrinkToFit="1" vertical="center" wrapText="0"/>
    </xf>
    <xf borderId="25" fillId="3" fontId="21" numFmtId="175" xfId="0" applyAlignment="1" applyBorder="1" applyFont="1" applyNumberFormat="1">
      <alignment horizontal="right" shrinkToFit="1" vertical="center" wrapText="0"/>
    </xf>
    <xf borderId="14" fillId="3" fontId="13" numFmtId="175" xfId="0" applyAlignment="1" applyBorder="1" applyFont="1" applyNumberFormat="1">
      <alignment shrinkToFit="1" vertical="center" wrapText="0"/>
    </xf>
    <xf borderId="88" fillId="3" fontId="13" numFmtId="175" xfId="0" applyAlignment="1" applyBorder="1" applyFont="1" applyNumberFormat="1">
      <alignment shrinkToFit="1" vertical="center" wrapText="0"/>
    </xf>
    <xf borderId="27" fillId="3" fontId="13" numFmtId="175" xfId="0" applyAlignment="1" applyBorder="1" applyFont="1" applyNumberFormat="1">
      <alignment shrinkToFit="1" vertical="center" wrapText="0"/>
    </xf>
    <xf borderId="14" fillId="3" fontId="10" numFmtId="175" xfId="0" applyAlignment="1" applyBorder="1" applyFont="1" applyNumberFormat="1">
      <alignment shrinkToFit="1" vertical="center" wrapText="0"/>
    </xf>
    <xf borderId="88" fillId="3" fontId="10" numFmtId="175" xfId="0" applyAlignment="1" applyBorder="1" applyFont="1" applyNumberFormat="1">
      <alignment shrinkToFit="1" vertical="center" wrapText="0"/>
    </xf>
    <xf borderId="27" fillId="3" fontId="10" numFmtId="175" xfId="0" applyAlignment="1" applyBorder="1" applyFont="1" applyNumberFormat="1">
      <alignment shrinkToFit="1" vertical="center" wrapText="0"/>
    </xf>
    <xf borderId="41" fillId="3" fontId="10" numFmtId="175" xfId="0" applyAlignment="1" applyBorder="1" applyFont="1" applyNumberFormat="1">
      <alignment horizontal="left" vertical="center"/>
    </xf>
    <xf borderId="42" fillId="3" fontId="20" numFmtId="175" xfId="0" applyAlignment="1" applyBorder="1" applyFont="1" applyNumberFormat="1">
      <alignment horizontal="right" vertical="center"/>
    </xf>
    <xf borderId="17" fillId="3" fontId="13" numFmtId="175" xfId="0" applyAlignment="1" applyBorder="1" applyFont="1" applyNumberFormat="1">
      <alignment shrinkToFit="1" vertical="center" wrapText="0"/>
    </xf>
    <xf borderId="59" fillId="3" fontId="13" numFmtId="175" xfId="0" applyAlignment="1" applyBorder="1" applyFont="1" applyNumberFormat="1">
      <alignment shrinkToFit="1" vertical="center" wrapText="0"/>
    </xf>
    <xf borderId="43" fillId="3" fontId="13" numFmtId="175" xfId="0" applyAlignment="1" applyBorder="1" applyFont="1" applyNumberFormat="1">
      <alignment shrinkToFit="1" vertical="center" wrapText="0"/>
    </xf>
    <xf borderId="41" fillId="20" fontId="25" numFmtId="0" xfId="0" applyAlignment="1" applyBorder="1" applyFill="1" applyFont="1">
      <alignment horizontal="left" vertical="center"/>
    </xf>
    <xf borderId="42" fillId="20" fontId="21" numFmtId="38" xfId="0" applyAlignment="1" applyBorder="1" applyFont="1" applyNumberFormat="1">
      <alignment horizontal="right" vertical="center"/>
    </xf>
    <xf borderId="17" fillId="20" fontId="10" numFmtId="3" xfId="0" applyAlignment="1" applyBorder="1" applyFont="1" applyNumberFormat="1">
      <alignment shrinkToFit="1" vertical="center" wrapText="0"/>
    </xf>
    <xf borderId="59" fillId="20" fontId="10" numFmtId="3" xfId="0" applyAlignment="1" applyBorder="1" applyFont="1" applyNumberFormat="1">
      <alignment shrinkToFit="1" vertical="center" wrapText="0"/>
    </xf>
    <xf borderId="43" fillId="20" fontId="10" numFmtId="3" xfId="0" applyAlignment="1" applyBorder="1" applyFont="1" applyNumberFormat="1">
      <alignment shrinkToFit="1" vertical="center" wrapText="0"/>
    </xf>
    <xf borderId="48" fillId="20" fontId="10" numFmtId="10" xfId="0" applyAlignment="1" applyBorder="1" applyFont="1" applyNumberFormat="1">
      <alignment horizontal="left" vertical="center"/>
    </xf>
    <xf borderId="49" fillId="20" fontId="21" numFmtId="38" xfId="0" applyAlignment="1" applyBorder="1" applyFont="1" applyNumberFormat="1">
      <alignment horizontal="right" vertical="center"/>
    </xf>
    <xf borderId="50" fillId="20" fontId="10" numFmtId="3" xfId="0" applyAlignment="1" applyBorder="1" applyFont="1" applyNumberFormat="1">
      <alignment shrinkToFit="1" vertical="center" wrapText="0"/>
    </xf>
    <xf borderId="53" fillId="20" fontId="10" numFmtId="3" xfId="0" applyAlignment="1" applyBorder="1" applyFont="1" applyNumberFormat="1">
      <alignment shrinkToFit="1" vertical="center" wrapText="0"/>
    </xf>
    <xf borderId="51" fillId="20" fontId="10" numFmtId="3" xfId="0" applyAlignment="1" applyBorder="1" applyFont="1" applyNumberFormat="1">
      <alignment shrinkToFit="1" vertical="center" wrapText="0"/>
    </xf>
    <xf borderId="49" fillId="20" fontId="21" numFmtId="0" xfId="0" applyAlignment="1" applyBorder="1" applyFont="1">
      <alignment horizontal="right" vertical="center"/>
    </xf>
    <xf borderId="41" fillId="20" fontId="10" numFmtId="10" xfId="0" applyAlignment="1" applyBorder="1" applyFont="1" applyNumberFormat="1">
      <alignment horizontal="left" vertical="center"/>
    </xf>
    <xf borderId="41" fillId="20" fontId="10" numFmtId="165" xfId="0" applyAlignment="1" applyBorder="1" applyFont="1" applyNumberFormat="1">
      <alignment horizontal="left" vertical="center"/>
    </xf>
    <xf borderId="42" fillId="20" fontId="21" numFmtId="165" xfId="0" applyAlignment="1" applyBorder="1" applyFont="1" applyNumberFormat="1">
      <alignment horizontal="right" vertical="center"/>
    </xf>
    <xf borderId="41" fillId="20" fontId="23" numFmtId="10" xfId="0" applyAlignment="1" applyBorder="1" applyFont="1" applyNumberFormat="1">
      <alignment horizontal="left" vertical="center"/>
    </xf>
    <xf borderId="42" fillId="20" fontId="21" numFmtId="10" xfId="0" applyAlignment="1" applyBorder="1" applyFont="1" applyNumberFormat="1">
      <alignment horizontal="right" vertical="center"/>
    </xf>
    <xf borderId="42" fillId="20" fontId="21" numFmtId="0" xfId="0" applyAlignment="1" applyBorder="1" applyFont="1">
      <alignment horizontal="right" vertical="center"/>
    </xf>
    <xf borderId="87" fillId="20" fontId="13" numFmtId="3" xfId="0" applyAlignment="1" applyBorder="1" applyFont="1" applyNumberFormat="1">
      <alignment horizontal="left" shrinkToFit="1" vertical="center" wrapText="0"/>
    </xf>
    <xf borderId="25" fillId="20" fontId="21" numFmtId="3" xfId="0" applyAlignment="1" applyBorder="1" applyFont="1" applyNumberFormat="1">
      <alignment horizontal="right" shrinkToFit="1" vertical="center" wrapText="0"/>
    </xf>
    <xf borderId="14" fillId="20" fontId="13" numFmtId="3" xfId="0" applyAlignment="1" applyBorder="1" applyFont="1" applyNumberFormat="1">
      <alignment shrinkToFit="1" vertical="center" wrapText="0"/>
    </xf>
    <xf borderId="88" fillId="20" fontId="13" numFmtId="3" xfId="0" applyAlignment="1" applyBorder="1" applyFont="1" applyNumberFormat="1">
      <alignment shrinkToFit="1" vertical="center" wrapText="0"/>
    </xf>
    <xf borderId="27" fillId="20" fontId="10" numFmtId="3" xfId="0" applyAlignment="1" applyBorder="1" applyFont="1" applyNumberFormat="1">
      <alignment shrinkToFit="1" vertical="center" wrapText="0"/>
    </xf>
    <xf borderId="87" fillId="21" fontId="10" numFmtId="3" xfId="0" applyAlignment="1" applyBorder="1" applyFill="1" applyFont="1" applyNumberFormat="1">
      <alignment horizontal="left" shrinkToFit="1" vertical="center" wrapText="0"/>
    </xf>
    <xf borderId="25" fillId="21" fontId="21" numFmtId="175" xfId="0" applyAlignment="1" applyBorder="1" applyFont="1" applyNumberFormat="1">
      <alignment horizontal="right" vertical="center"/>
    </xf>
    <xf borderId="14" fillId="21" fontId="10" numFmtId="38" xfId="0" applyAlignment="1" applyBorder="1" applyFont="1" applyNumberFormat="1">
      <alignment shrinkToFit="1" vertical="center" wrapText="0"/>
    </xf>
    <xf borderId="88" fillId="21" fontId="10" numFmtId="38" xfId="0" applyAlignment="1" applyBorder="1" applyFont="1" applyNumberFormat="1">
      <alignment shrinkToFit="1" vertical="center" wrapText="0"/>
    </xf>
    <xf borderId="27" fillId="21" fontId="10" numFmtId="38" xfId="0" applyAlignment="1" applyBorder="1" applyFont="1" applyNumberFormat="1">
      <alignment shrinkToFit="1" vertical="center" wrapText="0"/>
    </xf>
    <xf borderId="87" fillId="21" fontId="10" numFmtId="0" xfId="0" applyAlignment="1" applyBorder="1" applyFont="1">
      <alignment horizontal="left" shrinkToFit="1" vertical="center" wrapText="0"/>
    </xf>
    <xf borderId="25" fillId="21" fontId="20" numFmtId="3" xfId="0" applyAlignment="1" applyBorder="1" applyFont="1" applyNumberFormat="1">
      <alignment horizontal="right" vertical="center"/>
    </xf>
    <xf borderId="14" fillId="21" fontId="13" numFmtId="38" xfId="0" applyAlignment="1" applyBorder="1" applyFont="1" applyNumberFormat="1">
      <alignment shrinkToFit="1" vertical="center" wrapText="0"/>
    </xf>
    <xf borderId="88" fillId="21" fontId="13" numFmtId="38" xfId="0" applyAlignment="1" applyBorder="1" applyFont="1" applyNumberFormat="1">
      <alignment shrinkToFit="1" vertical="center" wrapText="0"/>
    </xf>
    <xf borderId="27" fillId="21" fontId="13" numFmtId="38" xfId="0" applyAlignment="1" applyBorder="1" applyFont="1" applyNumberFormat="1">
      <alignment shrinkToFit="1" vertical="center" wrapText="0"/>
    </xf>
    <xf borderId="87" fillId="21" fontId="10" numFmtId="0" xfId="0" applyAlignment="1" applyBorder="1" applyFont="1">
      <alignment horizontal="left" vertical="center"/>
    </xf>
    <xf borderId="25" fillId="21" fontId="20" numFmtId="0" xfId="0" applyAlignment="1" applyBorder="1" applyFont="1">
      <alignment horizontal="right" vertical="center"/>
    </xf>
    <xf borderId="41" fillId="21" fontId="10" numFmtId="0" xfId="0" applyAlignment="1" applyBorder="1" applyFont="1">
      <alignment horizontal="left" vertical="center"/>
    </xf>
    <xf borderId="42" fillId="21" fontId="20" numFmtId="0" xfId="0" applyAlignment="1" applyBorder="1" applyFont="1">
      <alignment horizontal="right" vertical="center"/>
    </xf>
    <xf borderId="17" fillId="21" fontId="13" numFmtId="38" xfId="0" applyAlignment="1" applyBorder="1" applyFont="1" applyNumberFormat="1">
      <alignment shrinkToFit="1" vertical="center" wrapText="0"/>
    </xf>
    <xf borderId="59" fillId="21" fontId="13" numFmtId="38" xfId="0" applyAlignment="1" applyBorder="1" applyFont="1" applyNumberFormat="1">
      <alignment shrinkToFit="1" vertical="center" wrapText="0"/>
    </xf>
    <xf borderId="43" fillId="21" fontId="13" numFmtId="38" xfId="0" applyAlignment="1" applyBorder="1" applyFont="1" applyNumberFormat="1">
      <alignment shrinkToFit="1" vertical="center" wrapText="0"/>
    </xf>
    <xf borderId="42" fillId="15" fontId="21" numFmtId="175" xfId="0" applyAlignment="1" applyBorder="1" applyFont="1" applyNumberFormat="1">
      <alignment horizontal="right" shrinkToFit="1" vertical="center" wrapText="0"/>
    </xf>
    <xf borderId="49" fillId="15" fontId="20" numFmtId="175" xfId="0" applyAlignment="1" applyBorder="1" applyFont="1" applyNumberFormat="1">
      <alignment horizontal="right" shrinkToFit="1" vertical="center" wrapText="0"/>
    </xf>
    <xf borderId="49" fillId="15" fontId="18" numFmtId="164" xfId="0" applyAlignment="1" applyBorder="1" applyFont="1" applyNumberFormat="1">
      <alignment horizontal="right" shrinkToFit="1" vertical="center" wrapText="0"/>
    </xf>
    <xf borderId="50" fillId="15" fontId="15" numFmtId="164" xfId="0" applyAlignment="1" applyBorder="1" applyFont="1" applyNumberFormat="1">
      <alignment shrinkToFit="1" vertical="center" wrapText="0"/>
    </xf>
    <xf borderId="53" fillId="15" fontId="15" numFmtId="164" xfId="0" applyAlignment="1" applyBorder="1" applyFont="1" applyNumberFormat="1">
      <alignment shrinkToFit="1" vertical="center" wrapText="0"/>
    </xf>
    <xf borderId="51" fillId="15" fontId="15" numFmtId="164" xfId="0" applyAlignment="1" applyBorder="1" applyFont="1" applyNumberFormat="1">
      <alignment shrinkToFit="1" vertical="center" wrapText="0"/>
    </xf>
    <xf borderId="49" fillId="14" fontId="21" numFmtId="175" xfId="0" applyAlignment="1" applyBorder="1" applyFont="1" applyNumberFormat="1">
      <alignment horizontal="right" shrinkToFit="1" vertical="center" wrapText="0"/>
    </xf>
    <xf borderId="48" fillId="14" fontId="16" numFmtId="10" xfId="0" applyAlignment="1" applyBorder="1" applyFont="1" applyNumberFormat="1">
      <alignment shrinkToFit="1" vertical="center" wrapText="0"/>
    </xf>
    <xf borderId="49" fillId="14" fontId="20" numFmtId="175" xfId="0" applyAlignment="1" applyBorder="1" applyFont="1" applyNumberFormat="1">
      <alignment horizontal="right" shrinkToFit="1" vertical="center" wrapText="0"/>
    </xf>
    <xf borderId="49" fillId="14" fontId="18" numFmtId="10" xfId="0" applyAlignment="1" applyBorder="1" applyFont="1" applyNumberFormat="1">
      <alignment horizontal="right" shrinkToFit="1" vertical="center" wrapText="0"/>
    </xf>
    <xf borderId="84" fillId="5" fontId="13" numFmtId="175" xfId="0" applyAlignment="1" applyBorder="1" applyFont="1" applyNumberFormat="1">
      <alignment horizontal="left" vertical="center"/>
    </xf>
    <xf borderId="9" fillId="5" fontId="13" numFmtId="175" xfId="0" applyAlignment="1" applyBorder="1" applyFont="1" applyNumberFormat="1">
      <alignment shrinkToFit="1" vertical="center" wrapText="0"/>
    </xf>
    <xf borderId="85" fillId="5" fontId="13" numFmtId="175" xfId="0" applyAlignment="1" applyBorder="1" applyFont="1" applyNumberFormat="1">
      <alignment shrinkToFit="1" vertical="center" wrapText="0"/>
    </xf>
    <xf borderId="26" fillId="5" fontId="13" numFmtId="175" xfId="0" applyAlignment="1" applyBorder="1" applyFont="1" applyNumberFormat="1">
      <alignment shrinkToFit="1" vertical="center" wrapText="0"/>
    </xf>
    <xf borderId="89" fillId="5" fontId="15" numFmtId="164" xfId="0" applyAlignment="1" applyBorder="1" applyFont="1" applyNumberFormat="1">
      <alignment horizontal="left" vertical="center"/>
    </xf>
    <xf borderId="90" fillId="5" fontId="15" numFmtId="164" xfId="0" applyAlignment="1" applyBorder="1" applyFont="1" applyNumberFormat="1">
      <alignment horizontal="left" shrinkToFit="1" vertical="center" wrapText="0"/>
    </xf>
    <xf borderId="20" fillId="5" fontId="15" numFmtId="164" xfId="0" applyAlignment="1" applyBorder="1" applyFont="1" applyNumberFormat="1">
      <alignment shrinkToFit="1" vertical="center" wrapText="0"/>
    </xf>
    <xf borderId="91" fillId="5" fontId="15" numFmtId="164" xfId="0" applyAlignment="1" applyBorder="1" applyFont="1" applyNumberFormat="1">
      <alignment shrinkToFit="1" vertical="center" wrapText="0"/>
    </xf>
    <xf borderId="28" fillId="5" fontId="15" numFmtId="164" xfId="0" applyAlignment="1" applyBorder="1" applyFont="1" applyNumberFormat="1">
      <alignment shrinkToFit="1" vertical="center" wrapText="0"/>
    </xf>
    <xf borderId="76" fillId="16" fontId="13" numFmtId="175" xfId="0" applyAlignment="1" applyBorder="1" applyFont="1" applyNumberFormat="1">
      <alignment horizontal="left" vertical="center"/>
    </xf>
    <xf borderId="77" fillId="16" fontId="13" numFmtId="175" xfId="0" applyAlignment="1" applyBorder="1" applyFont="1" applyNumberFormat="1">
      <alignment horizontal="left" shrinkToFit="1" vertical="center" wrapText="0"/>
    </xf>
    <xf borderId="92" fillId="16" fontId="13" numFmtId="175" xfId="0" applyAlignment="1" applyBorder="1" applyFont="1" applyNumberFormat="1">
      <alignment horizontal="right" shrinkToFit="1" vertical="center" wrapText="0"/>
    </xf>
    <xf borderId="71" fillId="16" fontId="13" numFmtId="175" xfId="0" applyAlignment="1" applyBorder="1" applyFont="1" applyNumberFormat="1">
      <alignment horizontal="right" shrinkToFit="1" vertical="center" wrapText="0"/>
    </xf>
    <xf borderId="93" fillId="16" fontId="13" numFmtId="175" xfId="0" applyAlignment="1" applyBorder="1" applyFont="1" applyNumberFormat="1">
      <alignment horizontal="right" shrinkToFit="1" vertical="center" wrapText="0"/>
    </xf>
    <xf borderId="78" fillId="16" fontId="13" numFmtId="175" xfId="0" applyAlignment="1" applyBorder="1" applyFont="1" applyNumberFormat="1">
      <alignment horizontal="right" shrinkToFit="1" vertical="center" wrapText="0"/>
    </xf>
    <xf borderId="76" fillId="22" fontId="13" numFmtId="175" xfId="0" applyAlignment="1" applyBorder="1" applyFill="1" applyFont="1" applyNumberFormat="1">
      <alignment horizontal="left" vertical="center"/>
    </xf>
    <xf borderId="92" fillId="22" fontId="13" numFmtId="175" xfId="0" applyAlignment="1" applyBorder="1" applyFont="1" applyNumberFormat="1">
      <alignment horizontal="right" vertical="center"/>
    </xf>
    <xf borderId="71" fillId="22" fontId="13" numFmtId="175" xfId="0" applyAlignment="1" applyBorder="1" applyFont="1" applyNumberFormat="1">
      <alignment horizontal="right" vertical="center"/>
    </xf>
    <xf borderId="93" fillId="22" fontId="13" numFmtId="175" xfId="0" applyAlignment="1" applyBorder="1" applyFont="1" applyNumberFormat="1">
      <alignment horizontal="right" vertical="center"/>
    </xf>
    <xf borderId="94" fillId="22" fontId="13" numFmtId="175" xfId="0" applyAlignment="1" applyBorder="1" applyFont="1" applyNumberFormat="1">
      <alignment horizontal="right" vertical="center"/>
    </xf>
    <xf borderId="0" fillId="0" fontId="26" numFmtId="0" xfId="0" applyAlignment="1" applyFont="1">
      <alignment vertical="center"/>
    </xf>
    <xf borderId="0" fillId="0" fontId="27" numFmtId="3" xfId="0" applyAlignment="1" applyFont="1" applyNumberFormat="1">
      <alignment vertical="center"/>
    </xf>
    <xf borderId="1" fillId="23" fontId="5" numFmtId="3" xfId="0" applyAlignment="1" applyBorder="1" applyFill="1" applyFont="1" applyNumberFormat="1">
      <alignment vertical="center"/>
    </xf>
    <xf borderId="1" fillId="23" fontId="5" numFmtId="0" xfId="0" applyAlignment="1" applyBorder="1" applyFont="1">
      <alignment vertical="center"/>
    </xf>
    <xf borderId="0" fillId="0" fontId="10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 outlineLevelCol="1" outlineLevelRow="1"/>
  <cols>
    <col customWidth="1" min="1" max="1" width="2.0"/>
    <col customWidth="1" min="2" max="2" width="26.57"/>
    <col customWidth="1" min="3" max="10" width="16.57" outlineLevel="1"/>
    <col customWidth="1" min="11" max="12" width="16.57"/>
    <col customWidth="1" min="13" max="15" width="16.57" outlineLevel="1"/>
    <col customWidth="1" min="16" max="18" width="16.57"/>
  </cols>
  <sheetData>
    <row r="1" ht="18.0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ht="18.0" hidden="1" customHeight="1" outlineLevel="1">
      <c r="A2" s="4"/>
      <c r="B2" s="5" t="s">
        <v>17</v>
      </c>
      <c r="C2" s="6"/>
      <c r="D2" s="6"/>
      <c r="E2" s="6"/>
      <c r="F2" s="6"/>
      <c r="G2" s="7"/>
      <c r="H2" s="6"/>
      <c r="I2" s="6"/>
      <c r="J2" s="6"/>
      <c r="K2" s="6"/>
      <c r="L2" s="6"/>
      <c r="M2" s="7">
        <v>1208.0</v>
      </c>
      <c r="N2" s="7">
        <v>822.0</v>
      </c>
      <c r="O2" s="7">
        <v>222.0</v>
      </c>
      <c r="P2" s="7">
        <v>2252.0</v>
      </c>
      <c r="Q2" s="7"/>
      <c r="R2" s="7"/>
    </row>
    <row r="3" ht="18.0" hidden="1" customHeight="1" outlineLevel="1">
      <c r="A3" s="4"/>
      <c r="B3" s="5" t="s">
        <v>18</v>
      </c>
      <c r="C3" s="6"/>
      <c r="D3" s="6"/>
      <c r="E3" s="6"/>
      <c r="F3" s="6"/>
      <c r="G3" s="7"/>
      <c r="H3" s="6"/>
      <c r="I3" s="6"/>
      <c r="J3" s="6"/>
      <c r="K3" s="6"/>
      <c r="L3" s="6"/>
      <c r="M3" s="7">
        <v>4088.0</v>
      </c>
      <c r="N3" s="7">
        <v>3793.0</v>
      </c>
      <c r="O3" s="7">
        <v>4628.0</v>
      </c>
      <c r="P3" s="7">
        <v>12509.0</v>
      </c>
      <c r="Q3" s="7"/>
      <c r="R3" s="7"/>
    </row>
    <row r="4" ht="18.0" hidden="1" customHeight="1" outlineLevel="1">
      <c r="A4" s="4"/>
      <c r="B4" s="5" t="s">
        <v>19</v>
      </c>
      <c r="C4" s="6"/>
      <c r="D4" s="6"/>
      <c r="E4" s="6"/>
      <c r="F4" s="6"/>
      <c r="G4" s="7"/>
      <c r="H4" s="6"/>
      <c r="I4" s="6"/>
      <c r="J4" s="6"/>
      <c r="K4" s="6"/>
      <c r="L4" s="6"/>
      <c r="M4" s="7">
        <v>5296.0</v>
      </c>
      <c r="N4" s="7">
        <v>4615.0</v>
      </c>
      <c r="O4" s="7">
        <v>4850.0</v>
      </c>
      <c r="P4" s="7">
        <v>14761.0</v>
      </c>
      <c r="Q4" s="7"/>
      <c r="R4" s="7"/>
    </row>
    <row r="5" ht="18.0" hidden="1" customHeight="1" outlineLevel="1">
      <c r="A5" s="4"/>
      <c r="B5" s="5" t="s">
        <v>20</v>
      </c>
      <c r="C5" s="6"/>
      <c r="D5" s="6"/>
      <c r="E5" s="6"/>
      <c r="F5" s="6"/>
      <c r="G5" s="7"/>
      <c r="H5" s="6"/>
      <c r="I5" s="6"/>
      <c r="J5" s="6"/>
      <c r="K5" s="6"/>
      <c r="L5" s="6"/>
      <c r="M5" s="7">
        <v>1518.0</v>
      </c>
      <c r="N5" s="7">
        <v>1342.0</v>
      </c>
      <c r="O5" s="7">
        <v>1481.0</v>
      </c>
      <c r="P5" s="7">
        <v>4341.0</v>
      </c>
      <c r="Q5" s="7"/>
      <c r="R5" s="7"/>
    </row>
    <row r="6" ht="18.0" hidden="1" customHeight="1" outlineLevel="1">
      <c r="A6" s="4"/>
      <c r="B6" s="8" t="s">
        <v>21</v>
      </c>
      <c r="C6" s="6"/>
      <c r="D6" s="6"/>
      <c r="E6" s="6"/>
      <c r="F6" s="6"/>
      <c r="G6" s="9"/>
      <c r="H6" s="6"/>
      <c r="I6" s="6"/>
      <c r="J6" s="6"/>
      <c r="K6" s="6"/>
      <c r="L6" s="6"/>
      <c r="M6" s="9">
        <v>0.947565543071161</v>
      </c>
      <c r="N6" s="9">
        <v>0.7215053763440861</v>
      </c>
      <c r="O6" s="9">
        <v>0.796236559139785</v>
      </c>
      <c r="P6" s="9">
        <v>0.8536873156342183</v>
      </c>
      <c r="Q6" s="9"/>
      <c r="R6" s="9"/>
    </row>
    <row r="7" ht="18.0" hidden="1" customHeight="1" outlineLevel="1">
      <c r="A7" s="4"/>
      <c r="B7" s="5" t="s">
        <v>22</v>
      </c>
      <c r="C7" s="6"/>
      <c r="D7" s="6"/>
      <c r="E7" s="6"/>
      <c r="F7" s="6"/>
      <c r="G7" s="7"/>
      <c r="H7" s="6"/>
      <c r="I7" s="6"/>
      <c r="J7" s="6"/>
      <c r="K7" s="6"/>
      <c r="L7" s="6"/>
      <c r="M7" s="7">
        <v>12545.0</v>
      </c>
      <c r="N7" s="7">
        <v>10676.0</v>
      </c>
      <c r="O7" s="7">
        <v>14116.0</v>
      </c>
      <c r="P7" s="7">
        <v>12477.0</v>
      </c>
      <c r="Q7" s="7"/>
      <c r="R7" s="7"/>
    </row>
    <row r="8" ht="18.0" hidden="1" customHeight="1" outlineLevel="1">
      <c r="A8" s="10"/>
      <c r="B8" s="11" t="s">
        <v>23</v>
      </c>
      <c r="C8" s="12"/>
      <c r="D8" s="12"/>
      <c r="E8" s="12"/>
      <c r="F8" s="12"/>
      <c r="G8" s="13"/>
      <c r="H8" s="12"/>
      <c r="I8" s="12"/>
      <c r="J8" s="12"/>
      <c r="K8" s="12"/>
      <c r="L8" s="12"/>
      <c r="M8" s="13">
        <v>3.4888010540184453</v>
      </c>
      <c r="N8" s="13">
        <v>3.438897168405365</v>
      </c>
      <c r="O8" s="13">
        <v>3.274814314652262</v>
      </c>
      <c r="P8" s="13">
        <v>3.4003685786685094</v>
      </c>
      <c r="Q8" s="13"/>
      <c r="R8" s="13"/>
      <c r="S8" s="14"/>
      <c r="T8" s="14"/>
      <c r="U8" s="14"/>
      <c r="V8" s="14"/>
      <c r="W8" s="14"/>
      <c r="X8" s="14"/>
      <c r="Y8" s="14"/>
      <c r="Z8" s="14"/>
    </row>
    <row r="9" ht="18.0" customHeight="1" collapsed="1">
      <c r="A9" s="4"/>
      <c r="B9" s="15" t="s">
        <v>24</v>
      </c>
      <c r="C9" s="16">
        <v>1.3636774E7</v>
      </c>
      <c r="D9" s="16">
        <v>1.6104491E7</v>
      </c>
      <c r="E9" s="16">
        <v>4.9552324E7</v>
      </c>
      <c r="F9" s="16">
        <v>5561081.0</v>
      </c>
      <c r="G9" s="16">
        <v>8197606.0</v>
      </c>
      <c r="H9" s="16">
        <v>5901992.0</v>
      </c>
      <c r="I9" s="16">
        <v>0.0</v>
      </c>
      <c r="J9" s="16">
        <v>9919957.0</v>
      </c>
      <c r="K9" s="16">
        <v>1.08874225E8</v>
      </c>
      <c r="L9" s="16">
        <v>0.0</v>
      </c>
      <c r="M9" s="16">
        <v>6.6438136E7</v>
      </c>
      <c r="N9" s="16">
        <v>4.9267617E7</v>
      </c>
      <c r="O9" s="16">
        <v>6.8458081E7</v>
      </c>
      <c r="P9" s="16">
        <v>1.84163834E8</v>
      </c>
      <c r="Q9" s="16">
        <v>0.0</v>
      </c>
      <c r="R9" s="16">
        <v>2.93038059E8</v>
      </c>
    </row>
    <row r="10" ht="18.0" customHeight="1">
      <c r="A10" s="4"/>
      <c r="B10" s="15" t="s">
        <v>25</v>
      </c>
      <c r="C10" s="16">
        <v>2764685.0</v>
      </c>
      <c r="D10" s="16">
        <v>2018167.0</v>
      </c>
      <c r="E10" s="16">
        <v>9380884.0</v>
      </c>
      <c r="F10" s="16">
        <v>537929.0</v>
      </c>
      <c r="G10" s="16">
        <v>969284.0</v>
      </c>
      <c r="H10" s="16">
        <v>54559.0</v>
      </c>
      <c r="I10" s="16">
        <v>0.0</v>
      </c>
      <c r="J10" s="16">
        <v>401673.0</v>
      </c>
      <c r="K10" s="16">
        <v>1.6127181E7</v>
      </c>
      <c r="L10" s="16">
        <v>0.0</v>
      </c>
      <c r="M10" s="16">
        <v>5189564.0</v>
      </c>
      <c r="N10" s="16">
        <v>4869670.0</v>
      </c>
      <c r="O10" s="16">
        <v>7926644.0</v>
      </c>
      <c r="P10" s="16">
        <v>1.7985878E7</v>
      </c>
      <c r="Q10" s="16">
        <v>0.0</v>
      </c>
      <c r="R10" s="16">
        <v>3.4113059E7</v>
      </c>
    </row>
    <row r="11" ht="18.0" hidden="1" customHeight="1" outlineLevel="1">
      <c r="A11" s="17"/>
      <c r="B11" s="18" t="s">
        <v>26</v>
      </c>
      <c r="C11" s="19">
        <v>0.203</v>
      </c>
      <c r="D11" s="19">
        <v>0.126</v>
      </c>
      <c r="E11" s="19">
        <v>0.19</v>
      </c>
      <c r="F11" s="19">
        <v>0.097</v>
      </c>
      <c r="G11" s="19">
        <v>0.119</v>
      </c>
      <c r="H11" s="19">
        <v>0.009999999999999998</v>
      </c>
      <c r="I11" s="19" t="e">
        <v>#DIV/0!</v>
      </c>
      <c r="J11" s="19">
        <v>0.041</v>
      </c>
      <c r="K11" s="19">
        <v>0.149</v>
      </c>
      <c r="L11" s="19" t="e">
        <v>#DIV/0!</v>
      </c>
      <c r="M11" s="19">
        <v>0.079</v>
      </c>
      <c r="N11" s="19">
        <v>0.099</v>
      </c>
      <c r="O11" s="19">
        <v>0.116</v>
      </c>
      <c r="P11" s="19">
        <v>0.098</v>
      </c>
      <c r="Q11" s="19" t="e">
        <v>#DIV/0!</v>
      </c>
      <c r="R11" s="19">
        <v>0.117</v>
      </c>
      <c r="S11" s="20"/>
      <c r="T11" s="20"/>
      <c r="U11" s="20"/>
      <c r="V11" s="20"/>
      <c r="W11" s="20"/>
      <c r="X11" s="20"/>
      <c r="Y11" s="20"/>
      <c r="Z11" s="20"/>
    </row>
    <row r="12" ht="18.0" customHeight="1" collapsed="1">
      <c r="A12" s="21"/>
      <c r="B12" s="22" t="s">
        <v>27</v>
      </c>
      <c r="C12" s="23">
        <v>1.0872089E7</v>
      </c>
      <c r="D12" s="23">
        <v>1.4086324E7</v>
      </c>
      <c r="E12" s="23">
        <v>4.017144E7</v>
      </c>
      <c r="F12" s="23">
        <v>5023152.0</v>
      </c>
      <c r="G12" s="23">
        <v>7228322.0</v>
      </c>
      <c r="H12" s="23">
        <v>5847433.0</v>
      </c>
      <c r="I12" s="23">
        <v>0.0</v>
      </c>
      <c r="J12" s="23">
        <v>9518284.0</v>
      </c>
      <c r="K12" s="23">
        <v>9.2747044E7</v>
      </c>
      <c r="L12" s="23">
        <v>0.0</v>
      </c>
      <c r="M12" s="23">
        <v>6.1248572E7</v>
      </c>
      <c r="N12" s="23">
        <v>4.4397947E7</v>
      </c>
      <c r="O12" s="23">
        <v>6.0531437E7</v>
      </c>
      <c r="P12" s="23">
        <v>1.66177956E8</v>
      </c>
      <c r="Q12" s="23">
        <v>0.0</v>
      </c>
      <c r="R12" s="23">
        <v>2.58925E8</v>
      </c>
    </row>
    <row r="13" ht="18.0" customHeight="1">
      <c r="A13" s="21"/>
      <c r="B13" s="21" t="s">
        <v>28</v>
      </c>
      <c r="C13" s="24">
        <v>5157654.0</v>
      </c>
      <c r="D13" s="24">
        <v>4394706.0</v>
      </c>
      <c r="E13" s="24">
        <v>1.0702932E7</v>
      </c>
      <c r="F13" s="24">
        <v>2277290.0</v>
      </c>
      <c r="G13" s="24">
        <v>2792980.0</v>
      </c>
      <c r="H13" s="24">
        <v>1795213.0</v>
      </c>
      <c r="I13" s="24">
        <v>0.0</v>
      </c>
      <c r="J13" s="24">
        <v>3681769.0</v>
      </c>
      <c r="K13" s="24">
        <v>3.0802544E7</v>
      </c>
      <c r="L13" s="24">
        <v>8372169.0</v>
      </c>
      <c r="M13" s="24">
        <v>1.60423E7</v>
      </c>
      <c r="N13" s="24">
        <v>1.7274457E7</v>
      </c>
      <c r="O13" s="24">
        <v>1.909728E7</v>
      </c>
      <c r="P13" s="24">
        <v>5.2414037E7</v>
      </c>
      <c r="Q13" s="24">
        <v>1.0294155E7</v>
      </c>
      <c r="R13" s="24">
        <v>8.3216581E7</v>
      </c>
    </row>
    <row r="14" ht="18.0" customHeight="1">
      <c r="A14" s="21"/>
      <c r="B14" s="21" t="s">
        <v>29</v>
      </c>
      <c r="C14" s="24">
        <v>4280964.0</v>
      </c>
      <c r="D14" s="24">
        <v>4104648.0</v>
      </c>
      <c r="E14" s="24">
        <v>1.1592496E7</v>
      </c>
      <c r="F14" s="24">
        <v>1968025.0</v>
      </c>
      <c r="G14" s="24">
        <v>3307465.0</v>
      </c>
      <c r="H14" s="24">
        <v>1799928.0</v>
      </c>
      <c r="I14" s="24">
        <v>0.0</v>
      </c>
      <c r="J14" s="24">
        <v>2404366.0</v>
      </c>
      <c r="K14" s="24">
        <v>2.9457892E7</v>
      </c>
      <c r="L14" s="24">
        <v>373237.0</v>
      </c>
      <c r="M14" s="24">
        <v>1.9293404E7</v>
      </c>
      <c r="N14" s="24">
        <v>1.1944461E7</v>
      </c>
      <c r="O14" s="24">
        <v>1.5020353E7</v>
      </c>
      <c r="P14" s="24">
        <v>4.6258218E7</v>
      </c>
      <c r="Q14" s="24">
        <v>508898.0</v>
      </c>
      <c r="R14" s="24">
        <v>7.571611E7</v>
      </c>
    </row>
    <row r="15" ht="18.0" customHeight="1">
      <c r="A15" s="21"/>
      <c r="B15" s="21" t="s">
        <v>30</v>
      </c>
      <c r="C15" s="24">
        <v>804269.0</v>
      </c>
      <c r="D15" s="24">
        <v>1422164.0</v>
      </c>
      <c r="E15" s="24">
        <v>7436578.0</v>
      </c>
      <c r="F15" s="24">
        <v>450706.0</v>
      </c>
      <c r="G15" s="24">
        <v>917941.0</v>
      </c>
      <c r="H15" s="24">
        <v>838074.0</v>
      </c>
      <c r="I15" s="24">
        <v>0.0</v>
      </c>
      <c r="J15" s="24">
        <v>549135.0</v>
      </c>
      <c r="K15" s="24">
        <v>1.2418867E7</v>
      </c>
      <c r="L15" s="24">
        <v>1148845.0</v>
      </c>
      <c r="M15" s="24">
        <v>5077668.0</v>
      </c>
      <c r="N15" s="24">
        <v>4157898.0</v>
      </c>
      <c r="O15" s="24">
        <v>7141542.0</v>
      </c>
      <c r="P15" s="24">
        <v>1.6377108E7</v>
      </c>
      <c r="Q15" s="24">
        <v>102070.0</v>
      </c>
      <c r="R15" s="24">
        <v>2.8795975E7</v>
      </c>
    </row>
    <row r="16" ht="18.0" customHeight="1">
      <c r="A16" s="21"/>
      <c r="B16" s="21" t="s">
        <v>31</v>
      </c>
      <c r="C16" s="24">
        <v>1539709.0</v>
      </c>
      <c r="D16" s="24">
        <v>1800596.0</v>
      </c>
      <c r="E16" s="24">
        <v>3910559.0</v>
      </c>
      <c r="F16" s="24">
        <v>565730.0</v>
      </c>
      <c r="G16" s="24">
        <v>699602.0</v>
      </c>
      <c r="H16" s="24">
        <v>413220.0</v>
      </c>
      <c r="I16" s="24">
        <v>0.0</v>
      </c>
      <c r="J16" s="24">
        <v>964835.0</v>
      </c>
      <c r="K16" s="24">
        <v>9894251.0</v>
      </c>
      <c r="L16" s="24">
        <v>0.0</v>
      </c>
      <c r="M16" s="24">
        <v>3635041.0</v>
      </c>
      <c r="N16" s="24">
        <v>3635041.0</v>
      </c>
      <c r="O16" s="24">
        <v>3635041.0</v>
      </c>
      <c r="P16" s="24">
        <v>1.0905123E7</v>
      </c>
      <c r="Q16" s="24">
        <v>0.0</v>
      </c>
      <c r="R16" s="24">
        <v>2.0799374E7</v>
      </c>
    </row>
    <row r="17" ht="18.0" customHeight="1">
      <c r="A17" s="21"/>
      <c r="B17" s="22" t="s">
        <v>32</v>
      </c>
      <c r="C17" s="23">
        <v>1.1782596E7</v>
      </c>
      <c r="D17" s="23">
        <v>1.1722114E7</v>
      </c>
      <c r="E17" s="23">
        <v>3.3642565E7</v>
      </c>
      <c r="F17" s="23">
        <v>5261751.0</v>
      </c>
      <c r="G17" s="23">
        <v>7717988.0</v>
      </c>
      <c r="H17" s="23">
        <v>4846435.0</v>
      </c>
      <c r="I17" s="23">
        <v>0.0</v>
      </c>
      <c r="J17" s="23">
        <v>7600105.0</v>
      </c>
      <c r="K17" s="23">
        <v>8.2573554E7</v>
      </c>
      <c r="L17" s="23">
        <v>9894251.0</v>
      </c>
      <c r="M17" s="23">
        <v>4.4048413E7</v>
      </c>
      <c r="N17" s="23">
        <v>3.7011857E7</v>
      </c>
      <c r="O17" s="23">
        <v>4.4894216E7</v>
      </c>
      <c r="P17" s="23">
        <v>1.25954486E8</v>
      </c>
      <c r="Q17" s="23">
        <v>1.0905123E7</v>
      </c>
      <c r="R17" s="23">
        <v>2.0852804E8</v>
      </c>
    </row>
    <row r="18" ht="18.0" customHeight="1">
      <c r="A18" s="21"/>
      <c r="B18" s="25" t="s">
        <v>33</v>
      </c>
      <c r="C18" s="26">
        <v>-910507.0</v>
      </c>
      <c r="D18" s="26">
        <v>2364210.0</v>
      </c>
      <c r="E18" s="26">
        <v>6528875.0</v>
      </c>
      <c r="F18" s="26">
        <v>-238599.0</v>
      </c>
      <c r="G18" s="26">
        <v>-489666.0</v>
      </c>
      <c r="H18" s="26">
        <v>1000998.0</v>
      </c>
      <c r="I18" s="26">
        <v>0.0</v>
      </c>
      <c r="J18" s="26">
        <v>1918179.0</v>
      </c>
      <c r="K18" s="26">
        <v>1.017349E7</v>
      </c>
      <c r="L18" s="26">
        <v>-9894251.0</v>
      </c>
      <c r="M18" s="26">
        <v>1.7200159E7</v>
      </c>
      <c r="N18" s="26">
        <v>7386090.0</v>
      </c>
      <c r="O18" s="26">
        <v>1.5637221E7</v>
      </c>
      <c r="P18" s="26">
        <v>4.022347E7</v>
      </c>
      <c r="Q18" s="26">
        <v>-1.0905123E7</v>
      </c>
      <c r="R18" s="26">
        <v>5.039696E7</v>
      </c>
    </row>
    <row r="19" ht="18.0" customHeight="1">
      <c r="A19" s="27"/>
      <c r="B19" s="28" t="s">
        <v>34</v>
      </c>
      <c r="C19" s="29">
        <v>-0.06676850404648489</v>
      </c>
      <c r="D19" s="29">
        <v>0.14680439139616397</v>
      </c>
      <c r="E19" s="29">
        <v>0.13175719064155295</v>
      </c>
      <c r="F19" s="29">
        <v>-0.0429051473985004</v>
      </c>
      <c r="G19" s="29">
        <v>-0.05973280491889949</v>
      </c>
      <c r="H19" s="29">
        <v>0.1696034152536974</v>
      </c>
      <c r="I19" s="29" t="e">
        <v>#DIV/0!</v>
      </c>
      <c r="J19" s="29">
        <v>0.19336565672613298</v>
      </c>
      <c r="K19" s="29">
        <v>0.09344259396565165</v>
      </c>
      <c r="L19" s="29" t="e">
        <v>#DIV/0!</v>
      </c>
      <c r="M19" s="29">
        <v>0.25888984904693896</v>
      </c>
      <c r="N19" s="29">
        <v>0.1499177441441911</v>
      </c>
      <c r="O19" s="29">
        <v>0.22842038181000138</v>
      </c>
      <c r="P19" s="29">
        <v>0.2184113412843045</v>
      </c>
      <c r="Q19" s="29" t="e">
        <v>#DIV/0!</v>
      </c>
      <c r="R19" s="29">
        <v>0.17198093712462106</v>
      </c>
    </row>
    <row r="20" ht="18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8.0" customHeight="1" outlineLevel="1">
      <c r="A21" s="4"/>
      <c r="B21" s="4" t="s">
        <v>35</v>
      </c>
      <c r="C21" s="21">
        <v>466131.0</v>
      </c>
      <c r="D21" s="21">
        <v>1087640.0</v>
      </c>
      <c r="E21" s="21">
        <v>5540309.0</v>
      </c>
      <c r="F21" s="21">
        <v>267606.0</v>
      </c>
      <c r="G21" s="21">
        <v>790978.0</v>
      </c>
      <c r="H21" s="21">
        <v>679266.0</v>
      </c>
      <c r="I21" s="21">
        <v>0.0</v>
      </c>
      <c r="J21" s="21">
        <v>0.0</v>
      </c>
      <c r="K21" s="21">
        <v>8831930.0</v>
      </c>
      <c r="L21" s="21">
        <v>1597391.0</v>
      </c>
      <c r="M21" s="21">
        <v>2296848.0</v>
      </c>
      <c r="N21" s="21">
        <v>2799643.0</v>
      </c>
      <c r="O21" s="21">
        <v>4939288.0</v>
      </c>
      <c r="P21" s="21">
        <v>1.0035779E7</v>
      </c>
      <c r="Q21" s="21">
        <v>0.0</v>
      </c>
      <c r="R21" s="21">
        <v>1.8867709E7</v>
      </c>
    </row>
    <row r="22" ht="18.0" customHeight="1" outlineLevel="1">
      <c r="A22" s="4"/>
      <c r="B22" s="4" t="s">
        <v>36</v>
      </c>
      <c r="C22" s="30">
        <v>-444376.0</v>
      </c>
      <c r="D22" s="30">
        <v>3451850.0</v>
      </c>
      <c r="E22" s="30">
        <v>1.2069184E7</v>
      </c>
      <c r="F22" s="30">
        <v>29007.0</v>
      </c>
      <c r="G22" s="30">
        <v>301312.0</v>
      </c>
      <c r="H22" s="30">
        <v>1680264.0</v>
      </c>
      <c r="I22" s="30">
        <v>0.0</v>
      </c>
      <c r="J22" s="30">
        <v>1918179.0</v>
      </c>
      <c r="K22" s="30">
        <v>1.900542E7</v>
      </c>
      <c r="L22" s="30">
        <v>-8296860.0</v>
      </c>
      <c r="M22" s="30">
        <v>1.9497007E7</v>
      </c>
      <c r="N22" s="30">
        <v>1.0185733E7</v>
      </c>
      <c r="O22" s="30">
        <v>2.0576509E7</v>
      </c>
      <c r="P22" s="30">
        <v>5.0259249E7</v>
      </c>
      <c r="Q22" s="30">
        <v>-1.0905123E7</v>
      </c>
      <c r="R22" s="30">
        <v>6.9264669E7</v>
      </c>
    </row>
    <row r="23" ht="18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1"/>
  <cols>
    <col customWidth="1" min="1" max="1" width="0.14"/>
    <col customWidth="1" min="2" max="2" width="26.57"/>
    <col customWidth="1" min="3" max="3" width="16.57"/>
    <col customWidth="1" min="4" max="13" width="16.86"/>
    <col customWidth="1" min="14" max="14" width="3.43"/>
    <col customWidth="1" min="15" max="17" width="13.43"/>
    <col customWidth="1" min="18" max="18" width="10.43"/>
    <col customWidth="1" min="19" max="19" width="11.57"/>
    <col customWidth="1" min="20" max="28" width="8.57"/>
  </cols>
  <sheetData>
    <row r="1" ht="18.0" customHeight="1">
      <c r="A1" s="1"/>
      <c r="B1" s="2" t="s">
        <v>0</v>
      </c>
      <c r="C1" s="3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hidden="1" customHeight="1" outlineLevel="1">
      <c r="A2" s="4"/>
      <c r="B2" s="5" t="s">
        <v>17</v>
      </c>
      <c r="C2" s="32"/>
      <c r="D2" s="7"/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8.0" hidden="1" customHeight="1" outlineLevel="1">
      <c r="A3" s="4"/>
      <c r="B3" s="5" t="s">
        <v>18</v>
      </c>
      <c r="C3" s="32"/>
      <c r="D3" s="7"/>
      <c r="E3" s="7"/>
      <c r="F3" s="7"/>
      <c r="G3" s="7"/>
      <c r="H3" s="7"/>
      <c r="I3" s="7"/>
      <c r="J3" s="7"/>
      <c r="K3" s="7"/>
      <c r="L3" s="7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8.0" hidden="1" customHeight="1" outlineLevel="1">
      <c r="A4" s="4"/>
      <c r="B4" s="5" t="s">
        <v>19</v>
      </c>
      <c r="C4" s="32"/>
      <c r="D4" s="7"/>
      <c r="E4" s="7"/>
      <c r="F4" s="7"/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8.0" hidden="1" customHeight="1" outlineLevel="1">
      <c r="A5" s="4"/>
      <c r="B5" s="5" t="s">
        <v>20</v>
      </c>
      <c r="C5" s="32"/>
      <c r="D5" s="7"/>
      <c r="E5" s="7"/>
      <c r="F5" s="7"/>
      <c r="G5" s="7"/>
      <c r="H5" s="7"/>
      <c r="I5" s="7"/>
      <c r="J5" s="7"/>
      <c r="K5" s="7"/>
      <c r="L5" s="7"/>
      <c r="M5" s="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8.0" hidden="1" customHeight="1" outlineLevel="1">
      <c r="A6" s="4"/>
      <c r="B6" s="8" t="s">
        <v>21</v>
      </c>
      <c r="C6" s="32"/>
      <c r="D6" s="9"/>
      <c r="E6" s="9"/>
      <c r="F6" s="9"/>
      <c r="G6" s="9"/>
      <c r="H6" s="9"/>
      <c r="I6" s="9"/>
      <c r="J6" s="9"/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8.0" hidden="1" customHeight="1" outlineLevel="1">
      <c r="A7" s="4"/>
      <c r="B7" s="5" t="s">
        <v>22</v>
      </c>
      <c r="C7" s="32"/>
      <c r="D7" s="7"/>
      <c r="E7" s="7"/>
      <c r="F7" s="7"/>
      <c r="G7" s="7"/>
      <c r="H7" s="7"/>
      <c r="I7" s="7"/>
      <c r="J7" s="7"/>
      <c r="K7" s="7"/>
      <c r="L7" s="7"/>
      <c r="M7" s="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8.0" hidden="1" customHeight="1" outlineLevel="1">
      <c r="A8" s="4"/>
      <c r="B8" s="5" t="s">
        <v>23</v>
      </c>
      <c r="C8" s="32"/>
      <c r="D8" s="7"/>
      <c r="E8" s="7"/>
      <c r="F8" s="7"/>
      <c r="G8" s="7"/>
      <c r="H8" s="7"/>
      <c r="I8" s="7"/>
      <c r="J8" s="7"/>
      <c r="K8" s="7"/>
      <c r="L8" s="7"/>
      <c r="M8" s="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8.0" hidden="1" customHeight="1" outlineLevel="1">
      <c r="A9" s="4"/>
      <c r="B9" s="33" t="s">
        <v>37</v>
      </c>
      <c r="C9" s="4"/>
      <c r="D9" s="34">
        <v>7400514.0</v>
      </c>
      <c r="E9" s="34">
        <v>4368869.0</v>
      </c>
      <c r="F9" s="34">
        <v>1.7474644E7</v>
      </c>
      <c r="G9" s="34">
        <v>1629283.0</v>
      </c>
      <c r="H9" s="34">
        <v>1994652.0</v>
      </c>
      <c r="I9" s="34">
        <v>0.0</v>
      </c>
      <c r="J9" s="34">
        <v>0.0</v>
      </c>
      <c r="K9" s="34">
        <v>1863085.0</v>
      </c>
      <c r="L9" s="34">
        <v>3.4731047E7</v>
      </c>
      <c r="M9" s="34">
        <v>0.0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8.0" hidden="1" customHeight="1" outlineLevel="1">
      <c r="A10" s="4"/>
      <c r="B10" s="33" t="s">
        <v>38</v>
      </c>
      <c r="C10" s="4"/>
      <c r="D10" s="34">
        <v>6236260.0</v>
      </c>
      <c r="E10" s="34">
        <v>1.1526594E7</v>
      </c>
      <c r="F10" s="34">
        <v>3.1895442E7</v>
      </c>
      <c r="G10" s="34">
        <v>3926798.0</v>
      </c>
      <c r="H10" s="34">
        <v>6165223.0</v>
      </c>
      <c r="I10" s="34">
        <v>5899264.0</v>
      </c>
      <c r="J10" s="34">
        <v>0.0</v>
      </c>
      <c r="K10" s="34">
        <v>8056872.0</v>
      </c>
      <c r="L10" s="34">
        <v>7.3706453E7</v>
      </c>
      <c r="M10" s="34">
        <v>0.0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8.0" hidden="1" customHeight="1" outlineLevel="1">
      <c r="A11" s="4"/>
      <c r="B11" s="33" t="s">
        <v>39</v>
      </c>
      <c r="C11" s="4"/>
      <c r="D11" s="34">
        <v>0.0</v>
      </c>
      <c r="E11" s="34">
        <v>209028.0</v>
      </c>
      <c r="F11" s="34">
        <v>182238.0</v>
      </c>
      <c r="G11" s="34">
        <v>5000.0</v>
      </c>
      <c r="H11" s="34">
        <v>37731.0</v>
      </c>
      <c r="I11" s="34">
        <v>2728.0</v>
      </c>
      <c r="J11" s="34">
        <v>0.0</v>
      </c>
      <c r="K11" s="34">
        <v>0.0</v>
      </c>
      <c r="L11" s="34">
        <v>436725.0</v>
      </c>
      <c r="M11" s="34">
        <v>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8.0" customHeight="1" collapsed="1">
      <c r="A12" s="4"/>
      <c r="B12" s="15" t="s">
        <v>24</v>
      </c>
      <c r="C12" s="35" t="s">
        <v>40</v>
      </c>
      <c r="D12" s="36">
        <v>1.583604E7</v>
      </c>
      <c r="E12" s="36">
        <v>1.541475E7</v>
      </c>
      <c r="F12" s="36">
        <v>4.34434E7</v>
      </c>
      <c r="G12" s="36">
        <v>6324000.0</v>
      </c>
      <c r="H12" s="36">
        <v>8651099.0</v>
      </c>
      <c r="I12" s="36">
        <v>3720000.0</v>
      </c>
      <c r="J12" s="16"/>
      <c r="K12" s="36">
        <v>1.073592E7</v>
      </c>
      <c r="L12" s="36">
        <v>1.04125209E8</v>
      </c>
      <c r="M12" s="36">
        <v>0.0</v>
      </c>
      <c r="N12" s="4"/>
      <c r="O12" s="21"/>
      <c r="P12" s="21"/>
      <c r="Q12" s="2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8.0" customHeight="1">
      <c r="A13" s="4"/>
      <c r="B13" s="15"/>
      <c r="C13" s="15" t="s">
        <v>41</v>
      </c>
      <c r="D13" s="16">
        <v>1.3636774E7</v>
      </c>
      <c r="E13" s="16">
        <v>1.6104491E7</v>
      </c>
      <c r="F13" s="16">
        <v>4.9552324E7</v>
      </c>
      <c r="G13" s="16">
        <v>5561081.0</v>
      </c>
      <c r="H13" s="16">
        <v>8197606.0</v>
      </c>
      <c r="I13" s="16">
        <v>5901992.0</v>
      </c>
      <c r="J13" s="16">
        <v>0.0</v>
      </c>
      <c r="K13" s="16">
        <v>9919957.0</v>
      </c>
      <c r="L13" s="16">
        <v>1.08874225E8</v>
      </c>
      <c r="M13" s="16">
        <v>0.0</v>
      </c>
      <c r="N13" s="4"/>
      <c r="O13" s="21"/>
      <c r="P13" s="21"/>
      <c r="Q13" s="2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8.0" customHeight="1">
      <c r="A14" s="4"/>
      <c r="B14" s="15" t="s">
        <v>25</v>
      </c>
      <c r="C14" s="35" t="s">
        <v>40</v>
      </c>
      <c r="D14" s="36">
        <v>2023238.0</v>
      </c>
      <c r="E14" s="36">
        <v>2209039.0</v>
      </c>
      <c r="F14" s="36">
        <v>8468856.0</v>
      </c>
      <c r="G14" s="36">
        <v>837000.0</v>
      </c>
      <c r="H14" s="36">
        <v>905407.0</v>
      </c>
      <c r="I14" s="36">
        <v>0.0</v>
      </c>
      <c r="J14" s="36"/>
      <c r="K14" s="36">
        <v>325696.0</v>
      </c>
      <c r="L14" s="36">
        <v>1.4769236E7</v>
      </c>
      <c r="M14" s="36">
        <v>0.0</v>
      </c>
      <c r="N14" s="4"/>
      <c r="O14" s="21"/>
      <c r="P14" s="21"/>
      <c r="Q14" s="2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8.0" customHeight="1">
      <c r="A15" s="4"/>
      <c r="B15" s="15"/>
      <c r="C15" s="15" t="s">
        <v>41</v>
      </c>
      <c r="D15" s="16">
        <v>2764685.0</v>
      </c>
      <c r="E15" s="16">
        <v>2018167.0</v>
      </c>
      <c r="F15" s="16">
        <v>9380884.0</v>
      </c>
      <c r="G15" s="16">
        <v>537929.0</v>
      </c>
      <c r="H15" s="16">
        <v>969284.0</v>
      </c>
      <c r="I15" s="16">
        <v>54559.0</v>
      </c>
      <c r="J15" s="16">
        <v>0.0</v>
      </c>
      <c r="K15" s="16">
        <v>401673.0</v>
      </c>
      <c r="L15" s="16">
        <v>1.6127181E7</v>
      </c>
      <c r="M15" s="16">
        <v>0.0</v>
      </c>
      <c r="N15" s="4"/>
      <c r="O15" s="21"/>
      <c r="P15" s="21"/>
      <c r="Q15" s="2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8.0" customHeight="1">
      <c r="A16" s="21"/>
      <c r="B16" s="22" t="s">
        <v>27</v>
      </c>
      <c r="C16" s="35" t="s">
        <v>40</v>
      </c>
      <c r="D16" s="37">
        <v>1.3812802E7</v>
      </c>
      <c r="E16" s="37">
        <v>1.3205711E7</v>
      </c>
      <c r="F16" s="37">
        <v>3.4974544E7</v>
      </c>
      <c r="G16" s="37">
        <v>5487000.0</v>
      </c>
      <c r="H16" s="37">
        <v>7745692.0</v>
      </c>
      <c r="I16" s="37">
        <v>3720000.0</v>
      </c>
      <c r="J16" s="37"/>
      <c r="K16" s="37">
        <v>1.0410224E7</v>
      </c>
      <c r="L16" s="37">
        <v>8.9355973E7</v>
      </c>
      <c r="M16" s="37">
        <v>0.0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ht="18.0" customHeight="1">
      <c r="A17" s="21"/>
      <c r="B17" s="22"/>
      <c r="C17" s="15" t="s">
        <v>41</v>
      </c>
      <c r="D17" s="23">
        <v>1.0872089E7</v>
      </c>
      <c r="E17" s="23">
        <v>1.4086324E7</v>
      </c>
      <c r="F17" s="23">
        <v>4.017144E7</v>
      </c>
      <c r="G17" s="23">
        <v>5023152.0</v>
      </c>
      <c r="H17" s="23">
        <v>7228322.0</v>
      </c>
      <c r="I17" s="23">
        <v>5847433.0</v>
      </c>
      <c r="J17" s="23">
        <v>0.0</v>
      </c>
      <c r="K17" s="23">
        <v>9518284.0</v>
      </c>
      <c r="L17" s="23">
        <v>9.2747044E7</v>
      </c>
      <c r="M17" s="23">
        <v>0.0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ht="18.0" customHeight="1">
      <c r="A18" s="21"/>
      <c r="B18" s="21" t="s">
        <v>28</v>
      </c>
      <c r="C18" s="4" t="s">
        <v>40</v>
      </c>
      <c r="D18" s="24">
        <v>6227052.0</v>
      </c>
      <c r="E18" s="24">
        <v>3652890.0</v>
      </c>
      <c r="F18" s="24">
        <v>1.1820689E7</v>
      </c>
      <c r="G18" s="24">
        <v>2701842.0</v>
      </c>
      <c r="H18" s="24">
        <v>2435000.0</v>
      </c>
      <c r="I18" s="24">
        <v>1671350.0</v>
      </c>
      <c r="J18" s="24">
        <v>0.0</v>
      </c>
      <c r="K18" s="24">
        <v>3105800.0</v>
      </c>
      <c r="L18" s="24">
        <v>3.1614623E7</v>
      </c>
      <c r="M18" s="24">
        <v>0.0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ht="18.0" customHeight="1">
      <c r="A19" s="21"/>
      <c r="B19" s="21"/>
      <c r="C19" s="38" t="s">
        <v>41</v>
      </c>
      <c r="D19" s="39">
        <v>5157654.0</v>
      </c>
      <c r="E19" s="39">
        <v>4394706.0</v>
      </c>
      <c r="F19" s="39">
        <v>1.0702932E7</v>
      </c>
      <c r="G19" s="39">
        <v>2277290.0</v>
      </c>
      <c r="H19" s="39">
        <v>2792980.0</v>
      </c>
      <c r="I19" s="39">
        <v>1795213.0</v>
      </c>
      <c r="J19" s="39">
        <v>0.0</v>
      </c>
      <c r="K19" s="39">
        <v>3681769.0</v>
      </c>
      <c r="L19" s="39">
        <v>3.0802544E7</v>
      </c>
      <c r="M19" s="39">
        <v>8372169.0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ht="18.0" hidden="1" customHeight="1" outlineLevel="1">
      <c r="A20" s="21"/>
      <c r="B20" s="40" t="s">
        <v>42</v>
      </c>
      <c r="C20" s="41" t="s">
        <v>40</v>
      </c>
      <c r="D20" s="42">
        <v>0.0</v>
      </c>
      <c r="E20" s="42">
        <v>0.0</v>
      </c>
      <c r="F20" s="42">
        <v>0.0</v>
      </c>
      <c r="G20" s="42">
        <v>0.0</v>
      </c>
      <c r="H20" s="42">
        <v>0.0</v>
      </c>
      <c r="I20" s="42">
        <v>0.0</v>
      </c>
      <c r="J20" s="42"/>
      <c r="K20" s="42">
        <v>0.0</v>
      </c>
      <c r="L20" s="42">
        <v>0.0</v>
      </c>
      <c r="M20" s="42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8.0" hidden="1" customHeight="1" outlineLevel="1">
      <c r="A21" s="21"/>
      <c r="B21" s="40"/>
      <c r="C21" s="43" t="s">
        <v>41</v>
      </c>
      <c r="D21" s="44">
        <v>0.0</v>
      </c>
      <c r="E21" s="44">
        <v>0.0</v>
      </c>
      <c r="F21" s="44">
        <v>0.0</v>
      </c>
      <c r="G21" s="44">
        <v>0.0</v>
      </c>
      <c r="H21" s="44">
        <v>0.0</v>
      </c>
      <c r="I21" s="44">
        <v>0.0</v>
      </c>
      <c r="J21" s="44">
        <v>0.0</v>
      </c>
      <c r="K21" s="44">
        <v>0.0</v>
      </c>
      <c r="L21" s="44">
        <v>0.0</v>
      </c>
      <c r="M21" s="44">
        <v>0.0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8.0" hidden="1" customHeight="1" outlineLevel="1">
      <c r="A22" s="21"/>
      <c r="B22" s="40" t="s">
        <v>43</v>
      </c>
      <c r="C22" s="41" t="s">
        <v>40</v>
      </c>
      <c r="D22" s="42">
        <v>2739500.0</v>
      </c>
      <c r="E22" s="42">
        <v>1576500.0</v>
      </c>
      <c r="F22" s="42">
        <v>5107000.0</v>
      </c>
      <c r="G22" s="42">
        <v>1774000.0</v>
      </c>
      <c r="H22" s="42">
        <v>1762000.0</v>
      </c>
      <c r="I22" s="42">
        <v>1085000.0</v>
      </c>
      <c r="J22" s="42"/>
      <c r="K22" s="42">
        <v>1755000.0</v>
      </c>
      <c r="L22" s="42">
        <v>1.5799E7</v>
      </c>
      <c r="M22" s="4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8.0" hidden="1" customHeight="1" outlineLevel="1">
      <c r="A23" s="21"/>
      <c r="B23" s="40"/>
      <c r="C23" s="43" t="s">
        <v>41</v>
      </c>
      <c r="D23" s="44">
        <v>2336945.0</v>
      </c>
      <c r="E23" s="44">
        <v>2345230.0</v>
      </c>
      <c r="F23" s="44">
        <v>4441818.0</v>
      </c>
      <c r="G23" s="44">
        <v>1613865.0</v>
      </c>
      <c r="H23" s="44">
        <v>1881476.0</v>
      </c>
      <c r="I23" s="44">
        <v>1166111.0</v>
      </c>
      <c r="J23" s="44">
        <v>0.0</v>
      </c>
      <c r="K23" s="44">
        <v>1690479.0</v>
      </c>
      <c r="L23" s="44">
        <v>1.5475924E7</v>
      </c>
      <c r="M23" s="44">
        <v>4203869.0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8.0" hidden="1" customHeight="1" outlineLevel="1">
      <c r="A24" s="21"/>
      <c r="B24" s="40" t="s">
        <v>44</v>
      </c>
      <c r="C24" s="41" t="s">
        <v>40</v>
      </c>
      <c r="D24" s="42">
        <v>898000.0</v>
      </c>
      <c r="E24" s="42">
        <v>1289000.0</v>
      </c>
      <c r="F24" s="42">
        <v>4031000.0</v>
      </c>
      <c r="G24" s="42">
        <v>377000.0</v>
      </c>
      <c r="H24" s="42">
        <v>140000.0</v>
      </c>
      <c r="I24" s="42">
        <v>274000.0</v>
      </c>
      <c r="J24" s="42"/>
      <c r="K24" s="42">
        <v>751000.0</v>
      </c>
      <c r="L24" s="42">
        <v>7760000.0</v>
      </c>
      <c r="M24" s="42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8.0" hidden="1" customHeight="1" outlineLevel="1">
      <c r="A25" s="21"/>
      <c r="B25" s="40"/>
      <c r="C25" s="43" t="s">
        <v>41</v>
      </c>
      <c r="D25" s="44">
        <v>941420.0</v>
      </c>
      <c r="E25" s="44">
        <v>1002943.0</v>
      </c>
      <c r="F25" s="44">
        <v>4289058.0</v>
      </c>
      <c r="G25" s="44">
        <v>293955.0</v>
      </c>
      <c r="H25" s="44">
        <v>283583.0</v>
      </c>
      <c r="I25" s="44">
        <v>340040.0</v>
      </c>
      <c r="J25" s="44">
        <v>0.0</v>
      </c>
      <c r="K25" s="44">
        <v>1311946.0</v>
      </c>
      <c r="L25" s="44">
        <v>8462945.0</v>
      </c>
      <c r="M25" s="44">
        <v>286302.0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8.0" hidden="1" customHeight="1" outlineLevel="1">
      <c r="A26" s="21"/>
      <c r="B26" s="40" t="s">
        <v>45</v>
      </c>
      <c r="C26" s="41" t="s">
        <v>46</v>
      </c>
      <c r="D26" s="42">
        <v>0.0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2"/>
      <c r="K26" s="42">
        <v>0.0</v>
      </c>
      <c r="L26" s="42">
        <v>0.0</v>
      </c>
      <c r="M26" s="4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8.0" hidden="1" customHeight="1" outlineLevel="1">
      <c r="A27" s="21"/>
      <c r="B27" s="40"/>
      <c r="C27" s="43" t="s">
        <v>41</v>
      </c>
      <c r="D27" s="44">
        <v>0.0</v>
      </c>
      <c r="E27" s="44">
        <v>0.0</v>
      </c>
      <c r="F27" s="44">
        <v>0.0</v>
      </c>
      <c r="G27" s="44">
        <v>0.0</v>
      </c>
      <c r="H27" s="44">
        <v>0.0</v>
      </c>
      <c r="I27" s="44">
        <v>0.0</v>
      </c>
      <c r="J27" s="44">
        <v>0.0</v>
      </c>
      <c r="K27" s="44">
        <v>0.0</v>
      </c>
      <c r="L27" s="44">
        <v>0.0</v>
      </c>
      <c r="M27" s="44">
        <v>319207.0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8.0" hidden="1" customHeight="1" outlineLevel="1">
      <c r="A28" s="21"/>
      <c r="B28" s="40" t="s">
        <v>47</v>
      </c>
      <c r="C28" s="41" t="s">
        <v>40</v>
      </c>
      <c r="D28" s="42">
        <v>273950.0</v>
      </c>
      <c r="E28" s="42">
        <v>157650.0</v>
      </c>
      <c r="F28" s="42">
        <v>510700.0</v>
      </c>
      <c r="G28" s="42">
        <v>177400.0</v>
      </c>
      <c r="H28" s="42">
        <v>157700.0</v>
      </c>
      <c r="I28" s="42">
        <v>108500.0</v>
      </c>
      <c r="J28" s="42"/>
      <c r="K28" s="42">
        <v>159000.0</v>
      </c>
      <c r="L28" s="42">
        <v>1544900.0</v>
      </c>
      <c r="M28" s="4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8.0" hidden="1" customHeight="1" outlineLevel="1">
      <c r="A29" s="21"/>
      <c r="B29" s="40"/>
      <c r="C29" s="43" t="s">
        <v>41</v>
      </c>
      <c r="D29" s="44">
        <v>156250.0</v>
      </c>
      <c r="E29" s="44">
        <v>246750.0</v>
      </c>
      <c r="F29" s="44">
        <v>456200.0</v>
      </c>
      <c r="G29" s="44">
        <v>149100.0</v>
      </c>
      <c r="H29" s="44">
        <v>157700.0</v>
      </c>
      <c r="I29" s="44">
        <v>88500.0</v>
      </c>
      <c r="J29" s="44">
        <v>0.0</v>
      </c>
      <c r="K29" s="44">
        <v>159000.0</v>
      </c>
      <c r="L29" s="44">
        <v>1413500.0</v>
      </c>
      <c r="M29" s="44">
        <v>512300.0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8.0" hidden="1" customHeight="1" outlineLevel="1">
      <c r="A30" s="21"/>
      <c r="B30" s="40" t="s">
        <v>48</v>
      </c>
      <c r="C30" s="41" t="s">
        <v>40</v>
      </c>
      <c r="D30" s="42">
        <v>545625.0</v>
      </c>
      <c r="E30" s="42">
        <v>429825.0</v>
      </c>
      <c r="F30" s="42">
        <v>1370700.0</v>
      </c>
      <c r="G30" s="42">
        <v>322650.0</v>
      </c>
      <c r="H30" s="42">
        <v>285300.0</v>
      </c>
      <c r="I30" s="42">
        <v>203850.0</v>
      </c>
      <c r="J30" s="42"/>
      <c r="K30" s="42">
        <v>280800.0</v>
      </c>
      <c r="L30" s="42">
        <v>3438750.0</v>
      </c>
      <c r="M30" s="42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8.0" hidden="1" customHeight="1" outlineLevel="1">
      <c r="A31" s="21"/>
      <c r="B31" s="40"/>
      <c r="C31" s="43" t="s">
        <v>41</v>
      </c>
      <c r="D31" s="44">
        <v>472951.0</v>
      </c>
      <c r="E31" s="44">
        <v>463137.0</v>
      </c>
      <c r="F31" s="44">
        <v>928492.0</v>
      </c>
      <c r="G31" s="44">
        <v>296825.0</v>
      </c>
      <c r="H31" s="44">
        <v>328869.0</v>
      </c>
      <c r="I31" s="44">
        <v>187960.0</v>
      </c>
      <c r="J31" s="44">
        <v>0.0</v>
      </c>
      <c r="K31" s="44">
        <v>417888.0</v>
      </c>
      <c r="L31" s="44">
        <v>3096122.0</v>
      </c>
      <c r="M31" s="44">
        <v>598103.0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8.0" hidden="1" customHeight="1" outlineLevel="1">
      <c r="A32" s="21"/>
      <c r="B32" s="40" t="s">
        <v>49</v>
      </c>
      <c r="C32" s="41" t="s">
        <v>40</v>
      </c>
      <c r="D32" s="42">
        <v>167665.0</v>
      </c>
      <c r="E32" s="42">
        <v>167665.0</v>
      </c>
      <c r="F32" s="42">
        <v>344743.0</v>
      </c>
      <c r="G32" s="42">
        <v>50792.0</v>
      </c>
      <c r="H32" s="42">
        <v>90000.0</v>
      </c>
      <c r="I32" s="42">
        <v>0.0</v>
      </c>
      <c r="J32" s="42"/>
      <c r="K32" s="42">
        <v>160000.0</v>
      </c>
      <c r="L32" s="42">
        <v>980865.0</v>
      </c>
      <c r="M32" s="42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8.0" hidden="1" customHeight="1" outlineLevel="1">
      <c r="A33" s="21"/>
      <c r="B33" s="40"/>
      <c r="C33" s="43" t="s">
        <v>41</v>
      </c>
      <c r="D33" s="44">
        <v>-36000.0</v>
      </c>
      <c r="E33" s="44">
        <v>-52273.0</v>
      </c>
      <c r="F33" s="44">
        <v>133121.0</v>
      </c>
      <c r="G33" s="44">
        <v>-76615.0</v>
      </c>
      <c r="H33" s="44">
        <v>140712.0</v>
      </c>
      <c r="I33" s="44">
        <v>12602.0</v>
      </c>
      <c r="J33" s="44">
        <v>0.0</v>
      </c>
      <c r="K33" s="44">
        <v>20546.0</v>
      </c>
      <c r="L33" s="44">
        <v>142093.0</v>
      </c>
      <c r="M33" s="44">
        <v>333953.0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8.0" hidden="1" customHeight="1" outlineLevel="1">
      <c r="A34" s="21"/>
      <c r="B34" s="40" t="s">
        <v>50</v>
      </c>
      <c r="C34" s="41" t="s">
        <v>40</v>
      </c>
      <c r="D34" s="42">
        <v>0.0</v>
      </c>
      <c r="E34" s="42">
        <v>0.0</v>
      </c>
      <c r="F34" s="42">
        <v>130546.0</v>
      </c>
      <c r="G34" s="42">
        <v>0.0</v>
      </c>
      <c r="H34" s="42">
        <v>0.0</v>
      </c>
      <c r="I34" s="42">
        <v>0.0</v>
      </c>
      <c r="J34" s="42"/>
      <c r="K34" s="42">
        <v>0.0</v>
      </c>
      <c r="L34" s="42">
        <v>130546.0</v>
      </c>
      <c r="M34" s="42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8.0" hidden="1" customHeight="1" outlineLevel="1">
      <c r="A35" s="21"/>
      <c r="B35" s="40"/>
      <c r="C35" s="43" t="s">
        <v>41</v>
      </c>
      <c r="D35" s="44">
        <v>250633.0</v>
      </c>
      <c r="E35" s="44">
        <v>388919.0</v>
      </c>
      <c r="F35" s="44">
        <v>454243.0</v>
      </c>
      <c r="G35" s="44">
        <v>0.0</v>
      </c>
      <c r="H35" s="44">
        <v>0.0</v>
      </c>
      <c r="I35" s="44">
        <v>0.0</v>
      </c>
      <c r="J35" s="44">
        <v>0.0</v>
      </c>
      <c r="K35" s="44">
        <v>81910.0</v>
      </c>
      <c r="L35" s="44">
        <v>1175705.0</v>
      </c>
      <c r="M35" s="44">
        <v>876500.0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8.0" hidden="1" customHeight="1" outlineLevel="1">
      <c r="A36" s="21"/>
      <c r="B36" s="40" t="s">
        <v>51</v>
      </c>
      <c r="C36" s="41" t="s">
        <v>40</v>
      </c>
      <c r="D36" s="42">
        <v>102312.0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2"/>
      <c r="K36" s="42">
        <v>0.0</v>
      </c>
      <c r="L36" s="42">
        <v>102312.0</v>
      </c>
      <c r="M36" s="42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8.0" hidden="1" customHeight="1" outlineLevel="1">
      <c r="A37" s="21"/>
      <c r="B37" s="40"/>
      <c r="C37" s="43" t="s">
        <v>41</v>
      </c>
      <c r="D37" s="44">
        <v>1035455.0</v>
      </c>
      <c r="E37" s="44">
        <v>0.0</v>
      </c>
      <c r="F37" s="44">
        <v>0.0</v>
      </c>
      <c r="G37" s="44">
        <v>160.0</v>
      </c>
      <c r="H37" s="44">
        <v>640.0</v>
      </c>
      <c r="I37" s="44">
        <v>0.0</v>
      </c>
      <c r="J37" s="44">
        <v>0.0</v>
      </c>
      <c r="K37" s="44">
        <v>0.0</v>
      </c>
      <c r="L37" s="44">
        <v>1036255.0</v>
      </c>
      <c r="M37" s="44">
        <v>1241935.0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8.0" hidden="1" customHeight="1" outlineLevel="1">
      <c r="A38" s="21"/>
      <c r="B38" s="40" t="s">
        <v>52</v>
      </c>
      <c r="C38" s="41" t="s">
        <v>40</v>
      </c>
      <c r="D38" s="42">
        <v>0.0</v>
      </c>
      <c r="E38" s="42">
        <v>0.0</v>
      </c>
      <c r="F38" s="42">
        <v>0.0</v>
      </c>
      <c r="G38" s="42">
        <v>0.0</v>
      </c>
      <c r="H38" s="42">
        <v>0.0</v>
      </c>
      <c r="I38" s="42">
        <v>0.0</v>
      </c>
      <c r="J38" s="42"/>
      <c r="K38" s="42">
        <v>0.0</v>
      </c>
      <c r="L38" s="42">
        <v>0.0</v>
      </c>
      <c r="M38" s="42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8.0" hidden="1" customHeight="1" outlineLevel="1">
      <c r="A39" s="21"/>
      <c r="B39" s="40"/>
      <c r="C39" s="43" t="s">
        <v>41</v>
      </c>
      <c r="D39" s="44">
        <v>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4">
        <v>0.0</v>
      </c>
      <c r="K39" s="44">
        <v>0.0</v>
      </c>
      <c r="L39" s="44">
        <v>0.0</v>
      </c>
      <c r="M39" s="44">
        <v>0.0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8.0" hidden="1" customHeight="1" outlineLevel="1">
      <c r="A40" s="21"/>
      <c r="B40" s="40" t="s">
        <v>53</v>
      </c>
      <c r="C40" s="41" t="s">
        <v>40</v>
      </c>
      <c r="D40" s="42">
        <v>1500000.0</v>
      </c>
      <c r="E40" s="42">
        <v>32250.0</v>
      </c>
      <c r="F40" s="42">
        <v>326000.0</v>
      </c>
      <c r="G40" s="42">
        <v>0.0</v>
      </c>
      <c r="H40" s="42">
        <v>0.0</v>
      </c>
      <c r="I40" s="42">
        <v>0.0</v>
      </c>
      <c r="J40" s="42"/>
      <c r="K40" s="42">
        <v>0.0</v>
      </c>
      <c r="L40" s="42">
        <v>1858250.0</v>
      </c>
      <c r="M40" s="42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8.0" hidden="1" customHeight="1" outlineLevel="1">
      <c r="A41" s="21"/>
      <c r="B41" s="40"/>
      <c r="C41" s="43" t="s">
        <v>41</v>
      </c>
      <c r="D41" s="44">
        <v>0.0</v>
      </c>
      <c r="E41" s="44">
        <v>0.0</v>
      </c>
      <c r="F41" s="44">
        <v>0.0</v>
      </c>
      <c r="G41" s="44">
        <v>0.0</v>
      </c>
      <c r="H41" s="44">
        <v>0.0</v>
      </c>
      <c r="I41" s="44">
        <v>0.0</v>
      </c>
      <c r="J41" s="44">
        <v>0.0</v>
      </c>
      <c r="K41" s="44">
        <v>0.0</v>
      </c>
      <c r="L41" s="44">
        <v>0.0</v>
      </c>
      <c r="M41" s="44">
        <v>0.0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8.0" hidden="1" customHeight="1" outlineLevel="1">
      <c r="A42" s="21"/>
      <c r="B42" s="40" t="s">
        <v>54</v>
      </c>
      <c r="C42" s="41" t="s">
        <v>40</v>
      </c>
      <c r="D42" s="42">
        <v>0.0</v>
      </c>
      <c r="E42" s="42">
        <v>0.0</v>
      </c>
      <c r="F42" s="42">
        <v>0.0</v>
      </c>
      <c r="G42" s="42">
        <v>0.0</v>
      </c>
      <c r="H42" s="42">
        <v>0.0</v>
      </c>
      <c r="I42" s="42">
        <v>0.0</v>
      </c>
      <c r="J42" s="42"/>
      <c r="K42" s="42">
        <v>0.0</v>
      </c>
      <c r="L42" s="42">
        <v>0.0</v>
      </c>
      <c r="M42" s="42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8.0" hidden="1" customHeight="1" outlineLevel="1">
      <c r="A43" s="21"/>
      <c r="B43" s="40"/>
      <c r="C43" s="43" t="s">
        <v>41</v>
      </c>
      <c r="D43" s="44">
        <v>0.0</v>
      </c>
      <c r="E43" s="44">
        <v>0.0</v>
      </c>
      <c r="F43" s="44">
        <v>0.0</v>
      </c>
      <c r="G43" s="44">
        <v>0.0</v>
      </c>
      <c r="H43" s="44">
        <v>0.0</v>
      </c>
      <c r="I43" s="44">
        <v>0.0</v>
      </c>
      <c r="J43" s="44">
        <v>0.0</v>
      </c>
      <c r="K43" s="44">
        <v>0.0</v>
      </c>
      <c r="L43" s="44">
        <v>0.0</v>
      </c>
      <c r="M43" s="44">
        <v>0.0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8.0" customHeight="1" collapsed="1">
      <c r="A44" s="21"/>
      <c r="B44" s="21" t="s">
        <v>29</v>
      </c>
      <c r="C44" s="4" t="s">
        <v>40</v>
      </c>
      <c r="D44" s="24">
        <v>4440166.0</v>
      </c>
      <c r="E44" s="24">
        <v>4316262.0</v>
      </c>
      <c r="F44" s="24">
        <v>1.1841911E7</v>
      </c>
      <c r="G44" s="24">
        <v>2296294.0</v>
      </c>
      <c r="H44" s="24">
        <v>2794506.0</v>
      </c>
      <c r="I44" s="24">
        <v>1378755.0</v>
      </c>
      <c r="J44" s="24">
        <v>0.0</v>
      </c>
      <c r="K44" s="24">
        <v>2986357.0</v>
      </c>
      <c r="L44" s="24">
        <v>3.0054251E7</v>
      </c>
      <c r="M44" s="24">
        <v>0.0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8.0" customHeight="1">
      <c r="A45" s="21"/>
      <c r="B45" s="21"/>
      <c r="C45" s="38" t="s">
        <v>41</v>
      </c>
      <c r="D45" s="39">
        <v>4280964.0</v>
      </c>
      <c r="E45" s="39">
        <v>4104648.0</v>
      </c>
      <c r="F45" s="39">
        <v>1.1592496E7</v>
      </c>
      <c r="G45" s="39">
        <v>1968025.0</v>
      </c>
      <c r="H45" s="39">
        <v>3307465.0</v>
      </c>
      <c r="I45" s="39">
        <v>1799928.0</v>
      </c>
      <c r="J45" s="39">
        <v>0.0</v>
      </c>
      <c r="K45" s="39">
        <v>2404366.0</v>
      </c>
      <c r="L45" s="39">
        <v>2.9457892E7</v>
      </c>
      <c r="M45" s="39">
        <v>373237.0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8.0" hidden="1" customHeight="1" outlineLevel="1">
      <c r="A46" s="45"/>
      <c r="B46" s="46" t="s">
        <v>55</v>
      </c>
      <c r="C46" s="47" t="s">
        <v>40</v>
      </c>
      <c r="D46" s="48">
        <v>21951.0</v>
      </c>
      <c r="E46" s="48">
        <v>1510.0</v>
      </c>
      <c r="F46" s="48">
        <v>50000.0</v>
      </c>
      <c r="G46" s="48">
        <v>12477.0</v>
      </c>
      <c r="H46" s="48">
        <v>3000.0</v>
      </c>
      <c r="I46" s="48">
        <v>23000.0</v>
      </c>
      <c r="J46" s="48"/>
      <c r="K46" s="48">
        <v>20000.0</v>
      </c>
      <c r="L46" s="48">
        <v>131938.0</v>
      </c>
      <c r="M46" s="48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8.0" hidden="1" customHeight="1" outlineLevel="1">
      <c r="A47" s="45"/>
      <c r="B47" s="46"/>
      <c r="C47" s="49" t="s">
        <v>41</v>
      </c>
      <c r="D47" s="50">
        <v>20000.0</v>
      </c>
      <c r="E47" s="50">
        <v>0.0</v>
      </c>
      <c r="F47" s="50">
        <v>20000.0</v>
      </c>
      <c r="G47" s="50">
        <v>0.0</v>
      </c>
      <c r="H47" s="50">
        <v>0.0</v>
      </c>
      <c r="I47" s="50">
        <v>20000.0</v>
      </c>
      <c r="J47" s="50">
        <v>0.0</v>
      </c>
      <c r="K47" s="50">
        <v>0.0</v>
      </c>
      <c r="L47" s="50">
        <v>60000.0</v>
      </c>
      <c r="M47" s="50">
        <v>0.0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8.0" hidden="1" customHeight="1" outlineLevel="1">
      <c r="A48" s="45"/>
      <c r="B48" s="46" t="s">
        <v>56</v>
      </c>
      <c r="C48" s="47" t="s">
        <v>40</v>
      </c>
      <c r="D48" s="48">
        <v>130647.0</v>
      </c>
      <c r="E48" s="48">
        <v>99425.0</v>
      </c>
      <c r="F48" s="48">
        <v>286726.0</v>
      </c>
      <c r="G48" s="48">
        <v>88220.0</v>
      </c>
      <c r="H48" s="48">
        <v>115492.0</v>
      </c>
      <c r="I48" s="48">
        <v>42408.0</v>
      </c>
      <c r="J48" s="48"/>
      <c r="K48" s="48">
        <v>40260.0</v>
      </c>
      <c r="L48" s="48">
        <v>803178.0</v>
      </c>
      <c r="M48" s="48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8.0" hidden="1" customHeight="1" outlineLevel="1">
      <c r="A49" s="45"/>
      <c r="B49" s="46"/>
      <c r="C49" s="49" t="s">
        <v>41</v>
      </c>
      <c r="D49" s="50">
        <v>379652.0</v>
      </c>
      <c r="E49" s="50">
        <v>401571.0</v>
      </c>
      <c r="F49" s="50">
        <v>942355.0</v>
      </c>
      <c r="G49" s="50">
        <v>328764.0</v>
      </c>
      <c r="H49" s="50">
        <v>400922.0</v>
      </c>
      <c r="I49" s="50">
        <v>205179.0</v>
      </c>
      <c r="J49" s="50">
        <v>0.0</v>
      </c>
      <c r="K49" s="50">
        <v>99662.0</v>
      </c>
      <c r="L49" s="50">
        <v>2758105.0</v>
      </c>
      <c r="M49" s="50">
        <v>0.0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8.0" hidden="1" customHeight="1" outlineLevel="1">
      <c r="A50" s="21"/>
      <c r="B50" s="46" t="s">
        <v>57</v>
      </c>
      <c r="C50" s="47" t="s">
        <v>40</v>
      </c>
      <c r="D50" s="48">
        <v>1045179.0</v>
      </c>
      <c r="E50" s="48">
        <v>795401.0</v>
      </c>
      <c r="F50" s="48">
        <v>2293812.0</v>
      </c>
      <c r="G50" s="48">
        <v>705758.0</v>
      </c>
      <c r="H50" s="48">
        <v>923937.0</v>
      </c>
      <c r="I50" s="48">
        <v>339264.0</v>
      </c>
      <c r="J50" s="48"/>
      <c r="K50" s="48">
        <v>322078.0</v>
      </c>
      <c r="L50" s="48">
        <v>6425429.0</v>
      </c>
      <c r="M50" s="48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8.0" hidden="1" customHeight="1" outlineLevel="1">
      <c r="A51" s="21"/>
      <c r="B51" s="46"/>
      <c r="C51" s="49" t="s">
        <v>41</v>
      </c>
      <c r="D51" s="50">
        <v>977818.0</v>
      </c>
      <c r="E51" s="50">
        <v>412264.0</v>
      </c>
      <c r="F51" s="50">
        <v>2368033.0</v>
      </c>
      <c r="G51" s="50">
        <v>579981.0</v>
      </c>
      <c r="H51" s="50">
        <v>840177.0</v>
      </c>
      <c r="I51" s="50">
        <v>493299.0</v>
      </c>
      <c r="J51" s="50">
        <v>0.0</v>
      </c>
      <c r="K51" s="50">
        <v>206959.0</v>
      </c>
      <c r="L51" s="50">
        <v>5878531.0</v>
      </c>
      <c r="M51" s="50">
        <v>0.0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8.0" hidden="1" customHeight="1" outlineLevel="1">
      <c r="A52" s="21"/>
      <c r="B52" s="46" t="s">
        <v>58</v>
      </c>
      <c r="C52" s="47" t="s">
        <v>40</v>
      </c>
      <c r="D52" s="48">
        <v>40200.0</v>
      </c>
      <c r="E52" s="48">
        <v>132800.0</v>
      </c>
      <c r="F52" s="48">
        <v>352800.0</v>
      </c>
      <c r="G52" s="48">
        <v>0.0</v>
      </c>
      <c r="H52" s="48">
        <v>0.0</v>
      </c>
      <c r="I52" s="48">
        <v>47027.0</v>
      </c>
      <c r="J52" s="48"/>
      <c r="K52" s="48">
        <v>38171.0</v>
      </c>
      <c r="L52" s="48">
        <v>610998.0</v>
      </c>
      <c r="M52" s="48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8.0" hidden="1" customHeight="1" outlineLevel="1">
      <c r="A53" s="21"/>
      <c r="B53" s="46"/>
      <c r="C53" s="49" t="s">
        <v>41</v>
      </c>
      <c r="D53" s="50">
        <v>0.0</v>
      </c>
      <c r="E53" s="50">
        <v>0.0</v>
      </c>
      <c r="F53" s="50">
        <v>0.0</v>
      </c>
      <c r="G53" s="50">
        <v>0.0</v>
      </c>
      <c r="H53" s="50">
        <v>0.0</v>
      </c>
      <c r="I53" s="50">
        <v>0.0</v>
      </c>
      <c r="J53" s="50">
        <v>0.0</v>
      </c>
      <c r="K53" s="50">
        <v>0.0</v>
      </c>
      <c r="L53" s="50">
        <v>0.0</v>
      </c>
      <c r="M53" s="50">
        <v>0.0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8.0" hidden="1" customHeight="1" outlineLevel="1">
      <c r="A54" s="21"/>
      <c r="B54" s="46" t="s">
        <v>59</v>
      </c>
      <c r="C54" s="47" t="s">
        <v>40</v>
      </c>
      <c r="D54" s="48">
        <v>118956.0</v>
      </c>
      <c r="E54" s="48">
        <v>129451.0</v>
      </c>
      <c r="F54" s="48">
        <v>390991.0</v>
      </c>
      <c r="G54" s="48">
        <v>33370.0</v>
      </c>
      <c r="H54" s="48">
        <v>22938.0</v>
      </c>
      <c r="I54" s="48">
        <v>45359.0</v>
      </c>
      <c r="J54" s="48"/>
      <c r="K54" s="48">
        <v>322078.0</v>
      </c>
      <c r="L54" s="48">
        <v>1063143.0</v>
      </c>
      <c r="M54" s="48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8.0" hidden="1" customHeight="1" outlineLevel="1">
      <c r="A55" s="21"/>
      <c r="B55" s="46"/>
      <c r="C55" s="49" t="s">
        <v>41</v>
      </c>
      <c r="D55" s="50">
        <v>222525.0</v>
      </c>
      <c r="E55" s="50">
        <v>260731.0</v>
      </c>
      <c r="F55" s="50">
        <v>508204.0</v>
      </c>
      <c r="G55" s="50">
        <v>18563.0</v>
      </c>
      <c r="H55" s="50">
        <v>16168.0</v>
      </c>
      <c r="I55" s="50">
        <v>25186.0</v>
      </c>
      <c r="J55" s="50">
        <v>0.0</v>
      </c>
      <c r="K55" s="50">
        <v>93241.0</v>
      </c>
      <c r="L55" s="50">
        <v>1144618.0</v>
      </c>
      <c r="M55" s="50">
        <v>0.0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8.0" hidden="1" customHeight="1" outlineLevel="1">
      <c r="A56" s="21"/>
      <c r="B56" s="46" t="s">
        <v>60</v>
      </c>
      <c r="C56" s="47" t="s">
        <v>40</v>
      </c>
      <c r="D56" s="48">
        <v>831313.0</v>
      </c>
      <c r="E56" s="48">
        <v>1031862.0</v>
      </c>
      <c r="F56" s="48">
        <v>2959238.0</v>
      </c>
      <c r="G56" s="48">
        <v>800000.0</v>
      </c>
      <c r="H56" s="48">
        <v>1033064.0</v>
      </c>
      <c r="I56" s="48">
        <v>152532.0</v>
      </c>
      <c r="J56" s="48"/>
      <c r="K56" s="48">
        <v>800000.0</v>
      </c>
      <c r="L56" s="48">
        <v>7608009.0</v>
      </c>
      <c r="M56" s="48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8.0" hidden="1" customHeight="1" outlineLevel="1">
      <c r="A57" s="21"/>
      <c r="B57" s="46"/>
      <c r="C57" s="49" t="s">
        <v>41</v>
      </c>
      <c r="D57" s="50">
        <v>710155.0</v>
      </c>
      <c r="E57" s="50">
        <v>913852.0</v>
      </c>
      <c r="F57" s="50">
        <v>3152867.0</v>
      </c>
      <c r="G57" s="50">
        <v>437654.0</v>
      </c>
      <c r="H57" s="50">
        <v>1325391.0</v>
      </c>
      <c r="I57" s="50">
        <v>104650.0</v>
      </c>
      <c r="J57" s="50">
        <v>0.0</v>
      </c>
      <c r="K57" s="50">
        <v>1084012.0</v>
      </c>
      <c r="L57" s="50">
        <v>7728581.0</v>
      </c>
      <c r="M57" s="50">
        <v>4482.0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8.0" hidden="1" customHeight="1" outlineLevel="1">
      <c r="A58" s="21"/>
      <c r="B58" s="46" t="s">
        <v>61</v>
      </c>
      <c r="C58" s="47" t="s">
        <v>40</v>
      </c>
      <c r="D58" s="48">
        <v>187500.0</v>
      </c>
      <c r="E58" s="48">
        <v>110000.0</v>
      </c>
      <c r="F58" s="48">
        <v>110000.0</v>
      </c>
      <c r="G58" s="48">
        <v>60000.0</v>
      </c>
      <c r="H58" s="48">
        <v>50000.0</v>
      </c>
      <c r="I58" s="48">
        <v>60000.0</v>
      </c>
      <c r="J58" s="48"/>
      <c r="K58" s="48">
        <v>100000.0</v>
      </c>
      <c r="L58" s="48">
        <v>677500.0</v>
      </c>
      <c r="M58" s="48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8.0" hidden="1" customHeight="1" outlineLevel="1">
      <c r="A59" s="21"/>
      <c r="B59" s="46"/>
      <c r="C59" s="49" t="s">
        <v>41</v>
      </c>
      <c r="D59" s="50">
        <v>190313.0</v>
      </c>
      <c r="E59" s="50">
        <v>110000.0</v>
      </c>
      <c r="F59" s="50">
        <v>110000.0</v>
      </c>
      <c r="G59" s="50">
        <v>60000.0</v>
      </c>
      <c r="H59" s="50">
        <v>50000.0</v>
      </c>
      <c r="I59" s="50">
        <v>60000.0</v>
      </c>
      <c r="J59" s="50">
        <v>0.0</v>
      </c>
      <c r="K59" s="50">
        <v>100000.0</v>
      </c>
      <c r="L59" s="50">
        <v>680313.0</v>
      </c>
      <c r="M59" s="50">
        <v>0.0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8.0" hidden="1" customHeight="1" outlineLevel="1">
      <c r="A60" s="21"/>
      <c r="B60" s="46" t="s">
        <v>62</v>
      </c>
      <c r="C60" s="47" t="s">
        <v>40</v>
      </c>
      <c r="D60" s="48">
        <v>0.0</v>
      </c>
      <c r="E60" s="48">
        <v>0.0</v>
      </c>
      <c r="F60" s="48">
        <v>0.0</v>
      </c>
      <c r="G60" s="48">
        <v>0.0</v>
      </c>
      <c r="H60" s="48">
        <v>0.0</v>
      </c>
      <c r="I60" s="48">
        <v>0.0</v>
      </c>
      <c r="J60" s="48"/>
      <c r="K60" s="48">
        <v>0.0</v>
      </c>
      <c r="L60" s="48">
        <v>0.0</v>
      </c>
      <c r="M60" s="48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8.0" hidden="1" customHeight="1" outlineLevel="1">
      <c r="A61" s="21"/>
      <c r="B61" s="46"/>
      <c r="C61" s="49" t="s">
        <v>41</v>
      </c>
      <c r="D61" s="50">
        <v>0.0</v>
      </c>
      <c r="E61" s="50">
        <v>0.0</v>
      </c>
      <c r="F61" s="50">
        <v>0.0</v>
      </c>
      <c r="G61" s="50">
        <v>0.0</v>
      </c>
      <c r="H61" s="50">
        <v>0.0</v>
      </c>
      <c r="I61" s="50">
        <v>0.0</v>
      </c>
      <c r="J61" s="50">
        <v>0.0</v>
      </c>
      <c r="K61" s="50">
        <v>0.0</v>
      </c>
      <c r="L61" s="50">
        <v>0.0</v>
      </c>
      <c r="M61" s="50">
        <v>0.0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8.0" hidden="1" customHeight="1" outlineLevel="1">
      <c r="A62" s="21"/>
      <c r="B62" s="46" t="s">
        <v>63</v>
      </c>
      <c r="C62" s="47" t="s">
        <v>40</v>
      </c>
      <c r="D62" s="48">
        <v>275000.0</v>
      </c>
      <c r="E62" s="48">
        <v>750000.0</v>
      </c>
      <c r="F62" s="48">
        <v>490000.0</v>
      </c>
      <c r="G62" s="48">
        <v>30000.0</v>
      </c>
      <c r="H62" s="48">
        <v>30000.0</v>
      </c>
      <c r="I62" s="48">
        <v>130000.0</v>
      </c>
      <c r="J62" s="48"/>
      <c r="K62" s="48">
        <v>0.0</v>
      </c>
      <c r="L62" s="48">
        <v>1705000.0</v>
      </c>
      <c r="M62" s="48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8.0" hidden="1" customHeight="1" outlineLevel="1">
      <c r="A63" s="21"/>
      <c r="B63" s="46"/>
      <c r="C63" s="49" t="s">
        <v>41</v>
      </c>
      <c r="D63" s="50">
        <v>275000.0</v>
      </c>
      <c r="E63" s="50">
        <v>750000.0</v>
      </c>
      <c r="F63" s="50">
        <v>490000.0</v>
      </c>
      <c r="G63" s="50">
        <v>30000.0</v>
      </c>
      <c r="H63" s="50">
        <v>30000.0</v>
      </c>
      <c r="I63" s="50">
        <v>130000.0</v>
      </c>
      <c r="J63" s="50">
        <v>0.0</v>
      </c>
      <c r="K63" s="50">
        <v>0.0</v>
      </c>
      <c r="L63" s="50">
        <v>1705000.0</v>
      </c>
      <c r="M63" s="50">
        <v>0.0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8.0" hidden="1" customHeight="1" outlineLevel="1">
      <c r="A64" s="21"/>
      <c r="B64" s="46" t="s">
        <v>64</v>
      </c>
      <c r="C64" s="47" t="s">
        <v>40</v>
      </c>
      <c r="D64" s="48">
        <v>209910.0</v>
      </c>
      <c r="E64" s="48">
        <v>100000.0</v>
      </c>
      <c r="F64" s="48">
        <v>250000.0</v>
      </c>
      <c r="G64" s="48">
        <v>40000.0</v>
      </c>
      <c r="H64" s="48">
        <v>40000.0</v>
      </c>
      <c r="I64" s="48">
        <v>44007.0</v>
      </c>
      <c r="J64" s="48"/>
      <c r="K64" s="48">
        <v>50000.0</v>
      </c>
      <c r="L64" s="48">
        <v>733917.0</v>
      </c>
      <c r="M64" s="48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8.0" hidden="1" customHeight="1" outlineLevel="1">
      <c r="A65" s="21"/>
      <c r="B65" s="46"/>
      <c r="C65" s="49" t="s">
        <v>41</v>
      </c>
      <c r="D65" s="50">
        <v>22647.0</v>
      </c>
      <c r="E65" s="50">
        <v>108586.0</v>
      </c>
      <c r="F65" s="50">
        <v>209780.0</v>
      </c>
      <c r="G65" s="50">
        <v>34235.0</v>
      </c>
      <c r="H65" s="50">
        <v>70558.0</v>
      </c>
      <c r="I65" s="50">
        <v>49072.0</v>
      </c>
      <c r="J65" s="50">
        <v>0.0</v>
      </c>
      <c r="K65" s="50">
        <v>54277.0</v>
      </c>
      <c r="L65" s="50">
        <v>549155.0</v>
      </c>
      <c r="M65" s="50">
        <v>0.0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8.0" hidden="1" customHeight="1" outlineLevel="1">
      <c r="A66" s="21"/>
      <c r="B66" s="46" t="s">
        <v>65</v>
      </c>
      <c r="C66" s="47" t="s">
        <v>40</v>
      </c>
      <c r="D66" s="48">
        <v>159342.0</v>
      </c>
      <c r="E66" s="48">
        <v>117813.0</v>
      </c>
      <c r="F66" s="48">
        <v>1200000.0</v>
      </c>
      <c r="G66" s="48">
        <v>50000.0</v>
      </c>
      <c r="H66" s="48">
        <v>50000.0</v>
      </c>
      <c r="I66" s="48">
        <v>220000.0</v>
      </c>
      <c r="J66" s="48"/>
      <c r="K66" s="48">
        <v>298220.0</v>
      </c>
      <c r="L66" s="48">
        <v>2095375.0</v>
      </c>
      <c r="M66" s="48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8.0" hidden="1" customHeight="1" outlineLevel="1">
      <c r="A67" s="21"/>
      <c r="B67" s="46"/>
      <c r="C67" s="49" t="s">
        <v>41</v>
      </c>
      <c r="D67" s="50">
        <v>78766.0</v>
      </c>
      <c r="E67" s="50">
        <v>60500.0</v>
      </c>
      <c r="F67" s="50">
        <v>825389.0</v>
      </c>
      <c r="G67" s="50">
        <v>164698.0</v>
      </c>
      <c r="H67" s="50">
        <v>148247.0</v>
      </c>
      <c r="I67" s="50">
        <v>267349.0</v>
      </c>
      <c r="J67" s="50">
        <v>0.0</v>
      </c>
      <c r="K67" s="50">
        <v>64840.0</v>
      </c>
      <c r="L67" s="50">
        <v>1609789.0</v>
      </c>
      <c r="M67" s="50">
        <v>0.0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8.0" hidden="1" customHeight="1" outlineLevel="1">
      <c r="A68" s="21"/>
      <c r="B68" s="46" t="s">
        <v>66</v>
      </c>
      <c r="C68" s="47" t="s">
        <v>40</v>
      </c>
      <c r="D68" s="48">
        <v>492369.0</v>
      </c>
      <c r="E68" s="48">
        <v>600000.0</v>
      </c>
      <c r="F68" s="48">
        <v>2273243.0</v>
      </c>
      <c r="G68" s="48">
        <v>198345.0</v>
      </c>
      <c r="H68" s="48">
        <v>277858.0</v>
      </c>
      <c r="I68" s="48">
        <v>200000.0</v>
      </c>
      <c r="J68" s="48"/>
      <c r="K68" s="48">
        <v>745550.0</v>
      </c>
      <c r="L68" s="48">
        <v>4787365.0</v>
      </c>
      <c r="M68" s="48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8.0" hidden="1" customHeight="1" outlineLevel="1">
      <c r="A69" s="21"/>
      <c r="B69" s="46"/>
      <c r="C69" s="49" t="s">
        <v>41</v>
      </c>
      <c r="D69" s="50">
        <v>491996.0</v>
      </c>
      <c r="E69" s="50">
        <v>491996.0</v>
      </c>
      <c r="F69" s="50">
        <v>2025715.0</v>
      </c>
      <c r="G69" s="50">
        <v>153450.0</v>
      </c>
      <c r="H69" s="50">
        <v>265460.0</v>
      </c>
      <c r="I69" s="50">
        <v>290647.0</v>
      </c>
      <c r="J69" s="50">
        <v>0.0</v>
      </c>
      <c r="K69" s="50">
        <v>554089.0</v>
      </c>
      <c r="L69" s="50">
        <v>4273353.0</v>
      </c>
      <c r="M69" s="50">
        <v>0.0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8.0" hidden="1" customHeight="1" outlineLevel="1">
      <c r="A70" s="21"/>
      <c r="B70" s="46" t="s">
        <v>67</v>
      </c>
      <c r="C70" s="47" t="s">
        <v>40</v>
      </c>
      <c r="D70" s="48">
        <v>4278.0</v>
      </c>
      <c r="E70" s="48">
        <v>0.0</v>
      </c>
      <c r="F70" s="48">
        <v>177842.0</v>
      </c>
      <c r="G70" s="48">
        <v>2367.0</v>
      </c>
      <c r="H70" s="48">
        <v>730.0</v>
      </c>
      <c r="I70" s="48">
        <v>0.0</v>
      </c>
      <c r="J70" s="48"/>
      <c r="K70" s="48">
        <v>0.0</v>
      </c>
      <c r="L70" s="48">
        <v>185217.0</v>
      </c>
      <c r="M70" s="48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8.0" hidden="1" customHeight="1" outlineLevel="1">
      <c r="A71" s="21"/>
      <c r="B71" s="46"/>
      <c r="C71" s="49" t="s">
        <v>41</v>
      </c>
      <c r="D71" s="50">
        <v>72961.0</v>
      </c>
      <c r="E71" s="50">
        <v>0.0</v>
      </c>
      <c r="F71" s="50">
        <v>155000.0</v>
      </c>
      <c r="G71" s="50">
        <v>0.0</v>
      </c>
      <c r="H71" s="50">
        <v>0.0</v>
      </c>
      <c r="I71" s="50">
        <v>0.0</v>
      </c>
      <c r="J71" s="50">
        <v>0.0</v>
      </c>
      <c r="K71" s="50">
        <v>0.0</v>
      </c>
      <c r="L71" s="50">
        <v>227961.0</v>
      </c>
      <c r="M71" s="50">
        <v>0.0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8.0" hidden="1" customHeight="1" outlineLevel="1">
      <c r="A72" s="21"/>
      <c r="B72" s="46" t="s">
        <v>68</v>
      </c>
      <c r="C72" s="47" t="s">
        <v>40</v>
      </c>
      <c r="D72" s="48">
        <v>0.0</v>
      </c>
      <c r="E72" s="48">
        <v>0.0</v>
      </c>
      <c r="F72" s="48">
        <v>0.0</v>
      </c>
      <c r="G72" s="48">
        <v>0.0</v>
      </c>
      <c r="H72" s="48">
        <v>0.0</v>
      </c>
      <c r="I72" s="48">
        <v>0.0</v>
      </c>
      <c r="J72" s="48"/>
      <c r="K72" s="48">
        <v>0.0</v>
      </c>
      <c r="L72" s="48">
        <v>0.0</v>
      </c>
      <c r="M72" s="48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8.0" hidden="1" customHeight="1" outlineLevel="1">
      <c r="A73" s="21"/>
      <c r="B73" s="46"/>
      <c r="C73" s="49" t="s">
        <v>41</v>
      </c>
      <c r="D73" s="50">
        <v>0.0</v>
      </c>
      <c r="E73" s="50">
        <v>0.0</v>
      </c>
      <c r="F73" s="50">
        <v>0.0</v>
      </c>
      <c r="G73" s="50">
        <v>0.0</v>
      </c>
      <c r="H73" s="50">
        <v>0.0</v>
      </c>
      <c r="I73" s="50">
        <v>0.0</v>
      </c>
      <c r="J73" s="50">
        <v>0.0</v>
      </c>
      <c r="K73" s="50">
        <v>0.0</v>
      </c>
      <c r="L73" s="50">
        <v>0.0</v>
      </c>
      <c r="M73" s="50">
        <v>0.0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8.0" hidden="1" customHeight="1" outlineLevel="1">
      <c r="A74" s="21"/>
      <c r="B74" s="46" t="s">
        <v>69</v>
      </c>
      <c r="C74" s="47" t="s">
        <v>40</v>
      </c>
      <c r="D74" s="48">
        <v>20000.0</v>
      </c>
      <c r="E74" s="48">
        <v>29000.0</v>
      </c>
      <c r="F74" s="48">
        <v>91062.0</v>
      </c>
      <c r="G74" s="48">
        <v>50000.0</v>
      </c>
      <c r="H74" s="48">
        <v>20000.0</v>
      </c>
      <c r="I74" s="48">
        <v>9443.0</v>
      </c>
      <c r="J74" s="48"/>
      <c r="K74" s="48">
        <v>90000.0</v>
      </c>
      <c r="L74" s="48">
        <v>309505.0</v>
      </c>
      <c r="M74" s="48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8.0" hidden="1" customHeight="1" outlineLevel="1">
      <c r="A75" s="21"/>
      <c r="B75" s="46"/>
      <c r="C75" s="49" t="s">
        <v>41</v>
      </c>
      <c r="D75" s="50">
        <v>25053.0</v>
      </c>
      <c r="E75" s="50">
        <v>38851.0</v>
      </c>
      <c r="F75" s="50">
        <v>46338.0</v>
      </c>
      <c r="G75" s="50">
        <v>49420.0</v>
      </c>
      <c r="H75" s="50">
        <v>10960.0</v>
      </c>
      <c r="I75" s="50">
        <v>12126.0</v>
      </c>
      <c r="J75" s="50">
        <v>0.0</v>
      </c>
      <c r="K75" s="50">
        <v>87286.0</v>
      </c>
      <c r="L75" s="50">
        <v>270034.0</v>
      </c>
      <c r="M75" s="50">
        <v>51440.0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8.0" hidden="1" customHeight="1" outlineLevel="1">
      <c r="A76" s="21"/>
      <c r="B76" s="46" t="s">
        <v>70</v>
      </c>
      <c r="C76" s="47" t="s">
        <v>40</v>
      </c>
      <c r="D76" s="48">
        <v>295750.0</v>
      </c>
      <c r="E76" s="48">
        <v>286000.0</v>
      </c>
      <c r="F76" s="48">
        <v>448674.0</v>
      </c>
      <c r="G76" s="48">
        <v>91082.0</v>
      </c>
      <c r="H76" s="48">
        <v>85252.0</v>
      </c>
      <c r="I76" s="48">
        <v>43368.0</v>
      </c>
      <c r="J76" s="48"/>
      <c r="K76" s="48">
        <v>0.0</v>
      </c>
      <c r="L76" s="48">
        <v>1250126.0</v>
      </c>
      <c r="M76" s="4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8.0" hidden="1" customHeight="1" outlineLevel="1">
      <c r="A77" s="21"/>
      <c r="B77" s="46"/>
      <c r="C77" s="49" t="s">
        <v>41</v>
      </c>
      <c r="D77" s="50">
        <v>419988.0</v>
      </c>
      <c r="E77" s="50">
        <v>419987.0</v>
      </c>
      <c r="F77" s="50">
        <v>418668.0</v>
      </c>
      <c r="G77" s="50">
        <v>79241.0</v>
      </c>
      <c r="H77" s="50">
        <v>79242.0</v>
      </c>
      <c r="I77" s="50">
        <v>118876.0</v>
      </c>
      <c r="J77" s="50">
        <v>0.0</v>
      </c>
      <c r="K77" s="50">
        <v>0.0</v>
      </c>
      <c r="L77" s="50">
        <v>1536002.0</v>
      </c>
      <c r="M77" s="50">
        <v>4174.0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8.0" hidden="1" customHeight="1" outlineLevel="1">
      <c r="A78" s="21"/>
      <c r="B78" s="46" t="s">
        <v>71</v>
      </c>
      <c r="C78" s="47" t="s">
        <v>40</v>
      </c>
      <c r="D78" s="48">
        <v>191768.0</v>
      </c>
      <c r="E78" s="48">
        <v>0.0</v>
      </c>
      <c r="F78" s="48">
        <v>37191.0</v>
      </c>
      <c r="G78" s="48">
        <v>0.0</v>
      </c>
      <c r="H78" s="48">
        <v>0.0</v>
      </c>
      <c r="I78" s="48">
        <v>0.0</v>
      </c>
      <c r="J78" s="48"/>
      <c r="K78" s="48">
        <v>0.0</v>
      </c>
      <c r="L78" s="48">
        <v>228959.0</v>
      </c>
      <c r="M78" s="48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8.0" hidden="1" customHeight="1" outlineLevel="1">
      <c r="A79" s="21"/>
      <c r="B79" s="46"/>
      <c r="C79" s="49" t="s">
        <v>41</v>
      </c>
      <c r="D79" s="50">
        <v>6637.0</v>
      </c>
      <c r="E79" s="50">
        <v>0.0</v>
      </c>
      <c r="F79" s="50">
        <v>46790.0</v>
      </c>
      <c r="G79" s="50">
        <v>0.0</v>
      </c>
      <c r="H79" s="50">
        <v>0.0</v>
      </c>
      <c r="I79" s="50">
        <v>0.0</v>
      </c>
      <c r="J79" s="50">
        <v>0.0</v>
      </c>
      <c r="K79" s="50">
        <v>0.0</v>
      </c>
      <c r="L79" s="50">
        <v>53427.0</v>
      </c>
      <c r="M79" s="50">
        <v>27067.0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8.0" hidden="1" customHeight="1" outlineLevel="1">
      <c r="A80" s="21"/>
      <c r="B80" s="46" t="s">
        <v>72</v>
      </c>
      <c r="C80" s="47" t="s">
        <v>40</v>
      </c>
      <c r="D80" s="48">
        <v>76739.0</v>
      </c>
      <c r="E80" s="48">
        <v>120000.0</v>
      </c>
      <c r="F80" s="48">
        <v>271233.0</v>
      </c>
      <c r="G80" s="48">
        <v>32019.0</v>
      </c>
      <c r="H80" s="48">
        <v>50000.0</v>
      </c>
      <c r="I80" s="48">
        <v>11000.0</v>
      </c>
      <c r="J80" s="48"/>
      <c r="K80" s="48">
        <v>60000.0</v>
      </c>
      <c r="L80" s="48">
        <v>620991.0</v>
      </c>
      <c r="M80" s="48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8.0" hidden="1" customHeight="1" outlineLevel="1">
      <c r="A81" s="21"/>
      <c r="B81" s="46"/>
      <c r="C81" s="49" t="s">
        <v>41</v>
      </c>
      <c r="D81" s="50">
        <v>76739.0</v>
      </c>
      <c r="E81" s="50">
        <v>120000.0</v>
      </c>
      <c r="F81" s="50">
        <v>271233.0</v>
      </c>
      <c r="G81" s="50">
        <v>32019.0</v>
      </c>
      <c r="H81" s="50">
        <v>50000.0</v>
      </c>
      <c r="I81" s="50">
        <v>11000.0</v>
      </c>
      <c r="J81" s="50">
        <v>0.0</v>
      </c>
      <c r="K81" s="50">
        <v>60000.0</v>
      </c>
      <c r="L81" s="50">
        <v>620991.0</v>
      </c>
      <c r="M81" s="50">
        <v>123726.0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8.0" hidden="1" customHeight="1" outlineLevel="1">
      <c r="A82" s="21"/>
      <c r="B82" s="46" t="s">
        <v>73</v>
      </c>
      <c r="C82" s="47" t="s">
        <v>40</v>
      </c>
      <c r="D82" s="48">
        <v>22564.0</v>
      </c>
      <c r="E82" s="48">
        <v>10000.0</v>
      </c>
      <c r="F82" s="48">
        <v>9099.0</v>
      </c>
      <c r="G82" s="48">
        <v>1856.0</v>
      </c>
      <c r="H82" s="48">
        <v>5155.0</v>
      </c>
      <c r="I82" s="48">
        <v>11347.0</v>
      </c>
      <c r="J82" s="48"/>
      <c r="K82" s="48">
        <v>0.0</v>
      </c>
      <c r="L82" s="48">
        <v>60021.0</v>
      </c>
      <c r="M82" s="48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8.0" hidden="1" customHeight="1" outlineLevel="1">
      <c r="A83" s="21"/>
      <c r="B83" s="46"/>
      <c r="C83" s="49" t="s">
        <v>41</v>
      </c>
      <c r="D83" s="50">
        <v>8053.0</v>
      </c>
      <c r="E83" s="50">
        <v>8289.0</v>
      </c>
      <c r="F83" s="50">
        <v>2124.0</v>
      </c>
      <c r="G83" s="50">
        <v>0.0</v>
      </c>
      <c r="H83" s="50">
        <v>3118.0</v>
      </c>
      <c r="I83" s="50">
        <v>12544.0</v>
      </c>
      <c r="J83" s="50">
        <v>0.0</v>
      </c>
      <c r="K83" s="50">
        <v>0.0</v>
      </c>
      <c r="L83" s="50">
        <v>34128.0</v>
      </c>
      <c r="M83" s="50">
        <v>30081.0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8.0" hidden="1" customHeight="1" outlineLevel="1">
      <c r="A84" s="21"/>
      <c r="B84" s="46" t="s">
        <v>74</v>
      </c>
      <c r="C84" s="47" t="s">
        <v>40</v>
      </c>
      <c r="D84" s="48">
        <v>316700.0</v>
      </c>
      <c r="E84" s="48">
        <v>3000.0</v>
      </c>
      <c r="F84" s="48">
        <v>0.0</v>
      </c>
      <c r="G84" s="48">
        <v>0.0</v>
      </c>
      <c r="H84" s="48">
        <v>35000.0</v>
      </c>
      <c r="I84" s="48">
        <v>0.0</v>
      </c>
      <c r="J84" s="48"/>
      <c r="K84" s="48">
        <v>0.0</v>
      </c>
      <c r="L84" s="48">
        <v>354700.0</v>
      </c>
      <c r="M84" s="48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8.0" hidden="1" customHeight="1" outlineLevel="1">
      <c r="A85" s="21"/>
      <c r="B85" s="46"/>
      <c r="C85" s="49" t="s">
        <v>41</v>
      </c>
      <c r="D85" s="50">
        <v>212000.0</v>
      </c>
      <c r="E85" s="50">
        <v>0.0</v>
      </c>
      <c r="F85" s="50">
        <v>0.0</v>
      </c>
      <c r="G85" s="50">
        <v>0.0</v>
      </c>
      <c r="H85" s="50">
        <v>17222.0</v>
      </c>
      <c r="I85" s="50">
        <v>0.0</v>
      </c>
      <c r="J85" s="50">
        <v>0.0</v>
      </c>
      <c r="K85" s="50">
        <v>0.0</v>
      </c>
      <c r="L85" s="50">
        <v>229222.0</v>
      </c>
      <c r="M85" s="50">
        <v>0.0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8.0" hidden="1" customHeight="1" outlineLevel="1">
      <c r="A86" s="21"/>
      <c r="B86" s="46" t="s">
        <v>75</v>
      </c>
      <c r="C86" s="47" t="s">
        <v>40</v>
      </c>
      <c r="D86" s="48">
        <v>0.0</v>
      </c>
      <c r="E86" s="48">
        <v>0.0</v>
      </c>
      <c r="F86" s="48">
        <v>0.0</v>
      </c>
      <c r="G86" s="48">
        <v>0.0</v>
      </c>
      <c r="H86" s="48">
        <v>0.0</v>
      </c>
      <c r="I86" s="48">
        <v>0.0</v>
      </c>
      <c r="J86" s="48"/>
      <c r="K86" s="48">
        <v>0.0</v>
      </c>
      <c r="L86" s="48">
        <v>0.0</v>
      </c>
      <c r="M86" s="48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8.0" hidden="1" customHeight="1" outlineLevel="1">
      <c r="A87" s="21"/>
      <c r="B87" s="46"/>
      <c r="C87" s="49" t="s">
        <v>41</v>
      </c>
      <c r="D87" s="50">
        <v>0.0</v>
      </c>
      <c r="E87" s="50">
        <v>0.0</v>
      </c>
      <c r="F87" s="50">
        <v>0.0</v>
      </c>
      <c r="G87" s="50">
        <v>0.0</v>
      </c>
      <c r="H87" s="50">
        <v>0.0</v>
      </c>
      <c r="I87" s="50">
        <v>0.0</v>
      </c>
      <c r="J87" s="50">
        <v>0.0</v>
      </c>
      <c r="K87" s="50">
        <v>0.0</v>
      </c>
      <c r="L87" s="50">
        <v>0.0</v>
      </c>
      <c r="M87" s="50">
        <v>0.0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8.0" hidden="1" customHeight="1" outlineLevel="1">
      <c r="A88" s="21"/>
      <c r="B88" s="46" t="s">
        <v>76</v>
      </c>
      <c r="C88" s="47" t="s">
        <v>40</v>
      </c>
      <c r="D88" s="48">
        <v>0.0</v>
      </c>
      <c r="E88" s="48">
        <v>0.0</v>
      </c>
      <c r="F88" s="48">
        <v>0.0</v>
      </c>
      <c r="G88" s="48">
        <v>100800.0</v>
      </c>
      <c r="H88" s="48">
        <v>52080.0</v>
      </c>
      <c r="I88" s="48">
        <v>0.0</v>
      </c>
      <c r="J88" s="48"/>
      <c r="K88" s="48">
        <v>90000.0</v>
      </c>
      <c r="L88" s="48">
        <v>242880.0</v>
      </c>
      <c r="M88" s="48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8.0" hidden="1" customHeight="1" outlineLevel="1">
      <c r="A89" s="21"/>
      <c r="B89" s="46"/>
      <c r="C89" s="49" t="s">
        <v>41</v>
      </c>
      <c r="D89" s="50">
        <v>2841.0</v>
      </c>
      <c r="E89" s="50">
        <v>2841.0</v>
      </c>
      <c r="F89" s="50">
        <v>0.0</v>
      </c>
      <c r="G89" s="50">
        <v>0.0</v>
      </c>
      <c r="H89" s="50">
        <v>0.0</v>
      </c>
      <c r="I89" s="50">
        <v>0.0</v>
      </c>
      <c r="J89" s="50">
        <v>0.0</v>
      </c>
      <c r="K89" s="50">
        <v>0.0</v>
      </c>
      <c r="L89" s="50">
        <v>5682.0</v>
      </c>
      <c r="M89" s="50">
        <v>0.0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8.0" hidden="1" customHeight="1" outlineLevel="1">
      <c r="A90" s="21"/>
      <c r="B90" s="46" t="s">
        <v>77</v>
      </c>
      <c r="C90" s="47" t="s">
        <v>40</v>
      </c>
      <c r="D90" s="48">
        <v>0.0</v>
      </c>
      <c r="E90" s="48">
        <v>0.0</v>
      </c>
      <c r="F90" s="48">
        <v>0.0</v>
      </c>
      <c r="G90" s="48">
        <v>0.0</v>
      </c>
      <c r="H90" s="48">
        <v>0.0</v>
      </c>
      <c r="I90" s="48">
        <v>0.0</v>
      </c>
      <c r="J90" s="48"/>
      <c r="K90" s="48">
        <v>0.0</v>
      </c>
      <c r="L90" s="48">
        <v>0.0</v>
      </c>
      <c r="M90" s="48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8.0" hidden="1" customHeight="1" outlineLevel="1">
      <c r="A91" s="21"/>
      <c r="B91" s="46"/>
      <c r="C91" s="49" t="s">
        <v>41</v>
      </c>
      <c r="D91" s="50">
        <v>0.0</v>
      </c>
      <c r="E91" s="50">
        <v>0.0</v>
      </c>
      <c r="F91" s="50">
        <v>0.0</v>
      </c>
      <c r="G91" s="50">
        <v>0.0</v>
      </c>
      <c r="H91" s="50">
        <v>0.0</v>
      </c>
      <c r="I91" s="50">
        <v>0.0</v>
      </c>
      <c r="J91" s="50">
        <v>0.0</v>
      </c>
      <c r="K91" s="50">
        <v>0.0</v>
      </c>
      <c r="L91" s="50">
        <v>0.0</v>
      </c>
      <c r="M91" s="50">
        <v>82422.0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8.0" hidden="1" customHeight="1" outlineLevel="1">
      <c r="A92" s="21"/>
      <c r="B92" s="46" t="s">
        <v>78</v>
      </c>
      <c r="C92" s="47" t="s">
        <v>40</v>
      </c>
      <c r="D92" s="48">
        <v>0.0</v>
      </c>
      <c r="E92" s="48">
        <v>0.0</v>
      </c>
      <c r="F92" s="48">
        <v>0.0</v>
      </c>
      <c r="G92" s="48">
        <v>0.0</v>
      </c>
      <c r="H92" s="48">
        <v>0.0</v>
      </c>
      <c r="I92" s="48">
        <v>0.0</v>
      </c>
      <c r="J92" s="48"/>
      <c r="K92" s="48">
        <v>0.0</v>
      </c>
      <c r="L92" s="48">
        <v>0.0</v>
      </c>
      <c r="M92" s="48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8.0" hidden="1" customHeight="1" outlineLevel="1">
      <c r="A93" s="21"/>
      <c r="B93" s="46"/>
      <c r="C93" s="49" t="s">
        <v>41</v>
      </c>
      <c r="D93" s="50">
        <v>0.0</v>
      </c>
      <c r="E93" s="50">
        <v>0.0</v>
      </c>
      <c r="F93" s="50">
        <v>0.0</v>
      </c>
      <c r="G93" s="50">
        <v>0.0</v>
      </c>
      <c r="H93" s="50">
        <v>0.0</v>
      </c>
      <c r="I93" s="50">
        <v>0.0</v>
      </c>
      <c r="J93" s="50">
        <v>0.0</v>
      </c>
      <c r="K93" s="50">
        <v>0.0</v>
      </c>
      <c r="L93" s="50">
        <v>0.0</v>
      </c>
      <c r="M93" s="50">
        <v>0.0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8.0" hidden="1" customHeight="1" outlineLevel="1">
      <c r="A94" s="21"/>
      <c r="B94" s="46" t="s">
        <v>79</v>
      </c>
      <c r="C94" s="47" t="s">
        <v>40</v>
      </c>
      <c r="D94" s="48">
        <v>0.0</v>
      </c>
      <c r="E94" s="48">
        <v>0.0</v>
      </c>
      <c r="F94" s="48">
        <v>0.0</v>
      </c>
      <c r="G94" s="48">
        <v>0.0</v>
      </c>
      <c r="H94" s="48">
        <v>0.0</v>
      </c>
      <c r="I94" s="48">
        <v>0.0</v>
      </c>
      <c r="J94" s="48"/>
      <c r="K94" s="48">
        <v>0.0</v>
      </c>
      <c r="L94" s="48">
        <v>0.0</v>
      </c>
      <c r="M94" s="48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8.0" hidden="1" customHeight="1" outlineLevel="1">
      <c r="A95" s="21"/>
      <c r="B95" s="46"/>
      <c r="C95" s="49" t="s">
        <v>41</v>
      </c>
      <c r="D95" s="50">
        <v>87820.0</v>
      </c>
      <c r="E95" s="50">
        <v>0.0</v>
      </c>
      <c r="F95" s="50">
        <v>0.0</v>
      </c>
      <c r="G95" s="50">
        <v>0.0</v>
      </c>
      <c r="H95" s="50">
        <v>0.0</v>
      </c>
      <c r="I95" s="50">
        <v>0.0</v>
      </c>
      <c r="J95" s="50">
        <v>0.0</v>
      </c>
      <c r="K95" s="50">
        <v>0.0</v>
      </c>
      <c r="L95" s="50">
        <v>87820.0</v>
      </c>
      <c r="M95" s="50">
        <v>1725.0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8.0" hidden="1" customHeight="1" outlineLevel="1">
      <c r="A96" s="21"/>
      <c r="B96" s="46" t="s">
        <v>80</v>
      </c>
      <c r="C96" s="47" t="s">
        <v>40</v>
      </c>
      <c r="D96" s="48">
        <v>0.0</v>
      </c>
      <c r="E96" s="48">
        <v>0.0</v>
      </c>
      <c r="F96" s="48">
        <v>150000.0</v>
      </c>
      <c r="G96" s="48">
        <v>0.0</v>
      </c>
      <c r="H96" s="48">
        <v>0.0</v>
      </c>
      <c r="I96" s="48">
        <v>0.0</v>
      </c>
      <c r="J96" s="48"/>
      <c r="K96" s="48">
        <v>10000.0</v>
      </c>
      <c r="L96" s="48">
        <v>160000.0</v>
      </c>
      <c r="M96" s="48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8.0" hidden="1" customHeight="1" outlineLevel="1">
      <c r="A97" s="21"/>
      <c r="B97" s="46"/>
      <c r="C97" s="49" t="s">
        <v>41</v>
      </c>
      <c r="D97" s="50">
        <v>0.0</v>
      </c>
      <c r="E97" s="50">
        <v>5180.0</v>
      </c>
      <c r="F97" s="50">
        <v>0.0</v>
      </c>
      <c r="G97" s="50">
        <v>0.0</v>
      </c>
      <c r="H97" s="50">
        <v>0.0</v>
      </c>
      <c r="I97" s="50">
        <v>0.0</v>
      </c>
      <c r="J97" s="50">
        <v>0.0</v>
      </c>
      <c r="K97" s="50">
        <v>0.0</v>
      </c>
      <c r="L97" s="50">
        <v>5180.0</v>
      </c>
      <c r="M97" s="50">
        <v>48120.0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8.0" hidden="1" customHeight="1" outlineLevel="1">
      <c r="A98" s="21"/>
      <c r="B98" s="46" t="s">
        <v>81</v>
      </c>
      <c r="C98" s="47" t="s">
        <v>40</v>
      </c>
      <c r="D98" s="48">
        <v>0.0</v>
      </c>
      <c r="E98" s="48">
        <v>0.0</v>
      </c>
      <c r="F98" s="48">
        <v>0.0</v>
      </c>
      <c r="G98" s="48">
        <v>0.0</v>
      </c>
      <c r="H98" s="48">
        <v>0.0</v>
      </c>
      <c r="I98" s="48">
        <v>0.0</v>
      </c>
      <c r="J98" s="48"/>
      <c r="K98" s="48">
        <v>0.0</v>
      </c>
      <c r="L98" s="48">
        <v>0.0</v>
      </c>
      <c r="M98" s="48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8.0" hidden="1" customHeight="1" outlineLevel="1">
      <c r="A99" s="21"/>
      <c r="B99" s="46"/>
      <c r="C99" s="49" t="s">
        <v>41</v>
      </c>
      <c r="D99" s="50">
        <v>0.0</v>
      </c>
      <c r="E99" s="50">
        <v>0.0</v>
      </c>
      <c r="F99" s="50">
        <v>0.0</v>
      </c>
      <c r="G99" s="50">
        <v>0.0</v>
      </c>
      <c r="H99" s="50">
        <v>0.0</v>
      </c>
      <c r="I99" s="50">
        <v>0.0</v>
      </c>
      <c r="J99" s="50">
        <v>0.0</v>
      </c>
      <c r="K99" s="50">
        <v>0.0</v>
      </c>
      <c r="L99" s="50">
        <v>0.0</v>
      </c>
      <c r="M99" s="50">
        <v>0.0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8.0" customHeight="1" collapsed="1">
      <c r="A100" s="21"/>
      <c r="B100" s="21" t="s">
        <v>30</v>
      </c>
      <c r="C100" s="4" t="s">
        <v>40</v>
      </c>
      <c r="D100" s="24">
        <v>750844.0</v>
      </c>
      <c r="E100" s="24">
        <v>1285314.0</v>
      </c>
      <c r="F100" s="24">
        <v>7043648.0</v>
      </c>
      <c r="G100" s="24">
        <v>448755.0</v>
      </c>
      <c r="H100" s="24">
        <v>1099678.0</v>
      </c>
      <c r="I100" s="24">
        <v>763139.0</v>
      </c>
      <c r="J100" s="24">
        <v>0.0</v>
      </c>
      <c r="K100" s="24">
        <v>3324417.0</v>
      </c>
      <c r="L100" s="24">
        <v>1.4715795E7</v>
      </c>
      <c r="M100" s="24">
        <v>0.0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8.0" customHeight="1">
      <c r="A101" s="21"/>
      <c r="B101" s="21"/>
      <c r="C101" s="38" t="s">
        <v>41</v>
      </c>
      <c r="D101" s="39">
        <v>804269.0</v>
      </c>
      <c r="E101" s="39">
        <v>1422164.0</v>
      </c>
      <c r="F101" s="39">
        <v>7436578.0</v>
      </c>
      <c r="G101" s="39">
        <v>450706.0</v>
      </c>
      <c r="H101" s="39">
        <v>917941.0</v>
      </c>
      <c r="I101" s="39">
        <v>838074.0</v>
      </c>
      <c r="J101" s="39">
        <v>0.0</v>
      </c>
      <c r="K101" s="39">
        <v>549135.0</v>
      </c>
      <c r="L101" s="39">
        <v>1.2418867E7</v>
      </c>
      <c r="M101" s="39">
        <v>1148845.0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8.0" hidden="1" customHeight="1" outlineLevel="1">
      <c r="A102" s="21"/>
      <c r="B102" s="51" t="s">
        <v>35</v>
      </c>
      <c r="C102" s="52" t="s">
        <v>40</v>
      </c>
      <c r="D102" s="53">
        <v>489173.0</v>
      </c>
      <c r="E102" s="53">
        <v>1049026.0</v>
      </c>
      <c r="F102" s="53">
        <v>5583157.0</v>
      </c>
      <c r="G102" s="53">
        <v>274551.0</v>
      </c>
      <c r="H102" s="53">
        <v>804606.0</v>
      </c>
      <c r="I102" s="53">
        <v>679275.0</v>
      </c>
      <c r="J102" s="53"/>
      <c r="K102" s="53">
        <v>35417.0</v>
      </c>
      <c r="L102" s="53">
        <v>8915205.0</v>
      </c>
      <c r="M102" s="53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8.0" hidden="1" customHeight="1" outlineLevel="1">
      <c r="A103" s="21"/>
      <c r="B103" s="51"/>
      <c r="C103" s="54" t="s">
        <v>41</v>
      </c>
      <c r="D103" s="55">
        <v>466131.0</v>
      </c>
      <c r="E103" s="55">
        <v>1087640.0</v>
      </c>
      <c r="F103" s="55">
        <v>5540309.0</v>
      </c>
      <c r="G103" s="55">
        <v>267606.0</v>
      </c>
      <c r="H103" s="55">
        <v>790978.0</v>
      </c>
      <c r="I103" s="55">
        <v>679266.0</v>
      </c>
      <c r="J103" s="55">
        <v>0.0</v>
      </c>
      <c r="K103" s="55">
        <v>0.0</v>
      </c>
      <c r="L103" s="55">
        <v>8831930.0</v>
      </c>
      <c r="M103" s="55">
        <v>1597391.0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8.0" hidden="1" customHeight="1" outlineLevel="1">
      <c r="A104" s="21"/>
      <c r="B104" s="51" t="s">
        <v>82</v>
      </c>
      <c r="C104" s="52" t="s">
        <v>40</v>
      </c>
      <c r="D104" s="53">
        <v>0.0</v>
      </c>
      <c r="E104" s="53">
        <v>0.0</v>
      </c>
      <c r="F104" s="53">
        <v>0.0</v>
      </c>
      <c r="G104" s="53">
        <v>0.0</v>
      </c>
      <c r="H104" s="53">
        <v>0.0</v>
      </c>
      <c r="I104" s="53">
        <v>0.0</v>
      </c>
      <c r="J104" s="53"/>
      <c r="K104" s="53">
        <v>3000000.0</v>
      </c>
      <c r="L104" s="53">
        <v>3000000.0</v>
      </c>
      <c r="M104" s="53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8.0" hidden="1" customHeight="1" outlineLevel="1">
      <c r="A105" s="21"/>
      <c r="B105" s="51"/>
      <c r="C105" s="54" t="s">
        <v>41</v>
      </c>
      <c r="D105" s="55">
        <v>833.0</v>
      </c>
      <c r="E105" s="55">
        <v>833.0</v>
      </c>
      <c r="F105" s="55">
        <v>0.0</v>
      </c>
      <c r="G105" s="55">
        <v>0.0</v>
      </c>
      <c r="H105" s="55">
        <v>0.0</v>
      </c>
      <c r="I105" s="55">
        <v>0.0</v>
      </c>
      <c r="J105" s="55">
        <v>0.0</v>
      </c>
      <c r="K105" s="55">
        <v>300000.0</v>
      </c>
      <c r="L105" s="55">
        <v>301666.0</v>
      </c>
      <c r="M105" s="55">
        <v>30000.0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8.0" hidden="1" customHeight="1" outlineLevel="1">
      <c r="A106" s="21"/>
      <c r="B106" s="51" t="s">
        <v>83</v>
      </c>
      <c r="C106" s="52" t="s">
        <v>40</v>
      </c>
      <c r="D106" s="53">
        <v>132309.0</v>
      </c>
      <c r="E106" s="53">
        <v>78978.0</v>
      </c>
      <c r="F106" s="53">
        <v>650000.0</v>
      </c>
      <c r="G106" s="53">
        <v>55504.0</v>
      </c>
      <c r="H106" s="53">
        <v>203372.0</v>
      </c>
      <c r="I106" s="53">
        <v>1064.0</v>
      </c>
      <c r="J106" s="53"/>
      <c r="K106" s="53">
        <v>100000.0</v>
      </c>
      <c r="L106" s="53">
        <v>1221227.0</v>
      </c>
      <c r="M106" s="53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8.0" hidden="1" customHeight="1" outlineLevel="1">
      <c r="A107" s="21"/>
      <c r="B107" s="51"/>
      <c r="C107" s="54" t="s">
        <v>41</v>
      </c>
      <c r="D107" s="55">
        <v>131523.0</v>
      </c>
      <c r="E107" s="55">
        <v>22850.0</v>
      </c>
      <c r="F107" s="55">
        <v>699959.0</v>
      </c>
      <c r="G107" s="55">
        <v>0.0</v>
      </c>
      <c r="H107" s="55">
        <v>19303.0</v>
      </c>
      <c r="I107" s="55">
        <v>1063.0</v>
      </c>
      <c r="J107" s="55">
        <v>0.0</v>
      </c>
      <c r="K107" s="55">
        <v>46068.0</v>
      </c>
      <c r="L107" s="55">
        <v>920766.0</v>
      </c>
      <c r="M107" s="55">
        <v>124200.0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8.0" hidden="1" customHeight="1" outlineLevel="1">
      <c r="A108" s="21"/>
      <c r="B108" s="51" t="s">
        <v>84</v>
      </c>
      <c r="C108" s="52" t="s">
        <v>40</v>
      </c>
      <c r="D108" s="53">
        <v>121352.0</v>
      </c>
      <c r="E108" s="53">
        <v>149300.0</v>
      </c>
      <c r="F108" s="53">
        <v>338800.0</v>
      </c>
      <c r="G108" s="53">
        <v>78800.0</v>
      </c>
      <c r="H108" s="53">
        <v>78800.0</v>
      </c>
      <c r="I108" s="53">
        <v>82800.0</v>
      </c>
      <c r="J108" s="53"/>
      <c r="K108" s="53">
        <v>139000.0</v>
      </c>
      <c r="L108" s="53">
        <v>988852.0</v>
      </c>
      <c r="M108" s="53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8.0" hidden="1" customHeight="1" outlineLevel="1">
      <c r="A109" s="21"/>
      <c r="B109" s="51"/>
      <c r="C109" s="54" t="s">
        <v>41</v>
      </c>
      <c r="D109" s="55">
        <v>128620.0</v>
      </c>
      <c r="E109" s="55">
        <v>128601.0</v>
      </c>
      <c r="F109" s="55">
        <v>379413.0</v>
      </c>
      <c r="G109" s="55">
        <v>14040.0</v>
      </c>
      <c r="H109" s="55">
        <v>43325.0</v>
      </c>
      <c r="I109" s="55">
        <v>42325.0</v>
      </c>
      <c r="J109" s="55">
        <v>0.0</v>
      </c>
      <c r="K109" s="55">
        <v>203067.0</v>
      </c>
      <c r="L109" s="55">
        <v>939391.0</v>
      </c>
      <c r="M109" s="55">
        <v>-603292.0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8.0" hidden="1" customHeight="1" outlineLevel="1">
      <c r="A110" s="21"/>
      <c r="B110" s="51" t="s">
        <v>85</v>
      </c>
      <c r="C110" s="52" t="s">
        <v>40</v>
      </c>
      <c r="D110" s="53">
        <v>8010.0</v>
      </c>
      <c r="E110" s="53">
        <v>8010.0</v>
      </c>
      <c r="F110" s="53">
        <v>471691.0</v>
      </c>
      <c r="G110" s="53">
        <v>39900.0</v>
      </c>
      <c r="H110" s="53">
        <v>12900.0</v>
      </c>
      <c r="I110" s="53">
        <v>0.0</v>
      </c>
      <c r="J110" s="53"/>
      <c r="K110" s="53">
        <v>50000.0</v>
      </c>
      <c r="L110" s="53">
        <v>590511.0</v>
      </c>
      <c r="M110" s="53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8.0" hidden="1" customHeight="1" outlineLevel="1">
      <c r="A111" s="21"/>
      <c r="B111" s="51"/>
      <c r="C111" s="54" t="s">
        <v>41</v>
      </c>
      <c r="D111" s="55">
        <v>69162.0</v>
      </c>
      <c r="E111" s="55">
        <v>182240.0</v>
      </c>
      <c r="F111" s="55">
        <v>816897.0</v>
      </c>
      <c r="G111" s="55">
        <v>169060.0</v>
      </c>
      <c r="H111" s="55">
        <v>64335.0</v>
      </c>
      <c r="I111" s="55">
        <v>115420.0</v>
      </c>
      <c r="J111" s="55">
        <v>0.0</v>
      </c>
      <c r="K111" s="55">
        <v>0.0</v>
      </c>
      <c r="L111" s="55">
        <v>1417114.0</v>
      </c>
      <c r="M111" s="55">
        <v>0.0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8.0" hidden="1" customHeight="1" outlineLevel="1">
      <c r="A112" s="21"/>
      <c r="B112" s="51" t="s">
        <v>86</v>
      </c>
      <c r="C112" s="52" t="s">
        <v>46</v>
      </c>
      <c r="D112" s="53">
        <v>0.0</v>
      </c>
      <c r="E112" s="53">
        <v>0.0</v>
      </c>
      <c r="F112" s="53">
        <v>0.0</v>
      </c>
      <c r="G112" s="53">
        <v>0.0</v>
      </c>
      <c r="H112" s="53">
        <v>0.0</v>
      </c>
      <c r="I112" s="53">
        <v>0.0</v>
      </c>
      <c r="J112" s="53"/>
      <c r="K112" s="53">
        <v>0.0</v>
      </c>
      <c r="L112" s="53">
        <v>0.0</v>
      </c>
      <c r="M112" s="53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8.0" hidden="1" customHeight="1" outlineLevel="1">
      <c r="A113" s="21"/>
      <c r="B113" s="51"/>
      <c r="C113" s="54" t="s">
        <v>41</v>
      </c>
      <c r="D113" s="55">
        <v>8000.0</v>
      </c>
      <c r="E113" s="55">
        <v>0.0</v>
      </c>
      <c r="F113" s="55">
        <v>0.0</v>
      </c>
      <c r="G113" s="55">
        <v>0.0</v>
      </c>
      <c r="H113" s="55">
        <v>0.0</v>
      </c>
      <c r="I113" s="55">
        <v>0.0</v>
      </c>
      <c r="J113" s="55">
        <v>0.0</v>
      </c>
      <c r="K113" s="55">
        <v>0.0</v>
      </c>
      <c r="L113" s="55">
        <v>8000.0</v>
      </c>
      <c r="M113" s="55">
        <v>546.0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8.0" customHeight="1" collapsed="1">
      <c r="A114" s="21"/>
      <c r="B114" s="21" t="s">
        <v>31</v>
      </c>
      <c r="C114" s="21" t="s">
        <v>40</v>
      </c>
      <c r="D114" s="24">
        <v>1312084.0</v>
      </c>
      <c r="E114" s="24">
        <v>1277178.0</v>
      </c>
      <c r="F114" s="24">
        <v>3599472.0</v>
      </c>
      <c r="G114" s="24">
        <v>523971.0</v>
      </c>
      <c r="H114" s="24">
        <v>716781.0</v>
      </c>
      <c r="I114" s="24">
        <v>308218.0</v>
      </c>
      <c r="J114" s="24"/>
      <c r="K114" s="24">
        <v>889517.0</v>
      </c>
      <c r="L114" s="24">
        <v>8627221.0</v>
      </c>
      <c r="M114" s="24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8.0" customHeight="1">
      <c r="A115" s="21"/>
      <c r="B115" s="56" t="s">
        <v>31</v>
      </c>
      <c r="C115" s="30" t="s">
        <v>41</v>
      </c>
      <c r="D115" s="39">
        <v>1539709.0</v>
      </c>
      <c r="E115" s="39">
        <v>1800596.0</v>
      </c>
      <c r="F115" s="39">
        <v>3910559.0</v>
      </c>
      <c r="G115" s="39">
        <v>565730.0</v>
      </c>
      <c r="H115" s="39">
        <v>699602.0</v>
      </c>
      <c r="I115" s="39">
        <v>413220.0</v>
      </c>
      <c r="J115" s="39">
        <v>0.0</v>
      </c>
      <c r="K115" s="39">
        <v>964835.0</v>
      </c>
      <c r="L115" s="39">
        <v>9894251.0</v>
      </c>
      <c r="M115" s="39">
        <v>0.0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8.0" customHeight="1">
      <c r="A116" s="21"/>
      <c r="B116" s="22" t="s">
        <v>32</v>
      </c>
      <c r="C116" s="35" t="s">
        <v>40</v>
      </c>
      <c r="D116" s="37">
        <v>1.2730146E7</v>
      </c>
      <c r="E116" s="37">
        <v>1.0531644E7</v>
      </c>
      <c r="F116" s="37">
        <v>3.430572E7</v>
      </c>
      <c r="G116" s="37">
        <v>5970862.0</v>
      </c>
      <c r="H116" s="37">
        <v>7045965.0</v>
      </c>
      <c r="I116" s="37">
        <v>4121462.0</v>
      </c>
      <c r="J116" s="37">
        <v>0.0</v>
      </c>
      <c r="K116" s="37">
        <v>1.0306091E7</v>
      </c>
      <c r="L116" s="37">
        <v>8.501189E7</v>
      </c>
      <c r="M116" s="37">
        <v>0.0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8.0" customHeight="1">
      <c r="A117" s="21"/>
      <c r="B117" s="22"/>
      <c r="C117" s="15" t="s">
        <v>41</v>
      </c>
      <c r="D117" s="23">
        <v>1.1782596E7</v>
      </c>
      <c r="E117" s="23">
        <v>1.1722114E7</v>
      </c>
      <c r="F117" s="23">
        <v>3.3642565E7</v>
      </c>
      <c r="G117" s="23">
        <v>5261751.0</v>
      </c>
      <c r="H117" s="23">
        <v>7717988.0</v>
      </c>
      <c r="I117" s="23">
        <v>4846435.0</v>
      </c>
      <c r="J117" s="23">
        <v>0.0</v>
      </c>
      <c r="K117" s="23">
        <v>7600105.0</v>
      </c>
      <c r="L117" s="23">
        <v>8.2573554E7</v>
      </c>
      <c r="M117" s="23">
        <v>9894251.0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8.0" customHeight="1">
      <c r="A118" s="21"/>
      <c r="B118" s="25" t="s">
        <v>33</v>
      </c>
      <c r="C118" s="57" t="s">
        <v>40</v>
      </c>
      <c r="D118" s="58">
        <v>1082656.0</v>
      </c>
      <c r="E118" s="58">
        <v>2674067.0</v>
      </c>
      <c r="F118" s="58">
        <v>668824.0</v>
      </c>
      <c r="G118" s="58">
        <v>-483862.0</v>
      </c>
      <c r="H118" s="58">
        <v>699727.0</v>
      </c>
      <c r="I118" s="58">
        <v>-401462.0</v>
      </c>
      <c r="J118" s="58">
        <v>0.0</v>
      </c>
      <c r="K118" s="58">
        <v>104133.0</v>
      </c>
      <c r="L118" s="58">
        <v>4344083.0</v>
      </c>
      <c r="M118" s="58">
        <v>0.0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8.0" customHeight="1">
      <c r="A119" s="21"/>
      <c r="B119" s="25"/>
      <c r="C119" s="59" t="s">
        <v>41</v>
      </c>
      <c r="D119" s="26">
        <v>-910507.0</v>
      </c>
      <c r="E119" s="26">
        <v>2364210.0</v>
      </c>
      <c r="F119" s="26">
        <v>6528875.0</v>
      </c>
      <c r="G119" s="26">
        <v>-238599.0</v>
      </c>
      <c r="H119" s="26">
        <v>-489666.0</v>
      </c>
      <c r="I119" s="26">
        <v>1000998.0</v>
      </c>
      <c r="J119" s="26">
        <v>0.0</v>
      </c>
      <c r="K119" s="26">
        <v>1918179.0</v>
      </c>
      <c r="L119" s="26">
        <v>1.017349E7</v>
      </c>
      <c r="M119" s="26">
        <v>-9894251.0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8.0" customHeight="1">
      <c r="A120" s="27"/>
      <c r="B120" s="28" t="s">
        <v>34</v>
      </c>
      <c r="C120" s="28"/>
      <c r="D120" s="29">
        <v>-0.06676850404648489</v>
      </c>
      <c r="E120" s="29">
        <v>0.14680439139616397</v>
      </c>
      <c r="F120" s="29">
        <v>0.13175719064155295</v>
      </c>
      <c r="G120" s="29">
        <v>-0.0429051473985004</v>
      </c>
      <c r="H120" s="29">
        <v>-0.05973280491889949</v>
      </c>
      <c r="I120" s="29">
        <v>0.1696034152536974</v>
      </c>
      <c r="J120" s="29" t="e">
        <v>#DIV/0!</v>
      </c>
      <c r="K120" s="29">
        <v>0.19336565672613298</v>
      </c>
      <c r="L120" s="29">
        <v>0.09344259396565165</v>
      </c>
      <c r="M120" s="29" t="e">
        <v>#DIV/0!</v>
      </c>
      <c r="N120" s="27"/>
      <c r="O120" s="27"/>
      <c r="P120" s="60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8.0" customHeight="1">
      <c r="A122" s="4"/>
      <c r="B122" s="25" t="s">
        <v>87</v>
      </c>
      <c r="C122" s="25"/>
      <c r="D122" s="26">
        <v>-1178549.7000000011</v>
      </c>
      <c r="E122" s="26">
        <v>1235810.0</v>
      </c>
      <c r="F122" s="26">
        <v>6883424.969622504</v>
      </c>
      <c r="G122" s="26">
        <v>-789765.3315000003</v>
      </c>
      <c r="H122" s="26">
        <v>140117.75425000023</v>
      </c>
      <c r="I122" s="26">
        <v>1014157.6770000001</v>
      </c>
      <c r="J122" s="26">
        <v>0.0</v>
      </c>
      <c r="K122" s="26">
        <v>1191208.0</v>
      </c>
      <c r="L122" s="26">
        <v>8496403.369372502</v>
      </c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8.0" customHeight="1">
      <c r="A123" s="4"/>
      <c r="B123" s="25" t="s">
        <v>88</v>
      </c>
      <c r="C123" s="25"/>
      <c r="D123" s="26">
        <v>-268042.7000000011</v>
      </c>
      <c r="E123" s="26">
        <v>-1128400.0</v>
      </c>
      <c r="F123" s="26">
        <v>354549.96962250397</v>
      </c>
      <c r="G123" s="26">
        <v>-551166.3315000003</v>
      </c>
      <c r="H123" s="26">
        <v>629783.7542500002</v>
      </c>
      <c r="I123" s="26">
        <v>13159.677000000142</v>
      </c>
      <c r="J123" s="26"/>
      <c r="K123" s="26">
        <v>-726971.0</v>
      </c>
      <c r="L123" s="26">
        <v>-1677086.630627498</v>
      </c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8.0" customHeight="1">
      <c r="A124" s="4"/>
      <c r="B124" s="4"/>
      <c r="C124" s="4"/>
      <c r="D124" s="61">
        <v>0.15208651777901597</v>
      </c>
      <c r="E124" s="61">
        <v>0.14804048719744167</v>
      </c>
      <c r="F124" s="61">
        <v>0.4172226491010257</v>
      </c>
      <c r="G124" s="61">
        <v>0.06073462126448366</v>
      </c>
      <c r="H124" s="61">
        <v>0.08308364883663001</v>
      </c>
      <c r="I124" s="61">
        <v>0.03572622052918315</v>
      </c>
      <c r="J124" s="61">
        <v>0.0</v>
      </c>
      <c r="K124" s="61">
        <v>0.10310585529221983</v>
      </c>
      <c r="L124" s="61">
        <v>1.0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8.0" customHeight="1">
      <c r="A127" s="4"/>
      <c r="B127" s="4"/>
      <c r="C127" s="4"/>
      <c r="D127" s="62"/>
      <c r="E127" s="62"/>
      <c r="F127" s="62"/>
      <c r="G127" s="62"/>
      <c r="H127" s="62"/>
      <c r="I127" s="62"/>
      <c r="J127" s="62"/>
      <c r="K127" s="62"/>
      <c r="L127" s="6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8.0" customHeight="1">
      <c r="A128" s="4"/>
      <c r="B128" s="4"/>
      <c r="C128" s="4"/>
      <c r="D128" s="62"/>
      <c r="E128" s="62"/>
      <c r="F128" s="62"/>
      <c r="G128" s="62"/>
      <c r="H128" s="62"/>
      <c r="I128" s="62"/>
      <c r="J128" s="62"/>
      <c r="K128" s="62"/>
      <c r="L128" s="6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8.0" customHeight="1">
      <c r="A129" s="4"/>
      <c r="B129" s="4"/>
      <c r="C129" s="4"/>
      <c r="D129" s="62"/>
      <c r="E129" s="62"/>
      <c r="F129" s="62" t="s">
        <v>89</v>
      </c>
      <c r="G129" s="62"/>
      <c r="H129" s="62"/>
      <c r="I129" s="62"/>
      <c r="J129" s="62"/>
      <c r="K129" s="62"/>
      <c r="L129" s="6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8.0" customHeight="1">
      <c r="A130" s="4"/>
      <c r="B130" s="4"/>
      <c r="C130" s="4"/>
      <c r="D130" s="62"/>
      <c r="E130" s="62"/>
      <c r="F130" s="62"/>
      <c r="G130" s="62"/>
      <c r="H130" s="62"/>
      <c r="I130" s="62"/>
      <c r="J130" s="62"/>
      <c r="K130" s="62"/>
      <c r="L130" s="6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8.0" customHeight="1">
      <c r="A131" s="4"/>
      <c r="B131" s="4"/>
      <c r="C131" s="4"/>
      <c r="D131" s="62"/>
      <c r="E131" s="62"/>
      <c r="F131" s="62"/>
      <c r="G131" s="62"/>
      <c r="H131" s="62"/>
      <c r="I131" s="62"/>
      <c r="J131" s="62"/>
      <c r="K131" s="62"/>
      <c r="L131" s="6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 outlineLevelRow="1"/>
  <cols>
    <col customWidth="1" min="1" max="1" width="2.0"/>
    <col customWidth="1" min="2" max="2" width="26.57"/>
    <col customWidth="1" min="3" max="3" width="16.57"/>
    <col customWidth="1" min="4" max="12" width="16.86"/>
    <col customWidth="1" min="13" max="13" width="4.86"/>
    <col customWidth="1" min="14" max="14" width="16.86"/>
    <col customWidth="1" min="15" max="15" width="12.57"/>
    <col customWidth="1" min="16" max="16" width="16.43"/>
    <col customWidth="1" min="17" max="17" width="13.43"/>
    <col customWidth="1" min="18" max="18" width="17.57"/>
    <col customWidth="1" min="19" max="19" width="15.14"/>
    <col customWidth="1" min="20" max="20" width="16.43"/>
    <col customWidth="1" min="21" max="24" width="15.14"/>
    <col customWidth="1" min="25" max="31" width="8.57"/>
  </cols>
  <sheetData>
    <row r="1" ht="18.0" customHeight="1">
      <c r="A1" s="1"/>
      <c r="B1" s="2" t="s">
        <v>0</v>
      </c>
      <c r="C1" s="3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63"/>
      <c r="N1" s="3" t="s">
        <v>10</v>
      </c>
      <c r="O1" s="1"/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1"/>
      <c r="Z1" s="1"/>
      <c r="AA1" s="1"/>
      <c r="AB1" s="1"/>
      <c r="AC1" s="1"/>
      <c r="AD1" s="1"/>
      <c r="AE1" s="1"/>
    </row>
    <row r="2" ht="18.0" hidden="1" customHeight="1" outlineLevel="1">
      <c r="A2" s="4"/>
      <c r="B2" s="5" t="s">
        <v>17</v>
      </c>
      <c r="C2" s="32"/>
      <c r="D2" s="7"/>
      <c r="E2" s="7"/>
      <c r="F2" s="7"/>
      <c r="G2" s="7"/>
      <c r="H2" s="7"/>
      <c r="I2" s="7"/>
      <c r="J2" s="7"/>
      <c r="K2" s="7"/>
      <c r="L2" s="7"/>
      <c r="M2" s="64"/>
      <c r="N2" s="7"/>
      <c r="O2" s="4"/>
      <c r="P2" s="4"/>
      <c r="Q2" s="4"/>
      <c r="R2" s="4"/>
      <c r="S2" s="4"/>
      <c r="T2" s="4"/>
      <c r="U2" s="4"/>
      <c r="V2" s="4" t="s">
        <v>8</v>
      </c>
      <c r="W2" s="4"/>
      <c r="X2" s="4"/>
      <c r="Y2" s="4"/>
      <c r="Z2" s="4"/>
      <c r="AA2" s="4"/>
      <c r="AB2" s="4"/>
      <c r="AC2" s="4"/>
      <c r="AD2" s="4"/>
      <c r="AE2" s="4"/>
    </row>
    <row r="3" ht="18.0" hidden="1" customHeight="1" outlineLevel="1">
      <c r="A3" s="4"/>
      <c r="B3" s="5" t="s">
        <v>18</v>
      </c>
      <c r="C3" s="32"/>
      <c r="D3" s="7"/>
      <c r="E3" s="7"/>
      <c r="F3" s="7"/>
      <c r="G3" s="7"/>
      <c r="H3" s="7"/>
      <c r="I3" s="7"/>
      <c r="J3" s="7"/>
      <c r="K3" s="7"/>
      <c r="L3" s="7"/>
      <c r="M3" s="64"/>
      <c r="N3" s="7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8.0" hidden="1" customHeight="1" outlineLevel="1">
      <c r="A4" s="4"/>
      <c r="B4" s="5" t="s">
        <v>19</v>
      </c>
      <c r="C4" s="32"/>
      <c r="D4" s="7"/>
      <c r="E4" s="7"/>
      <c r="F4" s="7"/>
      <c r="G4" s="7"/>
      <c r="H4" s="7"/>
      <c r="I4" s="7"/>
      <c r="J4" s="7"/>
      <c r="K4" s="7"/>
      <c r="L4" s="7"/>
      <c r="M4" s="64"/>
      <c r="N4" s="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18.0" hidden="1" customHeight="1" outlineLevel="1">
      <c r="A5" s="4"/>
      <c r="B5" s="5" t="s">
        <v>20</v>
      </c>
      <c r="C5" s="32"/>
      <c r="D5" s="7"/>
      <c r="E5" s="7"/>
      <c r="F5" s="7"/>
      <c r="G5" s="7"/>
      <c r="H5" s="7"/>
      <c r="I5" s="7"/>
      <c r="J5" s="7"/>
      <c r="K5" s="7"/>
      <c r="L5" s="7"/>
      <c r="M5" s="64"/>
      <c r="N5" s="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18.0" hidden="1" customHeight="1" outlineLevel="1">
      <c r="A6" s="4"/>
      <c r="B6" s="8" t="s">
        <v>21</v>
      </c>
      <c r="C6" s="32"/>
      <c r="D6" s="9"/>
      <c r="E6" s="9"/>
      <c r="F6" s="9"/>
      <c r="G6" s="9"/>
      <c r="H6" s="9"/>
      <c r="I6" s="9"/>
      <c r="J6" s="9"/>
      <c r="K6" s="9"/>
      <c r="L6" s="9"/>
      <c r="M6" s="65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18.0" hidden="1" customHeight="1" outlineLevel="1">
      <c r="A7" s="4"/>
      <c r="B7" s="5" t="s">
        <v>22</v>
      </c>
      <c r="C7" s="32"/>
      <c r="D7" s="7"/>
      <c r="E7" s="7"/>
      <c r="F7" s="7"/>
      <c r="G7" s="7"/>
      <c r="H7" s="7"/>
      <c r="I7" s="7"/>
      <c r="J7" s="7"/>
      <c r="K7" s="7"/>
      <c r="L7" s="7"/>
      <c r="M7" s="64"/>
      <c r="N7" s="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18.0" hidden="1" customHeight="1" outlineLevel="1">
      <c r="A8" s="4"/>
      <c r="B8" s="5" t="s">
        <v>23</v>
      </c>
      <c r="C8" s="32"/>
      <c r="D8" s="7"/>
      <c r="E8" s="7"/>
      <c r="F8" s="7"/>
      <c r="G8" s="7"/>
      <c r="H8" s="7"/>
      <c r="I8" s="7"/>
      <c r="J8" s="7"/>
      <c r="K8" s="7"/>
      <c r="L8" s="7"/>
      <c r="M8" s="64"/>
      <c r="N8" s="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18.0" hidden="1" customHeight="1" outlineLevel="1">
      <c r="A9" s="4"/>
      <c r="B9" s="33" t="s">
        <v>37</v>
      </c>
      <c r="C9" s="4"/>
      <c r="D9" s="34">
        <v>7400514.0</v>
      </c>
      <c r="E9" s="34">
        <v>4368869.0</v>
      </c>
      <c r="F9" s="34">
        <v>1.7474644E7</v>
      </c>
      <c r="G9" s="34">
        <v>1629283.0</v>
      </c>
      <c r="H9" s="34">
        <v>1994652.0</v>
      </c>
      <c r="I9" s="34">
        <v>0.0</v>
      </c>
      <c r="J9" s="34">
        <v>0.0</v>
      </c>
      <c r="K9" s="34">
        <v>1863085.0</v>
      </c>
      <c r="L9" s="34">
        <v>3.4731047E7</v>
      </c>
      <c r="M9" s="66"/>
      <c r="N9" s="34">
        <v>0.0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18.0" hidden="1" customHeight="1" outlineLevel="1">
      <c r="A10" s="4"/>
      <c r="B10" s="33" t="s">
        <v>38</v>
      </c>
      <c r="C10" s="4"/>
      <c r="D10" s="34">
        <v>6236260.0</v>
      </c>
      <c r="E10" s="34">
        <v>1.1526594E7</v>
      </c>
      <c r="F10" s="34">
        <v>3.1895442E7</v>
      </c>
      <c r="G10" s="34">
        <v>3926798.0</v>
      </c>
      <c r="H10" s="34">
        <v>6165223.0</v>
      </c>
      <c r="I10" s="34">
        <v>5899264.0</v>
      </c>
      <c r="J10" s="34">
        <v>0.0</v>
      </c>
      <c r="K10" s="34">
        <v>8056872.0</v>
      </c>
      <c r="L10" s="34">
        <v>7.3706453E7</v>
      </c>
      <c r="M10" s="66"/>
      <c r="N10" s="34">
        <v>0.0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18.0" hidden="1" customHeight="1" outlineLevel="1">
      <c r="A11" s="4"/>
      <c r="B11" s="33" t="s">
        <v>39</v>
      </c>
      <c r="C11" s="4"/>
      <c r="D11" s="34">
        <v>0.0</v>
      </c>
      <c r="E11" s="34">
        <v>209028.0</v>
      </c>
      <c r="F11" s="34">
        <v>182238.0</v>
      </c>
      <c r="G11" s="34">
        <v>5000.0</v>
      </c>
      <c r="H11" s="34">
        <v>37731.0</v>
      </c>
      <c r="I11" s="34">
        <v>2728.0</v>
      </c>
      <c r="J11" s="34">
        <v>0.0</v>
      </c>
      <c r="K11" s="34">
        <v>0.0</v>
      </c>
      <c r="L11" s="34">
        <v>436725.0</v>
      </c>
      <c r="M11" s="66"/>
      <c r="N11" s="34">
        <v>0.0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18.0" customHeight="1" collapsed="1">
      <c r="A12" s="4"/>
      <c r="B12" s="15" t="s">
        <v>24</v>
      </c>
      <c r="C12" s="67" t="s">
        <v>46</v>
      </c>
      <c r="D12" s="36">
        <v>1.3612E7</v>
      </c>
      <c r="E12" s="36">
        <v>1.564E7</v>
      </c>
      <c r="F12" s="36">
        <v>4.9144011E7</v>
      </c>
      <c r="G12" s="36">
        <v>5515100.0</v>
      </c>
      <c r="H12" s="36">
        <v>8102150.0</v>
      </c>
      <c r="I12" s="36">
        <v>5911717.0</v>
      </c>
      <c r="J12" s="16"/>
      <c r="K12" s="36">
        <v>9600000.0</v>
      </c>
      <c r="L12" s="36">
        <v>1.07524978E8</v>
      </c>
      <c r="M12" s="64"/>
      <c r="N12" s="36">
        <v>0.0</v>
      </c>
      <c r="O12" s="4"/>
      <c r="P12" s="21"/>
      <c r="Q12" s="21"/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18.0" customHeight="1">
      <c r="A13" s="4"/>
      <c r="B13" s="15"/>
      <c r="C13" s="15" t="s">
        <v>41</v>
      </c>
      <c r="D13" s="16">
        <v>1.3636774E7</v>
      </c>
      <c r="E13" s="16">
        <v>1.6104491E7</v>
      </c>
      <c r="F13" s="16">
        <v>4.9552324E7</v>
      </c>
      <c r="G13" s="16">
        <v>5561081.0</v>
      </c>
      <c r="H13" s="16">
        <v>8197606.0</v>
      </c>
      <c r="I13" s="16">
        <v>5901992.0</v>
      </c>
      <c r="J13" s="16">
        <v>0.0</v>
      </c>
      <c r="K13" s="16">
        <v>9919957.0</v>
      </c>
      <c r="L13" s="16">
        <v>1.08874225E8</v>
      </c>
      <c r="M13" s="68"/>
      <c r="N13" s="16">
        <v>0.0</v>
      </c>
      <c r="O13" s="4"/>
      <c r="P13" s="21">
        <v>24774.0</v>
      </c>
      <c r="Q13" s="21">
        <v>464491.0</v>
      </c>
      <c r="R13" s="21">
        <v>408313.0</v>
      </c>
      <c r="S13" s="21">
        <v>45981.0</v>
      </c>
      <c r="T13" s="21">
        <v>95456.0</v>
      </c>
      <c r="U13" s="21">
        <v>-9725.0</v>
      </c>
      <c r="V13" s="21">
        <v>0.0</v>
      </c>
      <c r="W13" s="21">
        <v>319957.0</v>
      </c>
      <c r="X13" s="21">
        <v>1349247.0</v>
      </c>
      <c r="Y13" s="4"/>
      <c r="Z13" s="4"/>
      <c r="AA13" s="4"/>
      <c r="AB13" s="4"/>
      <c r="AC13" s="4"/>
      <c r="AD13" s="4"/>
      <c r="AE13" s="4"/>
    </row>
    <row r="14" ht="18.0" customHeight="1">
      <c r="A14" s="4"/>
      <c r="B14" s="15" t="s">
        <v>25</v>
      </c>
      <c r="C14" s="35" t="s">
        <v>46</v>
      </c>
      <c r="D14" s="36">
        <v>2425658.4000000004</v>
      </c>
      <c r="E14" s="36">
        <v>2402616.8</v>
      </c>
      <c r="F14" s="36">
        <v>8936961.260377498</v>
      </c>
      <c r="G14" s="36">
        <v>705739.7714999999</v>
      </c>
      <c r="H14" s="36">
        <v>891277.01075</v>
      </c>
      <c r="I14" s="36">
        <v>0.0</v>
      </c>
      <c r="J14" s="36"/>
      <c r="K14" s="36">
        <v>641760.0</v>
      </c>
      <c r="L14" s="36">
        <v>1.60040132426275E7</v>
      </c>
      <c r="M14" s="64"/>
      <c r="N14" s="36">
        <v>0.0</v>
      </c>
      <c r="O14" s="4"/>
      <c r="P14" s="21"/>
      <c r="Q14" s="21"/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18.0" customHeight="1">
      <c r="A15" s="4"/>
      <c r="B15" s="15"/>
      <c r="C15" s="15" t="s">
        <v>41</v>
      </c>
      <c r="D15" s="16">
        <v>2764685.0</v>
      </c>
      <c r="E15" s="16">
        <v>2018167.0</v>
      </c>
      <c r="F15" s="16">
        <v>9380884.0</v>
      </c>
      <c r="G15" s="16">
        <v>537929.0</v>
      </c>
      <c r="H15" s="16">
        <v>969284.0</v>
      </c>
      <c r="I15" s="16">
        <v>54559.0</v>
      </c>
      <c r="J15" s="16">
        <v>0.0</v>
      </c>
      <c r="K15" s="16">
        <v>401673.0</v>
      </c>
      <c r="L15" s="16">
        <v>1.6127181E7</v>
      </c>
      <c r="M15" s="68"/>
      <c r="N15" s="16">
        <v>0.0</v>
      </c>
      <c r="O15" s="4"/>
      <c r="P15" s="21">
        <v>339026.5999999996</v>
      </c>
      <c r="Q15" s="21">
        <v>-384449.7999999998</v>
      </c>
      <c r="R15" s="21">
        <v>443922.73962250166</v>
      </c>
      <c r="S15" s="21">
        <v>-167810.77149999992</v>
      </c>
      <c r="T15" s="21">
        <v>78006.98924999998</v>
      </c>
      <c r="U15" s="4">
        <v>54559.0</v>
      </c>
      <c r="V15" s="4">
        <v>0.0</v>
      </c>
      <c r="W15" s="4">
        <v>-240087.0</v>
      </c>
      <c r="X15" s="21">
        <v>123167.75737250037</v>
      </c>
      <c r="Y15" s="4"/>
      <c r="Z15" s="4"/>
      <c r="AA15" s="4"/>
      <c r="AB15" s="4"/>
      <c r="AC15" s="4"/>
      <c r="AD15" s="4"/>
      <c r="AE15" s="4"/>
    </row>
    <row r="16" ht="18.0" customHeight="1">
      <c r="A16" s="21"/>
      <c r="B16" s="22" t="s">
        <v>27</v>
      </c>
      <c r="C16" s="35" t="s">
        <v>46</v>
      </c>
      <c r="D16" s="37">
        <v>1.11863416E7</v>
      </c>
      <c r="E16" s="37">
        <v>1.32373832E7</v>
      </c>
      <c r="F16" s="37">
        <v>4.02070497396225E7</v>
      </c>
      <c r="G16" s="37">
        <v>4809360.2285</v>
      </c>
      <c r="H16" s="37">
        <v>7210872.98925</v>
      </c>
      <c r="I16" s="37">
        <v>5911717.0</v>
      </c>
      <c r="J16" s="37">
        <v>0.0</v>
      </c>
      <c r="K16" s="37">
        <v>8958240.0</v>
      </c>
      <c r="L16" s="37">
        <v>9.15209647573725E7</v>
      </c>
      <c r="M16" s="69"/>
      <c r="N16" s="37">
        <v>0.0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ht="18.0" customHeight="1">
      <c r="A17" s="21"/>
      <c r="B17" s="22"/>
      <c r="C17" s="15" t="s">
        <v>41</v>
      </c>
      <c r="D17" s="23">
        <v>1.0872089E7</v>
      </c>
      <c r="E17" s="23">
        <v>1.4086324E7</v>
      </c>
      <c r="F17" s="23">
        <v>4.017144E7</v>
      </c>
      <c r="G17" s="23">
        <v>5023152.0</v>
      </c>
      <c r="H17" s="23">
        <v>7228322.0</v>
      </c>
      <c r="I17" s="23">
        <v>5847433.0</v>
      </c>
      <c r="J17" s="23">
        <v>0.0</v>
      </c>
      <c r="K17" s="23">
        <v>9518284.0</v>
      </c>
      <c r="L17" s="23">
        <v>9.2747044E7</v>
      </c>
      <c r="M17" s="70"/>
      <c r="N17" s="23">
        <v>0.0</v>
      </c>
      <c r="O17" s="21"/>
      <c r="P17" s="21">
        <v>-314252.5999999996</v>
      </c>
      <c r="Q17" s="21">
        <v>848940.8000000007</v>
      </c>
      <c r="R17" s="21">
        <v>-35609.73962250352</v>
      </c>
      <c r="S17" s="21">
        <v>213791.7714999998</v>
      </c>
      <c r="T17" s="21">
        <v>17449.010750000365</v>
      </c>
      <c r="U17" s="21">
        <v>-64284.0</v>
      </c>
      <c r="V17" s="21">
        <v>0.0</v>
      </c>
      <c r="W17" s="21">
        <v>560044.0</v>
      </c>
      <c r="X17" s="21">
        <v>1226079.2426275015</v>
      </c>
      <c r="Y17" s="21"/>
      <c r="Z17" s="21"/>
      <c r="AA17" s="21"/>
      <c r="AB17" s="21"/>
      <c r="AC17" s="21"/>
      <c r="AD17" s="21"/>
      <c r="AE17" s="21"/>
    </row>
    <row r="18" ht="18.0" customHeight="1">
      <c r="A18" s="21"/>
      <c r="B18" s="21" t="s">
        <v>28</v>
      </c>
      <c r="C18" s="4" t="s">
        <v>46</v>
      </c>
      <c r="D18" s="24">
        <v>5448985.0</v>
      </c>
      <c r="E18" s="24">
        <v>4303670.0</v>
      </c>
      <c r="F18" s="24">
        <v>1.0907073E7</v>
      </c>
      <c r="G18" s="24">
        <v>2324908.0</v>
      </c>
      <c r="H18" s="24">
        <v>2625726.0</v>
      </c>
      <c r="I18" s="24">
        <v>1966482.0</v>
      </c>
      <c r="J18" s="24">
        <v>0.0</v>
      </c>
      <c r="K18" s="24">
        <v>3335879.0</v>
      </c>
      <c r="L18" s="24">
        <v>3.0912723E7</v>
      </c>
      <c r="M18" s="71"/>
      <c r="N18" s="24">
        <v>0.0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ht="18.0" customHeight="1">
      <c r="A19" s="21"/>
      <c r="B19" s="21"/>
      <c r="C19" s="38" t="s">
        <v>41</v>
      </c>
      <c r="D19" s="39">
        <v>5157654.0</v>
      </c>
      <c r="E19" s="39">
        <v>4394706.0</v>
      </c>
      <c r="F19" s="39">
        <v>1.0702932E7</v>
      </c>
      <c r="G19" s="39">
        <v>2277290.0</v>
      </c>
      <c r="H19" s="39">
        <v>2792980.0</v>
      </c>
      <c r="I19" s="39">
        <v>1795213.0</v>
      </c>
      <c r="J19" s="39">
        <v>0.0</v>
      </c>
      <c r="K19" s="39">
        <v>3681769.0</v>
      </c>
      <c r="L19" s="39">
        <v>3.0802544E7</v>
      </c>
      <c r="M19" s="72"/>
      <c r="N19" s="39">
        <v>8372169.0</v>
      </c>
      <c r="O19" s="21"/>
      <c r="P19" s="21">
        <v>-291331.0</v>
      </c>
      <c r="Q19" s="21">
        <v>91036.0</v>
      </c>
      <c r="R19" s="21">
        <v>-204141.0</v>
      </c>
      <c r="S19" s="21">
        <v>-47618.0</v>
      </c>
      <c r="T19" s="21">
        <v>167254.0</v>
      </c>
      <c r="U19" s="21">
        <v>-171269.0</v>
      </c>
      <c r="V19" s="21">
        <v>0.0</v>
      </c>
      <c r="W19" s="21">
        <v>345890.0</v>
      </c>
      <c r="X19" s="21">
        <v>-110179.0</v>
      </c>
      <c r="Y19" s="21"/>
      <c r="Z19" s="21"/>
      <c r="AA19" s="21"/>
      <c r="AB19" s="21"/>
      <c r="AC19" s="21"/>
      <c r="AD19" s="21"/>
      <c r="AE19" s="21"/>
    </row>
    <row r="20" ht="18.0" hidden="1" customHeight="1" outlineLevel="1">
      <c r="A20" s="21"/>
      <c r="B20" s="40" t="s">
        <v>42</v>
      </c>
      <c r="C20" s="41" t="s">
        <v>46</v>
      </c>
      <c r="D20" s="42">
        <v>0.0</v>
      </c>
      <c r="E20" s="42">
        <v>0.0</v>
      </c>
      <c r="F20" s="42">
        <v>0.0</v>
      </c>
      <c r="G20" s="42">
        <v>0.0</v>
      </c>
      <c r="H20" s="42">
        <v>0.0</v>
      </c>
      <c r="I20" s="42">
        <v>0.0</v>
      </c>
      <c r="J20" s="42"/>
      <c r="K20" s="42">
        <v>0.0</v>
      </c>
      <c r="L20" s="42">
        <v>0.0</v>
      </c>
      <c r="M20" s="71"/>
      <c r="N20" s="42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ht="18.0" hidden="1" customHeight="1" outlineLevel="1">
      <c r="A21" s="21"/>
      <c r="B21" s="40"/>
      <c r="C21" s="43" t="s">
        <v>41</v>
      </c>
      <c r="D21" s="44">
        <v>0.0</v>
      </c>
      <c r="E21" s="44">
        <v>0.0</v>
      </c>
      <c r="F21" s="44">
        <v>0.0</v>
      </c>
      <c r="G21" s="44">
        <v>0.0</v>
      </c>
      <c r="H21" s="44">
        <v>0.0</v>
      </c>
      <c r="I21" s="44">
        <v>0.0</v>
      </c>
      <c r="J21" s="44">
        <v>0.0</v>
      </c>
      <c r="K21" s="44">
        <v>0.0</v>
      </c>
      <c r="L21" s="44">
        <v>0.0</v>
      </c>
      <c r="M21" s="72"/>
      <c r="N21" s="44">
        <v>0.0</v>
      </c>
      <c r="O21" s="21"/>
      <c r="P21" s="21">
        <v>0.0</v>
      </c>
      <c r="Q21" s="21">
        <v>0.0</v>
      </c>
      <c r="R21" s="21">
        <v>0.0</v>
      </c>
      <c r="S21" s="21">
        <v>0.0</v>
      </c>
      <c r="T21" s="21">
        <v>0.0</v>
      </c>
      <c r="U21" s="21">
        <v>0.0</v>
      </c>
      <c r="V21" s="21">
        <v>0.0</v>
      </c>
      <c r="W21" s="21">
        <v>0.0</v>
      </c>
      <c r="X21" s="21">
        <v>0.0</v>
      </c>
      <c r="Y21" s="21"/>
      <c r="Z21" s="21"/>
      <c r="AA21" s="21"/>
      <c r="AB21" s="21"/>
      <c r="AC21" s="21"/>
      <c r="AD21" s="21"/>
      <c r="AE21" s="21"/>
    </row>
    <row r="22" ht="18.0" hidden="1" customHeight="1" outlineLevel="1">
      <c r="A22" s="21"/>
      <c r="B22" s="40" t="s">
        <v>43</v>
      </c>
      <c r="C22" s="41" t="s">
        <v>46</v>
      </c>
      <c r="D22" s="42">
        <v>2336945.0</v>
      </c>
      <c r="E22" s="42">
        <v>2345230.0</v>
      </c>
      <c r="F22" s="42">
        <v>4441818.0</v>
      </c>
      <c r="G22" s="42">
        <v>1613865.0</v>
      </c>
      <c r="H22" s="42">
        <v>1881476.0</v>
      </c>
      <c r="I22" s="42">
        <v>1166111.0</v>
      </c>
      <c r="J22" s="42"/>
      <c r="K22" s="42">
        <v>1690479.0</v>
      </c>
      <c r="L22" s="42">
        <v>1.5475924E7</v>
      </c>
      <c r="M22" s="71"/>
      <c r="N22" s="42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ht="18.0" hidden="1" customHeight="1" outlineLevel="1">
      <c r="A23" s="21"/>
      <c r="B23" s="40"/>
      <c r="C23" s="43" t="s">
        <v>41</v>
      </c>
      <c r="D23" s="44">
        <v>2336945.0</v>
      </c>
      <c r="E23" s="44">
        <v>2345230.0</v>
      </c>
      <c r="F23" s="44">
        <v>4441818.0</v>
      </c>
      <c r="G23" s="44">
        <v>1613865.0</v>
      </c>
      <c r="H23" s="44">
        <v>1881476.0</v>
      </c>
      <c r="I23" s="44">
        <v>1166111.0</v>
      </c>
      <c r="J23" s="44">
        <v>0.0</v>
      </c>
      <c r="K23" s="44">
        <v>1690479.0</v>
      </c>
      <c r="L23" s="44">
        <v>1.5475924E7</v>
      </c>
      <c r="M23" s="72"/>
      <c r="N23" s="44">
        <v>4203869.0</v>
      </c>
      <c r="O23" s="21"/>
      <c r="P23" s="21">
        <v>0.0</v>
      </c>
      <c r="Q23" s="21">
        <v>0.0</v>
      </c>
      <c r="R23" s="21">
        <v>0.0</v>
      </c>
      <c r="S23" s="21">
        <v>0.0</v>
      </c>
      <c r="T23" s="21">
        <v>0.0</v>
      </c>
      <c r="U23" s="21">
        <v>0.0</v>
      </c>
      <c r="V23" s="21">
        <v>0.0</v>
      </c>
      <c r="W23" s="21">
        <v>0.0</v>
      </c>
      <c r="X23" s="21">
        <v>0.0</v>
      </c>
      <c r="Y23" s="21"/>
      <c r="Z23" s="21"/>
      <c r="AA23" s="21"/>
      <c r="AB23" s="21"/>
      <c r="AC23" s="21"/>
      <c r="AD23" s="21"/>
      <c r="AE23" s="21"/>
    </row>
    <row r="24" ht="18.0" hidden="1" customHeight="1" outlineLevel="1">
      <c r="A24" s="21"/>
      <c r="B24" s="40" t="s">
        <v>44</v>
      </c>
      <c r="C24" s="41" t="s">
        <v>46</v>
      </c>
      <c r="D24" s="42">
        <v>800000.0</v>
      </c>
      <c r="E24" s="42">
        <v>989000.0</v>
      </c>
      <c r="F24" s="42">
        <v>4080880.0</v>
      </c>
      <c r="G24" s="42">
        <v>225000.0</v>
      </c>
      <c r="H24" s="42">
        <v>190000.0</v>
      </c>
      <c r="I24" s="42">
        <v>473121.0</v>
      </c>
      <c r="J24" s="42"/>
      <c r="K24" s="42">
        <v>1072000.0</v>
      </c>
      <c r="L24" s="42">
        <v>7830001.0</v>
      </c>
      <c r="M24" s="71"/>
      <c r="N24" s="42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ht="18.0" hidden="1" customHeight="1" outlineLevel="1">
      <c r="A25" s="21"/>
      <c r="B25" s="40"/>
      <c r="C25" s="43" t="s">
        <v>41</v>
      </c>
      <c r="D25" s="44">
        <v>941420.0</v>
      </c>
      <c r="E25" s="44">
        <v>1002943.0</v>
      </c>
      <c r="F25" s="44">
        <v>4289058.0</v>
      </c>
      <c r="G25" s="44">
        <v>293955.0</v>
      </c>
      <c r="H25" s="44">
        <v>283583.0</v>
      </c>
      <c r="I25" s="44">
        <v>340040.0</v>
      </c>
      <c r="J25" s="44">
        <v>0.0</v>
      </c>
      <c r="K25" s="44">
        <v>1311946.0</v>
      </c>
      <c r="L25" s="44">
        <v>8462945.0</v>
      </c>
      <c r="M25" s="72"/>
      <c r="N25" s="44">
        <v>286302.0</v>
      </c>
      <c r="O25" s="21"/>
      <c r="P25" s="21">
        <v>141420.0</v>
      </c>
      <c r="Q25" s="21">
        <v>13943.0</v>
      </c>
      <c r="R25" s="21">
        <v>208178.0</v>
      </c>
      <c r="S25" s="21">
        <v>68955.0</v>
      </c>
      <c r="T25" s="21">
        <v>93583.0</v>
      </c>
      <c r="U25" s="21">
        <v>-133081.0</v>
      </c>
      <c r="V25" s="21">
        <v>0.0</v>
      </c>
      <c r="W25" s="21">
        <v>239946.0</v>
      </c>
      <c r="X25" s="21">
        <v>632944.0</v>
      </c>
      <c r="Y25" s="21"/>
      <c r="Z25" s="21"/>
      <c r="AA25" s="21"/>
      <c r="AB25" s="21"/>
      <c r="AC25" s="21"/>
      <c r="AD25" s="21"/>
      <c r="AE25" s="21"/>
    </row>
    <row r="26" ht="18.0" hidden="1" customHeight="1" outlineLevel="1">
      <c r="A26" s="21"/>
      <c r="B26" s="40" t="s">
        <v>45</v>
      </c>
      <c r="C26" s="41" t="s">
        <v>46</v>
      </c>
      <c r="D26" s="42">
        <v>0.0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2"/>
      <c r="K26" s="42">
        <v>0.0</v>
      </c>
      <c r="L26" s="42">
        <v>0.0</v>
      </c>
      <c r="M26" s="71"/>
      <c r="N26" s="42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ht="18.0" hidden="1" customHeight="1" outlineLevel="1">
      <c r="A27" s="21"/>
      <c r="B27" s="40"/>
      <c r="C27" s="43" t="s">
        <v>41</v>
      </c>
      <c r="D27" s="44">
        <v>0.0</v>
      </c>
      <c r="E27" s="44">
        <v>0.0</v>
      </c>
      <c r="F27" s="44">
        <v>0.0</v>
      </c>
      <c r="G27" s="44">
        <v>0.0</v>
      </c>
      <c r="H27" s="44">
        <v>0.0</v>
      </c>
      <c r="I27" s="44">
        <v>0.0</v>
      </c>
      <c r="J27" s="44">
        <v>0.0</v>
      </c>
      <c r="K27" s="44">
        <v>0.0</v>
      </c>
      <c r="L27" s="44">
        <v>0.0</v>
      </c>
      <c r="M27" s="72"/>
      <c r="N27" s="44">
        <v>319207.0</v>
      </c>
      <c r="O27" s="21"/>
      <c r="P27" s="21">
        <v>0.0</v>
      </c>
      <c r="Q27" s="21">
        <v>0.0</v>
      </c>
      <c r="R27" s="21">
        <v>0.0</v>
      </c>
      <c r="S27" s="21">
        <v>0.0</v>
      </c>
      <c r="T27" s="21">
        <v>0.0</v>
      </c>
      <c r="U27" s="21">
        <v>0.0</v>
      </c>
      <c r="V27" s="21">
        <v>0.0</v>
      </c>
      <c r="W27" s="21">
        <v>0.0</v>
      </c>
      <c r="X27" s="21">
        <v>0.0</v>
      </c>
      <c r="Y27" s="21"/>
      <c r="Z27" s="21"/>
      <c r="AA27" s="21"/>
      <c r="AB27" s="21"/>
      <c r="AC27" s="21"/>
      <c r="AD27" s="21"/>
      <c r="AE27" s="21"/>
    </row>
    <row r="28" ht="18.0" hidden="1" customHeight="1" outlineLevel="1">
      <c r="A28" s="21"/>
      <c r="B28" s="40" t="s">
        <v>47</v>
      </c>
      <c r="C28" s="41" t="s">
        <v>46</v>
      </c>
      <c r="D28" s="42">
        <v>233750.0</v>
      </c>
      <c r="E28" s="42">
        <v>250150.0</v>
      </c>
      <c r="F28" s="42">
        <v>449000.0</v>
      </c>
      <c r="G28" s="42">
        <v>160600.0</v>
      </c>
      <c r="H28" s="42">
        <v>174300.0</v>
      </c>
      <c r="I28" s="42">
        <v>103900.0</v>
      </c>
      <c r="J28" s="42"/>
      <c r="K28" s="42">
        <v>159000.0</v>
      </c>
      <c r="L28" s="42">
        <v>1530700.0</v>
      </c>
      <c r="M28" s="71"/>
      <c r="N28" s="42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ht="18.0" hidden="1" customHeight="1" outlineLevel="1">
      <c r="A29" s="21"/>
      <c r="B29" s="40"/>
      <c r="C29" s="43" t="s">
        <v>41</v>
      </c>
      <c r="D29" s="44">
        <v>156250.0</v>
      </c>
      <c r="E29" s="44">
        <v>246750.0</v>
      </c>
      <c r="F29" s="44">
        <v>456200.0</v>
      </c>
      <c r="G29" s="44">
        <v>149100.0</v>
      </c>
      <c r="H29" s="44">
        <v>157700.0</v>
      </c>
      <c r="I29" s="44">
        <v>88500.0</v>
      </c>
      <c r="J29" s="44">
        <v>0.0</v>
      </c>
      <c r="K29" s="44">
        <v>159000.0</v>
      </c>
      <c r="L29" s="44">
        <v>1413500.0</v>
      </c>
      <c r="M29" s="72"/>
      <c r="N29" s="44">
        <v>512300.0</v>
      </c>
      <c r="O29" s="21"/>
      <c r="P29" s="21">
        <v>-77500.0</v>
      </c>
      <c r="Q29" s="21">
        <v>-3400.0</v>
      </c>
      <c r="R29" s="21">
        <v>7200.0</v>
      </c>
      <c r="S29" s="21">
        <v>-11500.0</v>
      </c>
      <c r="T29" s="21">
        <v>-16600.0</v>
      </c>
      <c r="U29" s="21">
        <v>-15400.0</v>
      </c>
      <c r="V29" s="21">
        <v>0.0</v>
      </c>
      <c r="W29" s="21">
        <v>0.0</v>
      </c>
      <c r="X29" s="21">
        <v>-117200.0</v>
      </c>
      <c r="Y29" s="21"/>
      <c r="Z29" s="21"/>
      <c r="AA29" s="21"/>
      <c r="AB29" s="21"/>
      <c r="AC29" s="21"/>
      <c r="AD29" s="21"/>
      <c r="AE29" s="21"/>
    </row>
    <row r="30" ht="18.0" hidden="1" customHeight="1" outlineLevel="1">
      <c r="A30" s="21"/>
      <c r="B30" s="40" t="s">
        <v>48</v>
      </c>
      <c r="C30" s="41" t="s">
        <v>46</v>
      </c>
      <c r="D30" s="42">
        <v>470625.0</v>
      </c>
      <c r="E30" s="42">
        <v>519375.0</v>
      </c>
      <c r="F30" s="42">
        <v>1240632.0</v>
      </c>
      <c r="G30" s="42">
        <v>274650.0</v>
      </c>
      <c r="H30" s="42">
        <v>289950.0</v>
      </c>
      <c r="I30" s="42">
        <v>223350.0</v>
      </c>
      <c r="J30" s="42"/>
      <c r="K30" s="42">
        <v>254400.0</v>
      </c>
      <c r="L30" s="42">
        <v>3272982.0</v>
      </c>
      <c r="M30" s="71"/>
      <c r="N30" s="42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ht="18.0" hidden="1" customHeight="1" outlineLevel="1">
      <c r="A31" s="21"/>
      <c r="B31" s="40"/>
      <c r="C31" s="43" t="s">
        <v>41</v>
      </c>
      <c r="D31" s="44">
        <v>472951.0</v>
      </c>
      <c r="E31" s="44">
        <v>463137.0</v>
      </c>
      <c r="F31" s="44">
        <v>928492.0</v>
      </c>
      <c r="G31" s="44">
        <v>296825.0</v>
      </c>
      <c r="H31" s="44">
        <v>328869.0</v>
      </c>
      <c r="I31" s="44">
        <v>187960.0</v>
      </c>
      <c r="J31" s="44">
        <v>0.0</v>
      </c>
      <c r="K31" s="44">
        <v>417888.0</v>
      </c>
      <c r="L31" s="44">
        <v>3096122.0</v>
      </c>
      <c r="M31" s="72"/>
      <c r="N31" s="44">
        <v>598103.0</v>
      </c>
      <c r="O31" s="21"/>
      <c r="P31" s="21">
        <v>2326.0</v>
      </c>
      <c r="Q31" s="21">
        <v>-56238.0</v>
      </c>
      <c r="R31" s="21">
        <v>-312140.0</v>
      </c>
      <c r="S31" s="21">
        <v>22175.0</v>
      </c>
      <c r="T31" s="21">
        <v>38919.0</v>
      </c>
      <c r="U31" s="21">
        <v>-35390.0</v>
      </c>
      <c r="V31" s="21">
        <v>0.0</v>
      </c>
      <c r="W31" s="21">
        <v>163488.0</v>
      </c>
      <c r="X31" s="21">
        <v>-176860.0</v>
      </c>
      <c r="Y31" s="21"/>
      <c r="Z31" s="21"/>
      <c r="AA31" s="21"/>
      <c r="AB31" s="21"/>
      <c r="AC31" s="21"/>
      <c r="AD31" s="21"/>
      <c r="AE31" s="21"/>
    </row>
    <row r="32" ht="18.0" hidden="1" customHeight="1" outlineLevel="1">
      <c r="A32" s="21"/>
      <c r="B32" s="40" t="s">
        <v>49</v>
      </c>
      <c r="C32" s="41" t="s">
        <v>46</v>
      </c>
      <c r="D32" s="42">
        <v>167665.0</v>
      </c>
      <c r="E32" s="42">
        <v>167665.0</v>
      </c>
      <c r="F32" s="42">
        <v>344743.0</v>
      </c>
      <c r="G32" s="42">
        <v>50793.0</v>
      </c>
      <c r="H32" s="42">
        <v>90000.0</v>
      </c>
      <c r="I32" s="42">
        <v>0.0</v>
      </c>
      <c r="J32" s="42"/>
      <c r="K32" s="42">
        <v>160000.0</v>
      </c>
      <c r="L32" s="42">
        <v>980866.0</v>
      </c>
      <c r="M32" s="71"/>
      <c r="N32" s="42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ht="18.0" hidden="1" customHeight="1" outlineLevel="1">
      <c r="A33" s="21"/>
      <c r="B33" s="40"/>
      <c r="C33" s="43" t="s">
        <v>41</v>
      </c>
      <c r="D33" s="44">
        <v>-36000.0</v>
      </c>
      <c r="E33" s="44">
        <v>-52273.0</v>
      </c>
      <c r="F33" s="44">
        <v>133121.0</v>
      </c>
      <c r="G33" s="44">
        <v>-76615.0</v>
      </c>
      <c r="H33" s="44">
        <v>140712.0</v>
      </c>
      <c r="I33" s="44">
        <v>12602.0</v>
      </c>
      <c r="J33" s="44">
        <v>0.0</v>
      </c>
      <c r="K33" s="44">
        <v>20546.0</v>
      </c>
      <c r="L33" s="44">
        <v>142093.0</v>
      </c>
      <c r="M33" s="72"/>
      <c r="N33" s="44">
        <v>333953.0</v>
      </c>
      <c r="O33" s="21"/>
      <c r="P33" s="21">
        <v>-203665.0</v>
      </c>
      <c r="Q33" s="21">
        <v>-219938.0</v>
      </c>
      <c r="R33" s="21">
        <v>-211622.0</v>
      </c>
      <c r="S33" s="21">
        <v>-127408.0</v>
      </c>
      <c r="T33" s="21">
        <v>50712.0</v>
      </c>
      <c r="U33" s="21">
        <v>12602.0</v>
      </c>
      <c r="V33" s="21">
        <v>0.0</v>
      </c>
      <c r="W33" s="21">
        <v>-139454.0</v>
      </c>
      <c r="X33" s="21">
        <v>-838773.0</v>
      </c>
      <c r="Y33" s="21"/>
      <c r="Z33" s="21"/>
      <c r="AA33" s="21"/>
      <c r="AB33" s="21"/>
      <c r="AC33" s="21"/>
      <c r="AD33" s="21"/>
      <c r="AE33" s="21"/>
    </row>
    <row r="34" ht="18.0" hidden="1" customHeight="1" outlineLevel="1">
      <c r="A34" s="21"/>
      <c r="B34" s="40" t="s">
        <v>50</v>
      </c>
      <c r="C34" s="41" t="s">
        <v>46</v>
      </c>
      <c r="D34" s="42">
        <v>240000.0</v>
      </c>
      <c r="E34" s="42">
        <v>0.0</v>
      </c>
      <c r="F34" s="42">
        <v>350000.0</v>
      </c>
      <c r="G34" s="42">
        <v>0.0</v>
      </c>
      <c r="H34" s="42">
        <v>0.0</v>
      </c>
      <c r="I34" s="42">
        <v>0.0</v>
      </c>
      <c r="J34" s="42"/>
      <c r="K34" s="42">
        <v>0.0</v>
      </c>
      <c r="L34" s="42">
        <v>590000.0</v>
      </c>
      <c r="M34" s="71"/>
      <c r="N34" s="42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ht="18.0" hidden="1" customHeight="1" outlineLevel="1">
      <c r="A35" s="21"/>
      <c r="B35" s="40"/>
      <c r="C35" s="43" t="s">
        <v>41</v>
      </c>
      <c r="D35" s="44">
        <v>250633.0</v>
      </c>
      <c r="E35" s="44">
        <v>388919.0</v>
      </c>
      <c r="F35" s="44">
        <v>454243.0</v>
      </c>
      <c r="G35" s="44">
        <v>0.0</v>
      </c>
      <c r="H35" s="44">
        <v>0.0</v>
      </c>
      <c r="I35" s="44">
        <v>0.0</v>
      </c>
      <c r="J35" s="44">
        <v>0.0</v>
      </c>
      <c r="K35" s="44">
        <v>81910.0</v>
      </c>
      <c r="L35" s="44">
        <v>1175705.0</v>
      </c>
      <c r="M35" s="72"/>
      <c r="N35" s="44">
        <v>876500.0</v>
      </c>
      <c r="O35" s="21"/>
      <c r="P35" s="21">
        <v>10633.0</v>
      </c>
      <c r="Q35" s="21">
        <v>388919.0</v>
      </c>
      <c r="R35" s="21">
        <v>104243.0</v>
      </c>
      <c r="S35" s="21">
        <v>0.0</v>
      </c>
      <c r="T35" s="21">
        <v>0.0</v>
      </c>
      <c r="U35" s="21">
        <v>0.0</v>
      </c>
      <c r="V35" s="21">
        <v>0.0</v>
      </c>
      <c r="W35" s="21">
        <v>81910.0</v>
      </c>
      <c r="X35" s="21">
        <v>585705.0</v>
      </c>
      <c r="Y35" s="21"/>
      <c r="Z35" s="21"/>
      <c r="AA35" s="21"/>
      <c r="AB35" s="21"/>
      <c r="AC35" s="21"/>
      <c r="AD35" s="21"/>
      <c r="AE35" s="21"/>
    </row>
    <row r="36" ht="18.0" hidden="1" customHeight="1" outlineLevel="1">
      <c r="A36" s="21"/>
      <c r="B36" s="40" t="s">
        <v>51</v>
      </c>
      <c r="C36" s="41" t="s">
        <v>46</v>
      </c>
      <c r="D36" s="42">
        <v>0.0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2"/>
      <c r="K36" s="42">
        <v>0.0</v>
      </c>
      <c r="L36" s="42">
        <v>0.0</v>
      </c>
      <c r="M36" s="71"/>
      <c r="N36" s="42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ht="18.0" hidden="1" customHeight="1" outlineLevel="1">
      <c r="A37" s="21"/>
      <c r="B37" s="40"/>
      <c r="C37" s="43" t="s">
        <v>41</v>
      </c>
      <c r="D37" s="44">
        <v>1035455.0</v>
      </c>
      <c r="E37" s="44">
        <v>0.0</v>
      </c>
      <c r="F37" s="44">
        <v>0.0</v>
      </c>
      <c r="G37" s="44">
        <v>160.0</v>
      </c>
      <c r="H37" s="44">
        <v>640.0</v>
      </c>
      <c r="I37" s="44">
        <v>0.0</v>
      </c>
      <c r="J37" s="44">
        <v>0.0</v>
      </c>
      <c r="K37" s="44">
        <v>0.0</v>
      </c>
      <c r="L37" s="44">
        <v>1036255.0</v>
      </c>
      <c r="M37" s="72"/>
      <c r="N37" s="44">
        <v>1241935.0</v>
      </c>
      <c r="O37" s="21"/>
      <c r="P37" s="21">
        <v>1035455.0</v>
      </c>
      <c r="Q37" s="21">
        <v>0.0</v>
      </c>
      <c r="R37" s="21">
        <v>0.0</v>
      </c>
      <c r="S37" s="21">
        <v>160.0</v>
      </c>
      <c r="T37" s="21">
        <v>640.0</v>
      </c>
      <c r="U37" s="21">
        <v>0.0</v>
      </c>
      <c r="V37" s="21">
        <v>0.0</v>
      </c>
      <c r="W37" s="21">
        <v>0.0</v>
      </c>
      <c r="X37" s="21">
        <v>1036255.0</v>
      </c>
      <c r="Y37" s="21"/>
      <c r="Z37" s="21"/>
      <c r="AA37" s="21"/>
      <c r="AB37" s="21"/>
      <c r="AC37" s="21"/>
      <c r="AD37" s="21"/>
      <c r="AE37" s="21"/>
    </row>
    <row r="38" ht="18.0" hidden="1" customHeight="1" outlineLevel="1">
      <c r="A38" s="21"/>
      <c r="B38" s="40" t="s">
        <v>52</v>
      </c>
      <c r="C38" s="41" t="s">
        <v>46</v>
      </c>
      <c r="D38" s="42">
        <v>0.0</v>
      </c>
      <c r="E38" s="42">
        <v>0.0</v>
      </c>
      <c r="F38" s="42">
        <v>0.0</v>
      </c>
      <c r="G38" s="42">
        <v>0.0</v>
      </c>
      <c r="H38" s="42">
        <v>0.0</v>
      </c>
      <c r="I38" s="42">
        <v>0.0</v>
      </c>
      <c r="J38" s="42"/>
      <c r="K38" s="42">
        <v>0.0</v>
      </c>
      <c r="L38" s="42">
        <v>0.0</v>
      </c>
      <c r="M38" s="72"/>
      <c r="N38" s="44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ht="18.0" hidden="1" customHeight="1" outlineLevel="1">
      <c r="A39" s="21"/>
      <c r="B39" s="40"/>
      <c r="C39" s="43" t="s">
        <v>41</v>
      </c>
      <c r="D39" s="44">
        <v>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4">
        <v>0.0</v>
      </c>
      <c r="K39" s="44">
        <v>0.0</v>
      </c>
      <c r="L39" s="44">
        <v>0.0</v>
      </c>
      <c r="M39" s="72"/>
      <c r="N39" s="44">
        <v>0.0</v>
      </c>
      <c r="O39" s="21"/>
      <c r="P39" s="21">
        <v>0.0</v>
      </c>
      <c r="Q39" s="21">
        <v>0.0</v>
      </c>
      <c r="R39" s="21">
        <v>0.0</v>
      </c>
      <c r="S39" s="21">
        <v>0.0</v>
      </c>
      <c r="T39" s="21">
        <v>0.0</v>
      </c>
      <c r="U39" s="21">
        <v>0.0</v>
      </c>
      <c r="V39" s="21">
        <v>0.0</v>
      </c>
      <c r="W39" s="21">
        <v>0.0</v>
      </c>
      <c r="X39" s="21">
        <v>0.0</v>
      </c>
      <c r="Y39" s="21"/>
      <c r="Z39" s="21"/>
      <c r="AA39" s="21"/>
      <c r="AB39" s="21"/>
      <c r="AC39" s="21"/>
      <c r="AD39" s="21"/>
      <c r="AE39" s="21"/>
    </row>
    <row r="40" ht="18.0" hidden="1" customHeight="1" outlineLevel="1">
      <c r="A40" s="21"/>
      <c r="B40" s="40" t="s">
        <v>53</v>
      </c>
      <c r="C40" s="41" t="s">
        <v>46</v>
      </c>
      <c r="D40" s="42">
        <v>1200000.0</v>
      </c>
      <c r="E40" s="42">
        <v>32250.0</v>
      </c>
      <c r="F40" s="42">
        <v>0.0</v>
      </c>
      <c r="G40" s="42">
        <v>0.0</v>
      </c>
      <c r="H40" s="42">
        <v>0.0</v>
      </c>
      <c r="I40" s="42">
        <v>0.0</v>
      </c>
      <c r="J40" s="42"/>
      <c r="K40" s="42">
        <v>0.0</v>
      </c>
      <c r="L40" s="42">
        <v>1232250.0</v>
      </c>
      <c r="M40" s="71"/>
      <c r="N40" s="42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ht="18.0" hidden="1" customHeight="1" outlineLevel="1">
      <c r="A41" s="21"/>
      <c r="B41" s="40"/>
      <c r="C41" s="43" t="s">
        <v>41</v>
      </c>
      <c r="D41" s="44">
        <v>0.0</v>
      </c>
      <c r="E41" s="44">
        <v>0.0</v>
      </c>
      <c r="F41" s="44">
        <v>0.0</v>
      </c>
      <c r="G41" s="44">
        <v>0.0</v>
      </c>
      <c r="H41" s="44">
        <v>0.0</v>
      </c>
      <c r="I41" s="44">
        <v>0.0</v>
      </c>
      <c r="J41" s="44">
        <v>0.0</v>
      </c>
      <c r="K41" s="44">
        <v>0.0</v>
      </c>
      <c r="L41" s="44">
        <v>0.0</v>
      </c>
      <c r="M41" s="72"/>
      <c r="N41" s="44">
        <v>0.0</v>
      </c>
      <c r="O41" s="21"/>
      <c r="P41" s="21">
        <v>-1200000.0</v>
      </c>
      <c r="Q41" s="21">
        <v>-32250.0</v>
      </c>
      <c r="R41" s="21">
        <v>0.0</v>
      </c>
      <c r="S41" s="21">
        <v>0.0</v>
      </c>
      <c r="T41" s="21">
        <v>0.0</v>
      </c>
      <c r="U41" s="21">
        <v>0.0</v>
      </c>
      <c r="V41" s="21">
        <v>0.0</v>
      </c>
      <c r="W41" s="21">
        <v>0.0</v>
      </c>
      <c r="X41" s="21">
        <v>-1232250.0</v>
      </c>
      <c r="Y41" s="21"/>
      <c r="Z41" s="21"/>
      <c r="AA41" s="21"/>
      <c r="AB41" s="21"/>
      <c r="AC41" s="21"/>
      <c r="AD41" s="21"/>
      <c r="AE41" s="21"/>
    </row>
    <row r="42" ht="18.0" hidden="1" customHeight="1" outlineLevel="1">
      <c r="A42" s="21"/>
      <c r="B42" s="40" t="s">
        <v>54</v>
      </c>
      <c r="C42" s="41" t="s">
        <v>46</v>
      </c>
      <c r="D42" s="42">
        <v>0.0</v>
      </c>
      <c r="E42" s="42">
        <v>0.0</v>
      </c>
      <c r="F42" s="42">
        <v>0.0</v>
      </c>
      <c r="G42" s="42">
        <v>0.0</v>
      </c>
      <c r="H42" s="42">
        <v>0.0</v>
      </c>
      <c r="I42" s="42">
        <v>0.0</v>
      </c>
      <c r="J42" s="42"/>
      <c r="K42" s="42">
        <v>0.0</v>
      </c>
      <c r="L42" s="42">
        <v>0.0</v>
      </c>
      <c r="M42" s="71"/>
      <c r="N42" s="42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ht="18.0" hidden="1" customHeight="1" outlineLevel="1">
      <c r="A43" s="21"/>
      <c r="B43" s="40"/>
      <c r="C43" s="43" t="s">
        <v>41</v>
      </c>
      <c r="D43" s="44">
        <v>0.0</v>
      </c>
      <c r="E43" s="44">
        <v>0.0</v>
      </c>
      <c r="F43" s="44">
        <v>0.0</v>
      </c>
      <c r="G43" s="44">
        <v>0.0</v>
      </c>
      <c r="H43" s="44">
        <v>0.0</v>
      </c>
      <c r="I43" s="44">
        <v>0.0</v>
      </c>
      <c r="J43" s="44">
        <v>0.0</v>
      </c>
      <c r="K43" s="44">
        <v>0.0</v>
      </c>
      <c r="L43" s="44">
        <v>0.0</v>
      </c>
      <c r="M43" s="72"/>
      <c r="N43" s="44">
        <v>0.0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ht="18.0" customHeight="1" collapsed="1">
      <c r="A44" s="21"/>
      <c r="B44" s="21" t="s">
        <v>29</v>
      </c>
      <c r="C44" s="4" t="s">
        <v>46</v>
      </c>
      <c r="D44" s="24">
        <v>4573163.3</v>
      </c>
      <c r="E44" s="24">
        <v>4503338.2</v>
      </c>
      <c r="F44" s="24">
        <v>1.136906077E7</v>
      </c>
      <c r="G44" s="24">
        <v>2317177.56</v>
      </c>
      <c r="H44" s="24">
        <v>2683972.235</v>
      </c>
      <c r="I44" s="24">
        <v>1720577.323</v>
      </c>
      <c r="J44" s="24">
        <v>0.0</v>
      </c>
      <c r="K44" s="24">
        <v>2968291.0</v>
      </c>
      <c r="L44" s="24">
        <v>3.0135580388E7</v>
      </c>
      <c r="M44" s="71"/>
      <c r="N44" s="24">
        <v>0.0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ht="18.0" customHeight="1">
      <c r="A45" s="21"/>
      <c r="B45" s="21"/>
      <c r="C45" s="38" t="s">
        <v>41</v>
      </c>
      <c r="D45" s="39">
        <v>4280964.0</v>
      </c>
      <c r="E45" s="39">
        <v>4104648.0</v>
      </c>
      <c r="F45" s="39">
        <v>1.1592496E7</v>
      </c>
      <c r="G45" s="39">
        <v>1968025.0</v>
      </c>
      <c r="H45" s="39">
        <v>3307465.0</v>
      </c>
      <c r="I45" s="39">
        <v>1799928.0</v>
      </c>
      <c r="J45" s="39">
        <v>0.0</v>
      </c>
      <c r="K45" s="39">
        <v>2404366.0</v>
      </c>
      <c r="L45" s="39">
        <v>2.9457892E7</v>
      </c>
      <c r="M45" s="72"/>
      <c r="N45" s="39">
        <v>373237.0</v>
      </c>
      <c r="O45" s="21"/>
      <c r="P45" s="21">
        <v>-292199.2999999998</v>
      </c>
      <c r="Q45" s="21">
        <v>-398690.2000000002</v>
      </c>
      <c r="R45" s="21">
        <v>223435.23000000045</v>
      </c>
      <c r="S45" s="21">
        <v>-349152.56000000006</v>
      </c>
      <c r="T45" s="21">
        <v>623492.7650000001</v>
      </c>
      <c r="U45" s="21">
        <v>79350.67699999991</v>
      </c>
      <c r="V45" s="21">
        <v>0.0</v>
      </c>
      <c r="W45" s="21">
        <v>-563925.0</v>
      </c>
      <c r="X45" s="21">
        <v>-677688.3880000003</v>
      </c>
      <c r="Y45" s="21"/>
      <c r="Z45" s="21"/>
      <c r="AA45" s="21"/>
      <c r="AB45" s="21"/>
      <c r="AC45" s="21"/>
      <c r="AD45" s="21"/>
      <c r="AE45" s="21"/>
    </row>
    <row r="46" ht="18.0" hidden="1" customHeight="1" outlineLevel="1">
      <c r="A46" s="45"/>
      <c r="B46" s="46" t="s">
        <v>55</v>
      </c>
      <c r="C46" s="47" t="s">
        <v>46</v>
      </c>
      <c r="D46" s="48">
        <v>21951.0</v>
      </c>
      <c r="E46" s="48">
        <v>1510.0</v>
      </c>
      <c r="F46" s="48">
        <v>50000.0</v>
      </c>
      <c r="G46" s="48">
        <v>12477.0</v>
      </c>
      <c r="H46" s="48">
        <v>3000.0</v>
      </c>
      <c r="I46" s="48">
        <v>23000.0</v>
      </c>
      <c r="J46" s="48"/>
      <c r="K46" s="48">
        <v>20000.0</v>
      </c>
      <c r="L46" s="48">
        <v>131938.0</v>
      </c>
      <c r="M46" s="71"/>
      <c r="N46" s="48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ht="18.0" hidden="1" customHeight="1" outlineLevel="1">
      <c r="A47" s="45"/>
      <c r="B47" s="46"/>
      <c r="C47" s="49" t="s">
        <v>41</v>
      </c>
      <c r="D47" s="50">
        <v>20000.0</v>
      </c>
      <c r="E47" s="50">
        <v>0.0</v>
      </c>
      <c r="F47" s="50">
        <v>20000.0</v>
      </c>
      <c r="G47" s="50">
        <v>0.0</v>
      </c>
      <c r="H47" s="50">
        <v>0.0</v>
      </c>
      <c r="I47" s="50">
        <v>20000.0</v>
      </c>
      <c r="J47" s="50">
        <v>0.0</v>
      </c>
      <c r="K47" s="50">
        <v>0.0</v>
      </c>
      <c r="L47" s="50">
        <v>60000.0</v>
      </c>
      <c r="M47" s="72"/>
      <c r="N47" s="50">
        <v>0.0</v>
      </c>
      <c r="O47" s="21"/>
      <c r="P47" s="21">
        <v>-1951.0</v>
      </c>
      <c r="Q47" s="21">
        <v>-1510.0</v>
      </c>
      <c r="R47" s="21">
        <v>-30000.0</v>
      </c>
      <c r="S47" s="21">
        <v>-12477.0</v>
      </c>
      <c r="T47" s="21">
        <v>-3000.0</v>
      </c>
      <c r="U47" s="21">
        <v>-3000.0</v>
      </c>
      <c r="V47" s="21">
        <v>0.0</v>
      </c>
      <c r="W47" s="21">
        <v>-20000.0</v>
      </c>
      <c r="X47" s="21">
        <v>-71938.0</v>
      </c>
      <c r="Y47" s="21"/>
      <c r="Z47" s="21"/>
      <c r="AA47" s="21"/>
      <c r="AB47" s="21"/>
      <c r="AC47" s="21"/>
      <c r="AD47" s="21"/>
      <c r="AE47" s="21"/>
    </row>
    <row r="48" ht="18.0" hidden="1" customHeight="1" outlineLevel="1">
      <c r="A48" s="45"/>
      <c r="B48" s="46" t="s">
        <v>56</v>
      </c>
      <c r="C48" s="47" t="s">
        <v>46</v>
      </c>
      <c r="D48" s="48">
        <v>236120.0</v>
      </c>
      <c r="E48" s="48">
        <v>256400.0</v>
      </c>
      <c r="F48" s="48">
        <v>638872.143</v>
      </c>
      <c r="G48" s="48">
        <v>182726.5</v>
      </c>
      <c r="H48" s="48">
        <v>181021.5</v>
      </c>
      <c r="I48" s="48">
        <v>160299.5134</v>
      </c>
      <c r="J48" s="48"/>
      <c r="K48" s="48">
        <v>96000.0</v>
      </c>
      <c r="L48" s="48">
        <v>1751439.6564000002</v>
      </c>
      <c r="M48" s="71"/>
      <c r="N48" s="48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ht="18.0" hidden="1" customHeight="1" outlineLevel="1">
      <c r="A49" s="45"/>
      <c r="B49" s="46"/>
      <c r="C49" s="49" t="s">
        <v>41</v>
      </c>
      <c r="D49" s="50">
        <v>379652.0</v>
      </c>
      <c r="E49" s="50">
        <v>401571.0</v>
      </c>
      <c r="F49" s="50">
        <v>942355.0</v>
      </c>
      <c r="G49" s="50">
        <v>328764.0</v>
      </c>
      <c r="H49" s="50">
        <v>400922.0</v>
      </c>
      <c r="I49" s="50">
        <v>205179.0</v>
      </c>
      <c r="J49" s="50">
        <v>0.0</v>
      </c>
      <c r="K49" s="50">
        <v>99662.0</v>
      </c>
      <c r="L49" s="50">
        <v>2758105.0</v>
      </c>
      <c r="M49" s="72"/>
      <c r="N49" s="50">
        <v>0.0</v>
      </c>
      <c r="O49" s="21"/>
      <c r="P49" s="21">
        <v>143532.0</v>
      </c>
      <c r="Q49" s="21">
        <v>145171.0</v>
      </c>
      <c r="R49" s="21">
        <v>303482.85699999996</v>
      </c>
      <c r="S49" s="21">
        <v>146037.5</v>
      </c>
      <c r="T49" s="21">
        <v>219900.5</v>
      </c>
      <c r="U49" s="21">
        <v>44879.486600000004</v>
      </c>
      <c r="V49" s="21">
        <v>0.0</v>
      </c>
      <c r="W49" s="21">
        <v>3662.0</v>
      </c>
      <c r="X49" s="21">
        <v>1006665.3435999998</v>
      </c>
      <c r="Y49" s="21"/>
      <c r="Z49" s="21"/>
      <c r="AA49" s="21"/>
      <c r="AB49" s="21"/>
      <c r="AC49" s="21"/>
      <c r="AD49" s="21"/>
      <c r="AE49" s="21"/>
    </row>
    <row r="50" ht="18.0" hidden="1" customHeight="1" outlineLevel="1">
      <c r="A50" s="21"/>
      <c r="B50" s="46" t="s">
        <v>57</v>
      </c>
      <c r="C50" s="47" t="s">
        <v>46</v>
      </c>
      <c r="D50" s="48">
        <v>823526.0000000001</v>
      </c>
      <c r="E50" s="48">
        <v>661572.0</v>
      </c>
      <c r="F50" s="48">
        <v>2064048.4620000003</v>
      </c>
      <c r="G50" s="48">
        <v>582394.56</v>
      </c>
      <c r="H50" s="48">
        <v>793200.485</v>
      </c>
      <c r="I50" s="48">
        <v>522595.7828000001</v>
      </c>
      <c r="J50" s="48"/>
      <c r="K50" s="48">
        <v>355200.0</v>
      </c>
      <c r="L50" s="48">
        <v>5802537.2898</v>
      </c>
      <c r="M50" s="71"/>
      <c r="N50" s="48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ht="18.0" hidden="1" customHeight="1" outlineLevel="1">
      <c r="A51" s="21"/>
      <c r="B51" s="46"/>
      <c r="C51" s="49" t="s">
        <v>41</v>
      </c>
      <c r="D51" s="50">
        <v>977818.0</v>
      </c>
      <c r="E51" s="50">
        <v>412264.0</v>
      </c>
      <c r="F51" s="50">
        <v>2368033.0</v>
      </c>
      <c r="G51" s="50">
        <v>579981.0</v>
      </c>
      <c r="H51" s="50">
        <v>840177.0</v>
      </c>
      <c r="I51" s="50">
        <v>493299.0</v>
      </c>
      <c r="J51" s="50">
        <v>0.0</v>
      </c>
      <c r="K51" s="50">
        <v>206959.0</v>
      </c>
      <c r="L51" s="50">
        <v>5878531.0</v>
      </c>
      <c r="M51" s="72"/>
      <c r="N51" s="50">
        <v>0.0</v>
      </c>
      <c r="O51" s="21"/>
      <c r="P51" s="21">
        <v>154291.99999999988</v>
      </c>
      <c r="Q51" s="21">
        <v>-249308.0</v>
      </c>
      <c r="R51" s="21">
        <v>303984.5379999997</v>
      </c>
      <c r="S51" s="21">
        <v>-2413.560000000056</v>
      </c>
      <c r="T51" s="21">
        <v>46976.515000000014</v>
      </c>
      <c r="U51" s="21">
        <v>-29296.782800000103</v>
      </c>
      <c r="V51" s="21">
        <v>0.0</v>
      </c>
      <c r="W51" s="21">
        <v>-148241.0</v>
      </c>
      <c r="X51" s="21">
        <v>75993.71019999962</v>
      </c>
      <c r="Y51" s="21"/>
      <c r="Z51" s="21"/>
      <c r="AA51" s="21"/>
      <c r="AB51" s="21"/>
      <c r="AC51" s="21"/>
      <c r="AD51" s="21"/>
      <c r="AE51" s="21"/>
    </row>
    <row r="52" ht="18.0" hidden="1" customHeight="1" outlineLevel="1">
      <c r="A52" s="21"/>
      <c r="B52" s="46" t="s">
        <v>58</v>
      </c>
      <c r="C52" s="47" t="s">
        <v>46</v>
      </c>
      <c r="D52" s="48">
        <v>0.0</v>
      </c>
      <c r="E52" s="48">
        <v>0.0</v>
      </c>
      <c r="F52" s="48">
        <v>0.0</v>
      </c>
      <c r="G52" s="48">
        <v>0.0</v>
      </c>
      <c r="H52" s="48">
        <v>0.0</v>
      </c>
      <c r="I52" s="48">
        <v>0.0</v>
      </c>
      <c r="J52" s="48"/>
      <c r="K52" s="48">
        <v>0.0</v>
      </c>
      <c r="L52" s="48">
        <v>0.0</v>
      </c>
      <c r="M52" s="71"/>
      <c r="N52" s="48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ht="18.0" hidden="1" customHeight="1" outlineLevel="1">
      <c r="A53" s="21"/>
      <c r="B53" s="46"/>
      <c r="C53" s="49" t="s">
        <v>41</v>
      </c>
      <c r="D53" s="50">
        <v>0.0</v>
      </c>
      <c r="E53" s="50">
        <v>0.0</v>
      </c>
      <c r="F53" s="50">
        <v>0.0</v>
      </c>
      <c r="G53" s="50">
        <v>0.0</v>
      </c>
      <c r="H53" s="50">
        <v>0.0</v>
      </c>
      <c r="I53" s="50">
        <v>0.0</v>
      </c>
      <c r="J53" s="50">
        <v>0.0</v>
      </c>
      <c r="K53" s="50">
        <v>0.0</v>
      </c>
      <c r="L53" s="50">
        <v>0.0</v>
      </c>
      <c r="M53" s="72"/>
      <c r="N53" s="50">
        <v>0.0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ht="18.0" hidden="1" customHeight="1" outlineLevel="1">
      <c r="A54" s="21"/>
      <c r="B54" s="46" t="s">
        <v>59</v>
      </c>
      <c r="C54" s="47" t="s">
        <v>46</v>
      </c>
      <c r="D54" s="48">
        <v>204180.0</v>
      </c>
      <c r="E54" s="48">
        <v>234600.0</v>
      </c>
      <c r="F54" s="48">
        <v>737160.1649999999</v>
      </c>
      <c r="G54" s="48">
        <v>82726.5</v>
      </c>
      <c r="H54" s="48">
        <v>121532.25</v>
      </c>
      <c r="I54" s="48">
        <v>120599.0268</v>
      </c>
      <c r="J54" s="48"/>
      <c r="K54" s="48">
        <v>144000.0</v>
      </c>
      <c r="L54" s="48">
        <v>1644797.9418000001</v>
      </c>
      <c r="M54" s="71"/>
      <c r="N54" s="48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ht="18.0" hidden="1" customHeight="1" outlineLevel="1">
      <c r="A55" s="21"/>
      <c r="B55" s="46"/>
      <c r="C55" s="49" t="s">
        <v>41</v>
      </c>
      <c r="D55" s="50">
        <v>222525.0</v>
      </c>
      <c r="E55" s="50">
        <v>260731.0</v>
      </c>
      <c r="F55" s="50">
        <v>508204.0</v>
      </c>
      <c r="G55" s="50">
        <v>18563.0</v>
      </c>
      <c r="H55" s="50">
        <v>16168.0</v>
      </c>
      <c r="I55" s="50">
        <v>25186.0</v>
      </c>
      <c r="J55" s="50">
        <v>0.0</v>
      </c>
      <c r="K55" s="50">
        <v>93241.0</v>
      </c>
      <c r="L55" s="50">
        <v>1144618.0</v>
      </c>
      <c r="M55" s="72"/>
      <c r="N55" s="50">
        <v>0.0</v>
      </c>
      <c r="O55" s="21"/>
      <c r="P55" s="21">
        <v>18345.0</v>
      </c>
      <c r="Q55" s="21">
        <v>26131.0</v>
      </c>
      <c r="R55" s="21">
        <v>-228956.16499999992</v>
      </c>
      <c r="S55" s="21">
        <v>-64163.5</v>
      </c>
      <c r="T55" s="21">
        <v>-105364.25</v>
      </c>
      <c r="U55" s="21">
        <v>-95413.0268</v>
      </c>
      <c r="V55" s="21">
        <v>0.0</v>
      </c>
      <c r="W55" s="21">
        <v>-50759.0</v>
      </c>
      <c r="X55" s="21">
        <v>-500179.94180000015</v>
      </c>
      <c r="Y55" s="21"/>
      <c r="Z55" s="21"/>
      <c r="AA55" s="21"/>
      <c r="AB55" s="21"/>
      <c r="AC55" s="21"/>
      <c r="AD55" s="21"/>
      <c r="AE55" s="21"/>
    </row>
    <row r="56" ht="18.0" hidden="1" customHeight="1" outlineLevel="1">
      <c r="A56" s="21"/>
      <c r="B56" s="46" t="s">
        <v>60</v>
      </c>
      <c r="C56" s="47" t="s">
        <v>46</v>
      </c>
      <c r="D56" s="48">
        <v>914444.3</v>
      </c>
      <c r="E56" s="48">
        <v>1135048.2000000002</v>
      </c>
      <c r="F56" s="48">
        <v>2959238.0</v>
      </c>
      <c r="G56" s="48">
        <v>800000.0</v>
      </c>
      <c r="H56" s="48">
        <v>1033064.0</v>
      </c>
      <c r="I56" s="48">
        <v>152532.0</v>
      </c>
      <c r="J56" s="48"/>
      <c r="K56" s="48">
        <v>1005285.0</v>
      </c>
      <c r="L56" s="48">
        <v>7999611.5</v>
      </c>
      <c r="M56" s="71"/>
      <c r="N56" s="48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ht="18.0" hidden="1" customHeight="1" outlineLevel="1">
      <c r="A57" s="21"/>
      <c r="B57" s="46"/>
      <c r="C57" s="49" t="s">
        <v>41</v>
      </c>
      <c r="D57" s="50">
        <v>710155.0</v>
      </c>
      <c r="E57" s="50">
        <v>913852.0</v>
      </c>
      <c r="F57" s="50">
        <v>3152867.0</v>
      </c>
      <c r="G57" s="50">
        <v>437654.0</v>
      </c>
      <c r="H57" s="50">
        <v>1325391.0</v>
      </c>
      <c r="I57" s="50">
        <v>104650.0</v>
      </c>
      <c r="J57" s="50">
        <v>0.0</v>
      </c>
      <c r="K57" s="50">
        <v>1084012.0</v>
      </c>
      <c r="L57" s="50">
        <v>7728581.0</v>
      </c>
      <c r="M57" s="72"/>
      <c r="N57" s="50">
        <v>4482.0</v>
      </c>
      <c r="O57" s="21"/>
      <c r="P57" s="21">
        <v>-204289.30000000005</v>
      </c>
      <c r="Q57" s="21">
        <v>-221196.2000000002</v>
      </c>
      <c r="R57" s="21">
        <v>193629.0</v>
      </c>
      <c r="S57" s="21">
        <v>-362346.0</v>
      </c>
      <c r="T57" s="21">
        <v>292327.0</v>
      </c>
      <c r="U57" s="21">
        <v>-47882.0</v>
      </c>
      <c r="V57" s="21">
        <v>0.0</v>
      </c>
      <c r="W57" s="21">
        <v>78727.0</v>
      </c>
      <c r="X57" s="21">
        <v>-271030.5</v>
      </c>
      <c r="Y57" s="21"/>
      <c r="Z57" s="21"/>
      <c r="AA57" s="21"/>
      <c r="AB57" s="21"/>
      <c r="AC57" s="21"/>
      <c r="AD57" s="21"/>
      <c r="AE57" s="21"/>
    </row>
    <row r="58" ht="18.0" hidden="1" customHeight="1" outlineLevel="1">
      <c r="A58" s="21"/>
      <c r="B58" s="46" t="s">
        <v>61</v>
      </c>
      <c r="C58" s="47" t="s">
        <v>46</v>
      </c>
      <c r="D58" s="48">
        <v>187500.0</v>
      </c>
      <c r="E58" s="48">
        <v>110000.0</v>
      </c>
      <c r="F58" s="48">
        <v>110000.0</v>
      </c>
      <c r="G58" s="48">
        <v>60000.0</v>
      </c>
      <c r="H58" s="48">
        <v>50000.0</v>
      </c>
      <c r="I58" s="48">
        <v>60000.0</v>
      </c>
      <c r="J58" s="48"/>
      <c r="K58" s="48">
        <v>100000.0</v>
      </c>
      <c r="L58" s="48">
        <v>677500.0</v>
      </c>
      <c r="M58" s="71"/>
      <c r="N58" s="48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 ht="18.0" hidden="1" customHeight="1" outlineLevel="1">
      <c r="A59" s="21"/>
      <c r="B59" s="46"/>
      <c r="C59" s="49" t="s">
        <v>41</v>
      </c>
      <c r="D59" s="50">
        <v>190313.0</v>
      </c>
      <c r="E59" s="50">
        <v>110000.0</v>
      </c>
      <c r="F59" s="50">
        <v>110000.0</v>
      </c>
      <c r="G59" s="50">
        <v>60000.0</v>
      </c>
      <c r="H59" s="50">
        <v>50000.0</v>
      </c>
      <c r="I59" s="50">
        <v>60000.0</v>
      </c>
      <c r="J59" s="50">
        <v>0.0</v>
      </c>
      <c r="K59" s="50">
        <v>100000.0</v>
      </c>
      <c r="L59" s="50">
        <v>680313.0</v>
      </c>
      <c r="M59" s="72"/>
      <c r="N59" s="50">
        <v>0.0</v>
      </c>
      <c r="O59" s="21"/>
      <c r="P59" s="21">
        <v>2813.0</v>
      </c>
      <c r="Q59" s="21">
        <v>0.0</v>
      </c>
      <c r="R59" s="21">
        <v>0.0</v>
      </c>
      <c r="S59" s="21">
        <v>0.0</v>
      </c>
      <c r="T59" s="21">
        <v>0.0</v>
      </c>
      <c r="U59" s="21">
        <v>0.0</v>
      </c>
      <c r="V59" s="21">
        <v>0.0</v>
      </c>
      <c r="W59" s="21">
        <v>0.0</v>
      </c>
      <c r="X59" s="21">
        <v>2813.0</v>
      </c>
      <c r="Y59" s="21"/>
      <c r="Z59" s="21"/>
      <c r="AA59" s="21"/>
      <c r="AB59" s="21"/>
      <c r="AC59" s="21"/>
      <c r="AD59" s="21"/>
      <c r="AE59" s="21"/>
    </row>
    <row r="60" ht="18.0" hidden="1" customHeight="1" outlineLevel="1">
      <c r="A60" s="21"/>
      <c r="B60" s="46" t="s">
        <v>62</v>
      </c>
      <c r="C60" s="47" t="s">
        <v>46</v>
      </c>
      <c r="D60" s="48">
        <v>0.0</v>
      </c>
      <c r="E60" s="48">
        <v>0.0</v>
      </c>
      <c r="F60" s="48">
        <v>0.0</v>
      </c>
      <c r="G60" s="48">
        <v>0.0</v>
      </c>
      <c r="H60" s="48">
        <v>0.0</v>
      </c>
      <c r="I60" s="48">
        <v>0.0</v>
      </c>
      <c r="J60" s="48"/>
      <c r="K60" s="48">
        <v>0.0</v>
      </c>
      <c r="L60" s="48">
        <v>0.0</v>
      </c>
      <c r="M60" s="71"/>
      <c r="N60" s="48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ht="18.0" hidden="1" customHeight="1" outlineLevel="1">
      <c r="A61" s="21"/>
      <c r="B61" s="46"/>
      <c r="C61" s="49" t="s">
        <v>41</v>
      </c>
      <c r="D61" s="50">
        <v>0.0</v>
      </c>
      <c r="E61" s="50">
        <v>0.0</v>
      </c>
      <c r="F61" s="50">
        <v>0.0</v>
      </c>
      <c r="G61" s="50">
        <v>0.0</v>
      </c>
      <c r="H61" s="50">
        <v>0.0</v>
      </c>
      <c r="I61" s="50">
        <v>0.0</v>
      </c>
      <c r="J61" s="50">
        <v>0.0</v>
      </c>
      <c r="K61" s="50">
        <v>0.0</v>
      </c>
      <c r="L61" s="50">
        <v>0.0</v>
      </c>
      <c r="M61" s="72"/>
      <c r="N61" s="50">
        <v>0.0</v>
      </c>
      <c r="O61" s="21"/>
      <c r="P61" s="21">
        <v>0.0</v>
      </c>
      <c r="Q61" s="21">
        <v>0.0</v>
      </c>
      <c r="R61" s="21">
        <v>0.0</v>
      </c>
      <c r="S61" s="21">
        <v>0.0</v>
      </c>
      <c r="T61" s="21">
        <v>0.0</v>
      </c>
      <c r="U61" s="21">
        <v>0.0</v>
      </c>
      <c r="V61" s="21">
        <v>0.0</v>
      </c>
      <c r="W61" s="21">
        <v>0.0</v>
      </c>
      <c r="X61" s="21">
        <v>0.0</v>
      </c>
      <c r="Y61" s="21"/>
      <c r="Z61" s="21"/>
      <c r="AA61" s="21"/>
      <c r="AB61" s="21"/>
      <c r="AC61" s="21"/>
      <c r="AD61" s="21"/>
      <c r="AE61" s="21"/>
    </row>
    <row r="62" ht="18.0" hidden="1" customHeight="1" outlineLevel="1">
      <c r="A62" s="21"/>
      <c r="B62" s="46" t="s">
        <v>63</v>
      </c>
      <c r="C62" s="47" t="s">
        <v>46</v>
      </c>
      <c r="D62" s="48">
        <v>275000.0</v>
      </c>
      <c r="E62" s="48">
        <v>750000.0</v>
      </c>
      <c r="F62" s="48">
        <v>490000.0</v>
      </c>
      <c r="G62" s="48">
        <v>30000.0</v>
      </c>
      <c r="H62" s="48">
        <v>30000.0</v>
      </c>
      <c r="I62" s="48">
        <v>130000.0</v>
      </c>
      <c r="J62" s="48"/>
      <c r="K62" s="48">
        <v>0.0</v>
      </c>
      <c r="L62" s="48">
        <v>1705000.0</v>
      </c>
      <c r="M62" s="71"/>
      <c r="N62" s="48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ht="18.0" hidden="1" customHeight="1" outlineLevel="1">
      <c r="A63" s="21"/>
      <c r="B63" s="46"/>
      <c r="C63" s="49" t="s">
        <v>41</v>
      </c>
      <c r="D63" s="50">
        <v>275000.0</v>
      </c>
      <c r="E63" s="50">
        <v>750000.0</v>
      </c>
      <c r="F63" s="50">
        <v>490000.0</v>
      </c>
      <c r="G63" s="50">
        <v>30000.0</v>
      </c>
      <c r="H63" s="50">
        <v>30000.0</v>
      </c>
      <c r="I63" s="50">
        <v>130000.0</v>
      </c>
      <c r="J63" s="50">
        <v>0.0</v>
      </c>
      <c r="K63" s="50">
        <v>0.0</v>
      </c>
      <c r="L63" s="50">
        <v>1705000.0</v>
      </c>
      <c r="M63" s="72"/>
      <c r="N63" s="50">
        <v>0.0</v>
      </c>
      <c r="O63" s="21"/>
      <c r="P63" s="21">
        <v>0.0</v>
      </c>
      <c r="Q63" s="21">
        <v>0.0</v>
      </c>
      <c r="R63" s="21">
        <v>0.0</v>
      </c>
      <c r="S63" s="21">
        <v>0.0</v>
      </c>
      <c r="T63" s="21">
        <v>0.0</v>
      </c>
      <c r="U63" s="21">
        <v>0.0</v>
      </c>
      <c r="V63" s="21">
        <v>0.0</v>
      </c>
      <c r="W63" s="21">
        <v>0.0</v>
      </c>
      <c r="X63" s="21">
        <v>0.0</v>
      </c>
      <c r="Y63" s="21"/>
      <c r="Z63" s="21"/>
      <c r="AA63" s="21"/>
      <c r="AB63" s="21"/>
      <c r="AC63" s="21"/>
      <c r="AD63" s="21"/>
      <c r="AE63" s="21"/>
    </row>
    <row r="64" ht="18.0" hidden="1" customHeight="1" outlineLevel="1">
      <c r="A64" s="21"/>
      <c r="B64" s="46" t="s">
        <v>64</v>
      </c>
      <c r="C64" s="47" t="s">
        <v>46</v>
      </c>
      <c r="D64" s="48">
        <v>209911.0</v>
      </c>
      <c r="E64" s="48">
        <v>100000.0</v>
      </c>
      <c r="F64" s="48">
        <v>250000.0</v>
      </c>
      <c r="G64" s="48">
        <v>130000.0</v>
      </c>
      <c r="H64" s="48">
        <v>40000.0</v>
      </c>
      <c r="I64" s="48">
        <v>44007.0</v>
      </c>
      <c r="J64" s="48"/>
      <c r="K64" s="48">
        <v>50000.0</v>
      </c>
      <c r="L64" s="48">
        <v>823918.0</v>
      </c>
      <c r="M64" s="71"/>
      <c r="N64" s="48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 ht="18.0" hidden="1" customHeight="1" outlineLevel="1">
      <c r="A65" s="21"/>
      <c r="B65" s="46"/>
      <c r="C65" s="49" t="s">
        <v>41</v>
      </c>
      <c r="D65" s="50">
        <v>22647.0</v>
      </c>
      <c r="E65" s="50">
        <v>108586.0</v>
      </c>
      <c r="F65" s="50">
        <v>209780.0</v>
      </c>
      <c r="G65" s="50">
        <v>34235.0</v>
      </c>
      <c r="H65" s="50">
        <v>70558.0</v>
      </c>
      <c r="I65" s="50">
        <v>49072.0</v>
      </c>
      <c r="J65" s="50">
        <v>0.0</v>
      </c>
      <c r="K65" s="50">
        <v>54277.0</v>
      </c>
      <c r="L65" s="50">
        <v>549155.0</v>
      </c>
      <c r="M65" s="72"/>
      <c r="N65" s="50">
        <v>0.0</v>
      </c>
      <c r="O65" s="21"/>
      <c r="P65" s="21">
        <v>-187264.0</v>
      </c>
      <c r="Q65" s="21">
        <v>8586.0</v>
      </c>
      <c r="R65" s="21">
        <v>-40220.0</v>
      </c>
      <c r="S65" s="21">
        <v>-95765.0</v>
      </c>
      <c r="T65" s="21">
        <v>30558.0</v>
      </c>
      <c r="U65" s="21">
        <v>5065.0</v>
      </c>
      <c r="V65" s="21">
        <v>0.0</v>
      </c>
      <c r="W65" s="21">
        <v>4277.0</v>
      </c>
      <c r="X65" s="21">
        <v>-274763.0</v>
      </c>
      <c r="Y65" s="21"/>
      <c r="Z65" s="21"/>
      <c r="AA65" s="21"/>
      <c r="AB65" s="21"/>
      <c r="AC65" s="21"/>
      <c r="AD65" s="21"/>
      <c r="AE65" s="21"/>
    </row>
    <row r="66" ht="18.0" hidden="1" customHeight="1" outlineLevel="1">
      <c r="A66" s="21"/>
      <c r="B66" s="46" t="s">
        <v>65</v>
      </c>
      <c r="C66" s="47" t="s">
        <v>46</v>
      </c>
      <c r="D66" s="48">
        <v>152156.0</v>
      </c>
      <c r="E66" s="48">
        <v>261885.0</v>
      </c>
      <c r="F66" s="48">
        <v>1362636.0</v>
      </c>
      <c r="G66" s="48">
        <v>167165.0</v>
      </c>
      <c r="H66" s="48">
        <v>59176.0</v>
      </c>
      <c r="I66" s="48">
        <v>219185.0</v>
      </c>
      <c r="J66" s="48"/>
      <c r="K66" s="48">
        <v>293747.0</v>
      </c>
      <c r="L66" s="48">
        <v>2515950.0</v>
      </c>
      <c r="M66" s="71"/>
      <c r="N66" s="48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ht="18.0" hidden="1" customHeight="1" outlineLevel="1">
      <c r="A67" s="21"/>
      <c r="B67" s="46"/>
      <c r="C67" s="49" t="s">
        <v>41</v>
      </c>
      <c r="D67" s="50">
        <v>78766.0</v>
      </c>
      <c r="E67" s="50">
        <v>60500.0</v>
      </c>
      <c r="F67" s="50">
        <v>825389.0</v>
      </c>
      <c r="G67" s="50">
        <v>164698.0</v>
      </c>
      <c r="H67" s="50">
        <v>148247.0</v>
      </c>
      <c r="I67" s="50">
        <v>267349.0</v>
      </c>
      <c r="J67" s="50">
        <v>0.0</v>
      </c>
      <c r="K67" s="50">
        <v>64840.0</v>
      </c>
      <c r="L67" s="50">
        <v>1609789.0</v>
      </c>
      <c r="M67" s="72"/>
      <c r="N67" s="50">
        <v>0.0</v>
      </c>
      <c r="O67" s="21"/>
      <c r="P67" s="21">
        <v>-73390.0</v>
      </c>
      <c r="Q67" s="21">
        <v>-201385.0</v>
      </c>
      <c r="R67" s="21">
        <v>-537247.0</v>
      </c>
      <c r="S67" s="21">
        <v>-2467.0</v>
      </c>
      <c r="T67" s="21">
        <v>89071.0</v>
      </c>
      <c r="U67" s="21">
        <v>48164.0</v>
      </c>
      <c r="V67" s="21">
        <v>0.0</v>
      </c>
      <c r="W67" s="21">
        <v>-228907.0</v>
      </c>
      <c r="X67" s="21">
        <v>-906161.0</v>
      </c>
      <c r="Y67" s="21"/>
      <c r="Z67" s="21"/>
      <c r="AA67" s="21"/>
      <c r="AB67" s="21"/>
      <c r="AC67" s="21"/>
      <c r="AD67" s="21"/>
      <c r="AE67" s="21"/>
    </row>
    <row r="68" ht="18.0" hidden="1" customHeight="1" outlineLevel="1">
      <c r="A68" s="21"/>
      <c r="B68" s="46" t="s">
        <v>66</v>
      </c>
      <c r="C68" s="47" t="s">
        <v>46</v>
      </c>
      <c r="D68" s="48">
        <v>620575.0</v>
      </c>
      <c r="E68" s="48">
        <v>544323.0</v>
      </c>
      <c r="F68" s="48">
        <v>2120679.0</v>
      </c>
      <c r="G68" s="48">
        <v>183446.0</v>
      </c>
      <c r="H68" s="48">
        <v>262093.0</v>
      </c>
      <c r="I68" s="48">
        <v>256569.0</v>
      </c>
      <c r="J68" s="48"/>
      <c r="K68" s="48">
        <v>744059.0</v>
      </c>
      <c r="L68" s="48">
        <v>4731744.0</v>
      </c>
      <c r="M68" s="71"/>
      <c r="N68" s="48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ht="18.0" hidden="1" customHeight="1" outlineLevel="1">
      <c r="A69" s="21"/>
      <c r="B69" s="46"/>
      <c r="C69" s="49" t="s">
        <v>41</v>
      </c>
      <c r="D69" s="50">
        <v>491996.0</v>
      </c>
      <c r="E69" s="50">
        <v>491996.0</v>
      </c>
      <c r="F69" s="50">
        <v>2025715.0</v>
      </c>
      <c r="G69" s="50">
        <v>153450.0</v>
      </c>
      <c r="H69" s="50">
        <v>265460.0</v>
      </c>
      <c r="I69" s="50">
        <v>290647.0</v>
      </c>
      <c r="J69" s="50">
        <v>0.0</v>
      </c>
      <c r="K69" s="50">
        <v>554089.0</v>
      </c>
      <c r="L69" s="50">
        <v>4273353.0</v>
      </c>
      <c r="M69" s="72"/>
      <c r="N69" s="50">
        <v>0.0</v>
      </c>
      <c r="O69" s="21"/>
      <c r="P69" s="21">
        <v>-128579.0</v>
      </c>
      <c r="Q69" s="21">
        <v>-52327.0</v>
      </c>
      <c r="R69" s="21">
        <v>-94964.0</v>
      </c>
      <c r="S69" s="21">
        <v>-29996.0</v>
      </c>
      <c r="T69" s="21">
        <v>3367.0</v>
      </c>
      <c r="U69" s="21">
        <v>34078.0</v>
      </c>
      <c r="V69" s="21">
        <v>0.0</v>
      </c>
      <c r="W69" s="21">
        <v>-189970.0</v>
      </c>
      <c r="X69" s="21">
        <v>-458391.0</v>
      </c>
      <c r="Y69" s="21"/>
      <c r="Z69" s="21"/>
      <c r="AA69" s="21"/>
      <c r="AB69" s="21"/>
      <c r="AC69" s="21"/>
      <c r="AD69" s="21"/>
      <c r="AE69" s="21"/>
    </row>
    <row r="70" ht="18.0" hidden="1" customHeight="1" outlineLevel="1">
      <c r="A70" s="21"/>
      <c r="B70" s="46" t="s">
        <v>67</v>
      </c>
      <c r="C70" s="47" t="s">
        <v>46</v>
      </c>
      <c r="D70" s="48">
        <v>4278.0</v>
      </c>
      <c r="E70" s="48">
        <v>0.0</v>
      </c>
      <c r="F70" s="48">
        <v>177842.0</v>
      </c>
      <c r="G70" s="48">
        <v>2367.0</v>
      </c>
      <c r="H70" s="48">
        <v>730.0</v>
      </c>
      <c r="I70" s="48">
        <v>0.0</v>
      </c>
      <c r="J70" s="48"/>
      <c r="K70" s="48">
        <v>0.0</v>
      </c>
      <c r="L70" s="48">
        <v>185217.0</v>
      </c>
      <c r="M70" s="71"/>
      <c r="N70" s="4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ht="18.0" hidden="1" customHeight="1" outlineLevel="1">
      <c r="A71" s="21"/>
      <c r="B71" s="46"/>
      <c r="C71" s="49" t="s">
        <v>41</v>
      </c>
      <c r="D71" s="50">
        <v>72961.0</v>
      </c>
      <c r="E71" s="50">
        <v>0.0</v>
      </c>
      <c r="F71" s="50">
        <v>155000.0</v>
      </c>
      <c r="G71" s="50">
        <v>0.0</v>
      </c>
      <c r="H71" s="50">
        <v>0.0</v>
      </c>
      <c r="I71" s="50">
        <v>0.0</v>
      </c>
      <c r="J71" s="50">
        <v>0.0</v>
      </c>
      <c r="K71" s="50">
        <v>0.0</v>
      </c>
      <c r="L71" s="50">
        <v>227961.0</v>
      </c>
      <c r="M71" s="72"/>
      <c r="N71" s="50">
        <v>0.0</v>
      </c>
      <c r="O71" s="21"/>
      <c r="P71" s="21">
        <v>68683.0</v>
      </c>
      <c r="Q71" s="21">
        <v>0.0</v>
      </c>
      <c r="R71" s="21">
        <v>-22842.0</v>
      </c>
      <c r="S71" s="21">
        <v>-2367.0</v>
      </c>
      <c r="T71" s="21">
        <v>-730.0</v>
      </c>
      <c r="U71" s="21">
        <v>0.0</v>
      </c>
      <c r="V71" s="21">
        <v>0.0</v>
      </c>
      <c r="W71" s="21">
        <v>0.0</v>
      </c>
      <c r="X71" s="21">
        <v>42744.0</v>
      </c>
      <c r="Y71" s="21"/>
      <c r="Z71" s="21"/>
      <c r="AA71" s="21"/>
      <c r="AB71" s="21"/>
      <c r="AC71" s="21"/>
      <c r="AD71" s="21"/>
      <c r="AE71" s="21"/>
    </row>
    <row r="72" ht="18.0" hidden="1" customHeight="1" outlineLevel="1">
      <c r="A72" s="21"/>
      <c r="B72" s="46" t="s">
        <v>68</v>
      </c>
      <c r="C72" s="47" t="s">
        <v>46</v>
      </c>
      <c r="D72" s="48">
        <v>0.0</v>
      </c>
      <c r="E72" s="48">
        <v>0.0</v>
      </c>
      <c r="F72" s="48">
        <v>0.0</v>
      </c>
      <c r="G72" s="48">
        <v>0.0</v>
      </c>
      <c r="H72" s="48">
        <v>0.0</v>
      </c>
      <c r="I72" s="48">
        <v>0.0</v>
      </c>
      <c r="J72" s="48"/>
      <c r="K72" s="48">
        <v>0.0</v>
      </c>
      <c r="L72" s="48">
        <v>0.0</v>
      </c>
      <c r="M72" s="71"/>
      <c r="N72" s="4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ht="18.0" hidden="1" customHeight="1" outlineLevel="1">
      <c r="A73" s="21"/>
      <c r="B73" s="46"/>
      <c r="C73" s="49" t="s">
        <v>41</v>
      </c>
      <c r="D73" s="50">
        <v>0.0</v>
      </c>
      <c r="E73" s="50">
        <v>0.0</v>
      </c>
      <c r="F73" s="50">
        <v>0.0</v>
      </c>
      <c r="G73" s="50">
        <v>0.0</v>
      </c>
      <c r="H73" s="50">
        <v>0.0</v>
      </c>
      <c r="I73" s="50">
        <v>0.0</v>
      </c>
      <c r="J73" s="50">
        <v>0.0</v>
      </c>
      <c r="K73" s="50">
        <v>0.0</v>
      </c>
      <c r="L73" s="50">
        <v>0.0</v>
      </c>
      <c r="M73" s="72"/>
      <c r="N73" s="50">
        <v>0.0</v>
      </c>
      <c r="O73" s="21"/>
      <c r="P73" s="21">
        <v>0.0</v>
      </c>
      <c r="Q73" s="21">
        <v>0.0</v>
      </c>
      <c r="R73" s="21">
        <v>0.0</v>
      </c>
      <c r="S73" s="21">
        <v>0.0</v>
      </c>
      <c r="T73" s="21">
        <v>0.0</v>
      </c>
      <c r="U73" s="21">
        <v>0.0</v>
      </c>
      <c r="V73" s="21">
        <v>0.0</v>
      </c>
      <c r="W73" s="21">
        <v>0.0</v>
      </c>
      <c r="X73" s="21">
        <v>0.0</v>
      </c>
      <c r="Y73" s="21"/>
      <c r="Z73" s="21"/>
      <c r="AA73" s="21"/>
      <c r="AB73" s="21"/>
      <c r="AC73" s="21"/>
      <c r="AD73" s="21"/>
      <c r="AE73" s="21"/>
    </row>
    <row r="74" ht="18.0" hidden="1" customHeight="1" outlineLevel="1">
      <c r="A74" s="21"/>
      <c r="B74" s="46" t="s">
        <v>69</v>
      </c>
      <c r="C74" s="47" t="s">
        <v>46</v>
      </c>
      <c r="D74" s="48">
        <v>20000.0</v>
      </c>
      <c r="E74" s="48">
        <v>29000.0</v>
      </c>
      <c r="F74" s="48">
        <v>91062.0</v>
      </c>
      <c r="G74" s="48">
        <v>50000.0</v>
      </c>
      <c r="H74" s="48">
        <v>20000.0</v>
      </c>
      <c r="I74" s="48">
        <v>9443.0</v>
      </c>
      <c r="J74" s="48"/>
      <c r="K74" s="48">
        <v>90000.0</v>
      </c>
      <c r="L74" s="48">
        <v>309505.0</v>
      </c>
      <c r="M74" s="71"/>
      <c r="N74" s="4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ht="18.0" hidden="1" customHeight="1" outlineLevel="1">
      <c r="A75" s="21"/>
      <c r="B75" s="46"/>
      <c r="C75" s="49" t="s">
        <v>41</v>
      </c>
      <c r="D75" s="50">
        <v>25053.0</v>
      </c>
      <c r="E75" s="50">
        <v>38851.0</v>
      </c>
      <c r="F75" s="50">
        <v>46338.0</v>
      </c>
      <c r="G75" s="50">
        <v>49420.0</v>
      </c>
      <c r="H75" s="50">
        <v>10960.0</v>
      </c>
      <c r="I75" s="50">
        <v>12126.0</v>
      </c>
      <c r="J75" s="50">
        <v>0.0</v>
      </c>
      <c r="K75" s="50">
        <v>87286.0</v>
      </c>
      <c r="L75" s="50">
        <v>270034.0</v>
      </c>
      <c r="M75" s="72"/>
      <c r="N75" s="50">
        <v>51440.0</v>
      </c>
      <c r="O75" s="21"/>
      <c r="P75" s="21">
        <v>5053.0</v>
      </c>
      <c r="Q75" s="21">
        <v>9851.0</v>
      </c>
      <c r="R75" s="21">
        <v>-44724.0</v>
      </c>
      <c r="S75" s="21">
        <v>-580.0</v>
      </c>
      <c r="T75" s="21">
        <v>-9040.0</v>
      </c>
      <c r="U75" s="21">
        <v>2683.0</v>
      </c>
      <c r="V75" s="21">
        <v>0.0</v>
      </c>
      <c r="W75" s="21">
        <v>-2714.0</v>
      </c>
      <c r="X75" s="21">
        <v>-39471.0</v>
      </c>
      <c r="Y75" s="21"/>
      <c r="Z75" s="21"/>
      <c r="AA75" s="21"/>
      <c r="AB75" s="21"/>
      <c r="AC75" s="21"/>
      <c r="AD75" s="21"/>
      <c r="AE75" s="21"/>
    </row>
    <row r="76" ht="18.0" hidden="1" customHeight="1" outlineLevel="1">
      <c r="A76" s="21"/>
      <c r="B76" s="46" t="s">
        <v>70</v>
      </c>
      <c r="C76" s="47" t="s">
        <v>46</v>
      </c>
      <c r="D76" s="48">
        <v>295750.0</v>
      </c>
      <c r="E76" s="48">
        <v>286000.0</v>
      </c>
      <c r="F76" s="48">
        <v>0.0</v>
      </c>
      <c r="G76" s="48">
        <v>0.0</v>
      </c>
      <c r="H76" s="48">
        <v>0.0</v>
      </c>
      <c r="I76" s="48">
        <v>0.0</v>
      </c>
      <c r="J76" s="48"/>
      <c r="K76" s="48">
        <v>0.0</v>
      </c>
      <c r="L76" s="48">
        <v>581750.0</v>
      </c>
      <c r="M76" s="71"/>
      <c r="N76" s="4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ht="18.0" hidden="1" customHeight="1" outlineLevel="1">
      <c r="A77" s="21"/>
      <c r="B77" s="46"/>
      <c r="C77" s="49" t="s">
        <v>41</v>
      </c>
      <c r="D77" s="50">
        <v>419988.0</v>
      </c>
      <c r="E77" s="50">
        <v>419987.0</v>
      </c>
      <c r="F77" s="50">
        <v>418668.0</v>
      </c>
      <c r="G77" s="50">
        <v>79241.0</v>
      </c>
      <c r="H77" s="50">
        <v>79242.0</v>
      </c>
      <c r="I77" s="50">
        <v>118876.0</v>
      </c>
      <c r="J77" s="50">
        <v>0.0</v>
      </c>
      <c r="K77" s="50">
        <v>0.0</v>
      </c>
      <c r="L77" s="50">
        <v>1536002.0</v>
      </c>
      <c r="M77" s="72"/>
      <c r="N77" s="50">
        <v>4174.0</v>
      </c>
      <c r="O77" s="21"/>
      <c r="P77" s="21">
        <v>124238.0</v>
      </c>
      <c r="Q77" s="21">
        <v>133987.0</v>
      </c>
      <c r="R77" s="21">
        <v>418668.0</v>
      </c>
      <c r="S77" s="21">
        <v>79241.0</v>
      </c>
      <c r="T77" s="21">
        <v>79242.0</v>
      </c>
      <c r="U77" s="21">
        <v>118876.0</v>
      </c>
      <c r="V77" s="21">
        <v>0.0</v>
      </c>
      <c r="W77" s="21">
        <v>0.0</v>
      </c>
      <c r="X77" s="21">
        <v>954252.0</v>
      </c>
      <c r="Y77" s="21"/>
      <c r="Z77" s="21"/>
      <c r="AA77" s="21"/>
      <c r="AB77" s="21"/>
      <c r="AC77" s="21"/>
      <c r="AD77" s="21"/>
      <c r="AE77" s="21"/>
    </row>
    <row r="78" ht="18.0" hidden="1" customHeight="1" outlineLevel="1">
      <c r="A78" s="21"/>
      <c r="B78" s="46" t="s">
        <v>71</v>
      </c>
      <c r="C78" s="47" t="s">
        <v>46</v>
      </c>
      <c r="D78" s="48">
        <v>191768.0</v>
      </c>
      <c r="E78" s="48">
        <v>0.0</v>
      </c>
      <c r="F78" s="48">
        <v>37191.0</v>
      </c>
      <c r="G78" s="48">
        <v>0.0</v>
      </c>
      <c r="H78" s="48">
        <v>0.0</v>
      </c>
      <c r="I78" s="48">
        <v>0.0</v>
      </c>
      <c r="J78" s="48"/>
      <c r="K78" s="48">
        <v>0.0</v>
      </c>
      <c r="L78" s="48">
        <v>228959.0</v>
      </c>
      <c r="M78" s="71"/>
      <c r="N78" s="4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ht="18.0" hidden="1" customHeight="1" outlineLevel="1">
      <c r="A79" s="21"/>
      <c r="B79" s="46"/>
      <c r="C79" s="49" t="s">
        <v>41</v>
      </c>
      <c r="D79" s="50">
        <v>6637.0</v>
      </c>
      <c r="E79" s="50">
        <v>0.0</v>
      </c>
      <c r="F79" s="50">
        <v>46790.0</v>
      </c>
      <c r="G79" s="50">
        <v>0.0</v>
      </c>
      <c r="H79" s="50">
        <v>0.0</v>
      </c>
      <c r="I79" s="50">
        <v>0.0</v>
      </c>
      <c r="J79" s="50">
        <v>0.0</v>
      </c>
      <c r="K79" s="50">
        <v>0.0</v>
      </c>
      <c r="L79" s="50">
        <v>53427.0</v>
      </c>
      <c r="M79" s="72"/>
      <c r="N79" s="50">
        <v>27067.0</v>
      </c>
      <c r="O79" s="21"/>
      <c r="P79" s="21">
        <v>-185131.0</v>
      </c>
      <c r="Q79" s="21">
        <v>0.0</v>
      </c>
      <c r="R79" s="21">
        <v>9599.0</v>
      </c>
      <c r="S79" s="21">
        <v>0.0</v>
      </c>
      <c r="T79" s="21">
        <v>0.0</v>
      </c>
      <c r="U79" s="21">
        <v>0.0</v>
      </c>
      <c r="V79" s="21">
        <v>0.0</v>
      </c>
      <c r="W79" s="21">
        <v>0.0</v>
      </c>
      <c r="X79" s="21">
        <v>-175532.0</v>
      </c>
      <c r="Y79" s="21"/>
      <c r="Z79" s="21"/>
      <c r="AA79" s="21"/>
      <c r="AB79" s="21"/>
      <c r="AC79" s="21"/>
      <c r="AD79" s="21"/>
      <c r="AE79" s="21"/>
    </row>
    <row r="80" ht="18.0" hidden="1" customHeight="1" outlineLevel="1">
      <c r="A80" s="21"/>
      <c r="B80" s="46" t="s">
        <v>72</v>
      </c>
      <c r="C80" s="47" t="s">
        <v>46</v>
      </c>
      <c r="D80" s="48">
        <v>76739.0</v>
      </c>
      <c r="E80" s="48">
        <v>120000.0</v>
      </c>
      <c r="F80" s="48">
        <v>271233.0</v>
      </c>
      <c r="G80" s="48">
        <v>32019.0</v>
      </c>
      <c r="H80" s="48">
        <v>50000.0</v>
      </c>
      <c r="I80" s="48">
        <v>11000.0</v>
      </c>
      <c r="J80" s="48"/>
      <c r="K80" s="48">
        <v>60000.0</v>
      </c>
      <c r="L80" s="48">
        <v>620991.0</v>
      </c>
      <c r="M80" s="71"/>
      <c r="N80" s="4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ht="18.0" hidden="1" customHeight="1" outlineLevel="1">
      <c r="A81" s="21"/>
      <c r="B81" s="46"/>
      <c r="C81" s="49" t="s">
        <v>41</v>
      </c>
      <c r="D81" s="50">
        <v>76739.0</v>
      </c>
      <c r="E81" s="50">
        <v>120000.0</v>
      </c>
      <c r="F81" s="50">
        <v>271233.0</v>
      </c>
      <c r="G81" s="50">
        <v>32019.0</v>
      </c>
      <c r="H81" s="50">
        <v>50000.0</v>
      </c>
      <c r="I81" s="50">
        <v>11000.0</v>
      </c>
      <c r="J81" s="50">
        <v>0.0</v>
      </c>
      <c r="K81" s="50">
        <v>60000.0</v>
      </c>
      <c r="L81" s="50">
        <v>620991.0</v>
      </c>
      <c r="M81" s="72"/>
      <c r="N81" s="50">
        <v>123726.0</v>
      </c>
      <c r="O81" s="21"/>
      <c r="P81" s="21">
        <v>0.0</v>
      </c>
      <c r="Q81" s="21">
        <v>0.0</v>
      </c>
      <c r="R81" s="21">
        <v>0.0</v>
      </c>
      <c r="S81" s="21">
        <v>0.0</v>
      </c>
      <c r="T81" s="21">
        <v>0.0</v>
      </c>
      <c r="U81" s="21">
        <v>0.0</v>
      </c>
      <c r="V81" s="21">
        <v>0.0</v>
      </c>
      <c r="W81" s="21">
        <v>0.0</v>
      </c>
      <c r="X81" s="21">
        <v>0.0</v>
      </c>
      <c r="Y81" s="21"/>
      <c r="Z81" s="21"/>
      <c r="AA81" s="21"/>
      <c r="AB81" s="21"/>
      <c r="AC81" s="21"/>
      <c r="AD81" s="21"/>
      <c r="AE81" s="21"/>
    </row>
    <row r="82" ht="18.0" hidden="1" customHeight="1" outlineLevel="1">
      <c r="A82" s="21"/>
      <c r="B82" s="46" t="s">
        <v>73</v>
      </c>
      <c r="C82" s="47" t="s">
        <v>46</v>
      </c>
      <c r="D82" s="48">
        <v>22565.0</v>
      </c>
      <c r="E82" s="48">
        <v>10000.0</v>
      </c>
      <c r="F82" s="48">
        <v>9099.0</v>
      </c>
      <c r="G82" s="48">
        <v>1856.0</v>
      </c>
      <c r="H82" s="48">
        <v>5155.0</v>
      </c>
      <c r="I82" s="48">
        <v>11347.0</v>
      </c>
      <c r="J82" s="48"/>
      <c r="K82" s="48">
        <v>0.0</v>
      </c>
      <c r="L82" s="48">
        <v>60022.0</v>
      </c>
      <c r="M82" s="71"/>
      <c r="N82" s="4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ht="18.0" hidden="1" customHeight="1" outlineLevel="1">
      <c r="A83" s="21"/>
      <c r="B83" s="46"/>
      <c r="C83" s="49" t="s">
        <v>41</v>
      </c>
      <c r="D83" s="50">
        <v>8053.0</v>
      </c>
      <c r="E83" s="50">
        <v>8289.0</v>
      </c>
      <c r="F83" s="50">
        <v>2124.0</v>
      </c>
      <c r="G83" s="50">
        <v>0.0</v>
      </c>
      <c r="H83" s="50">
        <v>3118.0</v>
      </c>
      <c r="I83" s="50">
        <v>12544.0</v>
      </c>
      <c r="J83" s="50">
        <v>0.0</v>
      </c>
      <c r="K83" s="50">
        <v>0.0</v>
      </c>
      <c r="L83" s="50">
        <v>34128.0</v>
      </c>
      <c r="M83" s="72"/>
      <c r="N83" s="50">
        <v>30081.0</v>
      </c>
      <c r="O83" s="21"/>
      <c r="P83" s="21">
        <v>-14512.0</v>
      </c>
      <c r="Q83" s="21">
        <v>-1711.0</v>
      </c>
      <c r="R83" s="21">
        <v>-6975.0</v>
      </c>
      <c r="S83" s="21">
        <v>-1856.0</v>
      </c>
      <c r="T83" s="21">
        <v>-2037.0</v>
      </c>
      <c r="U83" s="21">
        <v>1197.0</v>
      </c>
      <c r="V83" s="21">
        <v>0.0</v>
      </c>
      <c r="W83" s="21">
        <v>0.0</v>
      </c>
      <c r="X83" s="21">
        <v>-25894.0</v>
      </c>
      <c r="Y83" s="21"/>
      <c r="Z83" s="21"/>
      <c r="AA83" s="21"/>
      <c r="AB83" s="21"/>
      <c r="AC83" s="21"/>
      <c r="AD83" s="21"/>
      <c r="AE83" s="21"/>
    </row>
    <row r="84" ht="18.0" hidden="1" customHeight="1" outlineLevel="1">
      <c r="A84" s="21"/>
      <c r="B84" s="46" t="s">
        <v>74</v>
      </c>
      <c r="C84" s="47" t="s">
        <v>46</v>
      </c>
      <c r="D84" s="48">
        <v>316700.0</v>
      </c>
      <c r="E84" s="48">
        <v>3000.0</v>
      </c>
      <c r="F84" s="48">
        <v>0.0</v>
      </c>
      <c r="G84" s="48">
        <v>0.0</v>
      </c>
      <c r="H84" s="48">
        <v>35000.0</v>
      </c>
      <c r="I84" s="48">
        <v>0.0</v>
      </c>
      <c r="J84" s="48"/>
      <c r="K84" s="48">
        <v>0.0</v>
      </c>
      <c r="L84" s="48">
        <v>354700.0</v>
      </c>
      <c r="M84" s="71"/>
      <c r="N84" s="4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ht="18.0" hidden="1" customHeight="1" outlineLevel="1">
      <c r="A85" s="21"/>
      <c r="B85" s="46"/>
      <c r="C85" s="49" t="s">
        <v>41</v>
      </c>
      <c r="D85" s="50">
        <v>212000.0</v>
      </c>
      <c r="E85" s="50">
        <v>0.0</v>
      </c>
      <c r="F85" s="50">
        <v>0.0</v>
      </c>
      <c r="G85" s="50">
        <v>0.0</v>
      </c>
      <c r="H85" s="50">
        <v>17222.0</v>
      </c>
      <c r="I85" s="50">
        <v>0.0</v>
      </c>
      <c r="J85" s="50">
        <v>0.0</v>
      </c>
      <c r="K85" s="50">
        <v>0.0</v>
      </c>
      <c r="L85" s="50">
        <v>229222.0</v>
      </c>
      <c r="M85" s="72"/>
      <c r="N85" s="50">
        <v>0.0</v>
      </c>
      <c r="O85" s="21"/>
      <c r="P85" s="21">
        <v>-104700.0</v>
      </c>
      <c r="Q85" s="21">
        <v>-3000.0</v>
      </c>
      <c r="R85" s="21">
        <v>0.0</v>
      </c>
      <c r="S85" s="21">
        <v>0.0</v>
      </c>
      <c r="T85" s="21">
        <v>-17778.0</v>
      </c>
      <c r="U85" s="21">
        <v>0.0</v>
      </c>
      <c r="V85" s="21">
        <v>0.0</v>
      </c>
      <c r="W85" s="21">
        <v>0.0</v>
      </c>
      <c r="X85" s="21">
        <v>-125478.0</v>
      </c>
      <c r="Y85" s="21"/>
      <c r="Z85" s="21"/>
      <c r="AA85" s="21"/>
      <c r="AB85" s="21"/>
      <c r="AC85" s="21"/>
      <c r="AD85" s="21"/>
      <c r="AE85" s="21"/>
    </row>
    <row r="86" ht="18.0" hidden="1" customHeight="1" outlineLevel="1">
      <c r="A86" s="21"/>
      <c r="B86" s="46" t="s">
        <v>75</v>
      </c>
      <c r="C86" s="47" t="s">
        <v>46</v>
      </c>
      <c r="D86" s="48">
        <v>0.0</v>
      </c>
      <c r="E86" s="48">
        <v>0.0</v>
      </c>
      <c r="F86" s="48">
        <v>0.0</v>
      </c>
      <c r="G86" s="48">
        <v>0.0</v>
      </c>
      <c r="H86" s="48">
        <v>0.0</v>
      </c>
      <c r="I86" s="48">
        <v>0.0</v>
      </c>
      <c r="J86" s="48"/>
      <c r="K86" s="48">
        <v>0.0</v>
      </c>
      <c r="L86" s="48">
        <v>0.0</v>
      </c>
      <c r="M86" s="71"/>
      <c r="N86" s="48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ht="18.0" hidden="1" customHeight="1" outlineLevel="1">
      <c r="A87" s="21"/>
      <c r="B87" s="46"/>
      <c r="C87" s="49" t="s">
        <v>41</v>
      </c>
      <c r="D87" s="50">
        <v>0.0</v>
      </c>
      <c r="E87" s="50">
        <v>0.0</v>
      </c>
      <c r="F87" s="50">
        <v>0.0</v>
      </c>
      <c r="G87" s="50">
        <v>0.0</v>
      </c>
      <c r="H87" s="50">
        <v>0.0</v>
      </c>
      <c r="I87" s="50">
        <v>0.0</v>
      </c>
      <c r="J87" s="50">
        <v>0.0</v>
      </c>
      <c r="K87" s="50">
        <v>0.0</v>
      </c>
      <c r="L87" s="50">
        <v>0.0</v>
      </c>
      <c r="M87" s="72"/>
      <c r="N87" s="50">
        <v>0.0</v>
      </c>
      <c r="O87" s="21"/>
      <c r="P87" s="21">
        <v>0.0</v>
      </c>
      <c r="Q87" s="21">
        <v>0.0</v>
      </c>
      <c r="R87" s="21">
        <v>0.0</v>
      </c>
      <c r="S87" s="21">
        <v>0.0</v>
      </c>
      <c r="T87" s="21">
        <v>0.0</v>
      </c>
      <c r="U87" s="21">
        <v>0.0</v>
      </c>
      <c r="V87" s="21">
        <v>0.0</v>
      </c>
      <c r="W87" s="21">
        <v>0.0</v>
      </c>
      <c r="X87" s="21">
        <v>0.0</v>
      </c>
      <c r="Y87" s="21"/>
      <c r="Z87" s="21"/>
      <c r="AA87" s="21"/>
      <c r="AB87" s="21"/>
      <c r="AC87" s="21"/>
      <c r="AD87" s="21"/>
      <c r="AE87" s="21"/>
    </row>
    <row r="88" ht="18.0" hidden="1" customHeight="1" outlineLevel="1">
      <c r="A88" s="21"/>
      <c r="B88" s="46" t="s">
        <v>76</v>
      </c>
      <c r="C88" s="47" t="s">
        <v>46</v>
      </c>
      <c r="D88" s="48">
        <v>0.0</v>
      </c>
      <c r="E88" s="48">
        <v>0.0</v>
      </c>
      <c r="F88" s="48">
        <v>0.0</v>
      </c>
      <c r="G88" s="48">
        <v>0.0</v>
      </c>
      <c r="H88" s="48">
        <v>0.0</v>
      </c>
      <c r="I88" s="48">
        <v>0.0</v>
      </c>
      <c r="J88" s="48"/>
      <c r="K88" s="48">
        <v>0.0</v>
      </c>
      <c r="L88" s="48">
        <v>0.0</v>
      </c>
      <c r="M88" s="71"/>
      <c r="N88" s="48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ht="18.0" hidden="1" customHeight="1" outlineLevel="1">
      <c r="A89" s="21"/>
      <c r="B89" s="46"/>
      <c r="C89" s="49" t="s">
        <v>41</v>
      </c>
      <c r="D89" s="50">
        <v>2841.0</v>
      </c>
      <c r="E89" s="50">
        <v>2841.0</v>
      </c>
      <c r="F89" s="50">
        <v>0.0</v>
      </c>
      <c r="G89" s="50">
        <v>0.0</v>
      </c>
      <c r="H89" s="50">
        <v>0.0</v>
      </c>
      <c r="I89" s="50">
        <v>0.0</v>
      </c>
      <c r="J89" s="50">
        <v>0.0</v>
      </c>
      <c r="K89" s="50">
        <v>0.0</v>
      </c>
      <c r="L89" s="50">
        <v>5682.0</v>
      </c>
      <c r="M89" s="72"/>
      <c r="N89" s="50">
        <v>0.0</v>
      </c>
      <c r="O89" s="21"/>
      <c r="P89" s="21">
        <v>2841.0</v>
      </c>
      <c r="Q89" s="21">
        <v>2841.0</v>
      </c>
      <c r="R89" s="21">
        <v>0.0</v>
      </c>
      <c r="S89" s="21">
        <v>0.0</v>
      </c>
      <c r="T89" s="21">
        <v>0.0</v>
      </c>
      <c r="U89" s="21">
        <v>0.0</v>
      </c>
      <c r="V89" s="21">
        <v>0.0</v>
      </c>
      <c r="W89" s="21">
        <v>0.0</v>
      </c>
      <c r="X89" s="21">
        <v>5682.0</v>
      </c>
      <c r="Y89" s="21"/>
      <c r="Z89" s="21"/>
      <c r="AA89" s="21"/>
      <c r="AB89" s="21"/>
      <c r="AC89" s="21"/>
      <c r="AD89" s="21"/>
      <c r="AE89" s="21"/>
    </row>
    <row r="90" ht="18.0" hidden="1" customHeight="1" outlineLevel="1">
      <c r="A90" s="21"/>
      <c r="B90" s="46" t="s">
        <v>77</v>
      </c>
      <c r="C90" s="47" t="s">
        <v>46</v>
      </c>
      <c r="D90" s="48">
        <v>0.0</v>
      </c>
      <c r="E90" s="48">
        <v>0.0</v>
      </c>
      <c r="F90" s="48">
        <v>0.0</v>
      </c>
      <c r="G90" s="48">
        <v>0.0</v>
      </c>
      <c r="H90" s="48">
        <v>0.0</v>
      </c>
      <c r="I90" s="48">
        <v>0.0</v>
      </c>
      <c r="J90" s="48"/>
      <c r="K90" s="48">
        <v>0.0</v>
      </c>
      <c r="L90" s="48">
        <v>0.0</v>
      </c>
      <c r="M90" s="71"/>
      <c r="N90" s="48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ht="18.0" hidden="1" customHeight="1" outlineLevel="1">
      <c r="A91" s="21"/>
      <c r="B91" s="46"/>
      <c r="C91" s="49" t="s">
        <v>41</v>
      </c>
      <c r="D91" s="50">
        <v>0.0</v>
      </c>
      <c r="E91" s="50">
        <v>0.0</v>
      </c>
      <c r="F91" s="50">
        <v>0.0</v>
      </c>
      <c r="G91" s="50">
        <v>0.0</v>
      </c>
      <c r="H91" s="50">
        <v>0.0</v>
      </c>
      <c r="I91" s="50">
        <v>0.0</v>
      </c>
      <c r="J91" s="50">
        <v>0.0</v>
      </c>
      <c r="K91" s="50">
        <v>0.0</v>
      </c>
      <c r="L91" s="50">
        <v>0.0</v>
      </c>
      <c r="M91" s="72"/>
      <c r="N91" s="50">
        <v>82422.0</v>
      </c>
      <c r="O91" s="21"/>
      <c r="P91" s="21">
        <v>0.0</v>
      </c>
      <c r="Q91" s="21">
        <v>0.0</v>
      </c>
      <c r="R91" s="21">
        <v>0.0</v>
      </c>
      <c r="S91" s="21">
        <v>0.0</v>
      </c>
      <c r="T91" s="21">
        <v>0.0</v>
      </c>
      <c r="U91" s="21">
        <v>0.0</v>
      </c>
      <c r="V91" s="21">
        <v>0.0</v>
      </c>
      <c r="W91" s="21">
        <v>0.0</v>
      </c>
      <c r="X91" s="21">
        <v>0.0</v>
      </c>
      <c r="Y91" s="21"/>
      <c r="Z91" s="21"/>
      <c r="AA91" s="21"/>
      <c r="AB91" s="21"/>
      <c r="AC91" s="21"/>
      <c r="AD91" s="21"/>
      <c r="AE91" s="21"/>
    </row>
    <row r="92" ht="18.0" hidden="1" customHeight="1" outlineLevel="1">
      <c r="A92" s="21"/>
      <c r="B92" s="46" t="s">
        <v>78</v>
      </c>
      <c r="C92" s="47" t="s">
        <v>46</v>
      </c>
      <c r="D92" s="48">
        <v>0.0</v>
      </c>
      <c r="E92" s="48">
        <v>0.0</v>
      </c>
      <c r="F92" s="48">
        <v>0.0</v>
      </c>
      <c r="G92" s="48">
        <v>0.0</v>
      </c>
      <c r="H92" s="48">
        <v>0.0</v>
      </c>
      <c r="I92" s="48">
        <v>0.0</v>
      </c>
      <c r="J92" s="48"/>
      <c r="K92" s="48">
        <v>0.0</v>
      </c>
      <c r="L92" s="48">
        <v>0.0</v>
      </c>
      <c r="M92" s="71"/>
      <c r="N92" s="48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ht="18.0" hidden="1" customHeight="1" outlineLevel="1">
      <c r="A93" s="21"/>
      <c r="B93" s="46"/>
      <c r="C93" s="49" t="s">
        <v>41</v>
      </c>
      <c r="D93" s="50">
        <v>0.0</v>
      </c>
      <c r="E93" s="50">
        <v>0.0</v>
      </c>
      <c r="F93" s="50">
        <v>0.0</v>
      </c>
      <c r="G93" s="50">
        <v>0.0</v>
      </c>
      <c r="H93" s="50">
        <v>0.0</v>
      </c>
      <c r="I93" s="50">
        <v>0.0</v>
      </c>
      <c r="J93" s="50">
        <v>0.0</v>
      </c>
      <c r="K93" s="50">
        <v>0.0</v>
      </c>
      <c r="L93" s="50">
        <v>0.0</v>
      </c>
      <c r="M93" s="72"/>
      <c r="N93" s="50">
        <v>0.0</v>
      </c>
      <c r="O93" s="21"/>
      <c r="P93" s="21">
        <v>0.0</v>
      </c>
      <c r="Q93" s="21">
        <v>0.0</v>
      </c>
      <c r="R93" s="21">
        <v>0.0</v>
      </c>
      <c r="S93" s="21">
        <v>0.0</v>
      </c>
      <c r="T93" s="21">
        <v>0.0</v>
      </c>
      <c r="U93" s="21">
        <v>0.0</v>
      </c>
      <c r="V93" s="21">
        <v>0.0</v>
      </c>
      <c r="W93" s="21">
        <v>0.0</v>
      </c>
      <c r="X93" s="21">
        <v>0.0</v>
      </c>
      <c r="Y93" s="21"/>
      <c r="Z93" s="21"/>
      <c r="AA93" s="21"/>
      <c r="AB93" s="21"/>
      <c r="AC93" s="21"/>
      <c r="AD93" s="21"/>
      <c r="AE93" s="21"/>
    </row>
    <row r="94" ht="18.0" hidden="1" customHeight="1" outlineLevel="1">
      <c r="A94" s="21"/>
      <c r="B94" s="46" t="s">
        <v>79</v>
      </c>
      <c r="C94" s="47" t="s">
        <v>46</v>
      </c>
      <c r="D94" s="48">
        <v>0.0</v>
      </c>
      <c r="E94" s="48">
        <v>0.0</v>
      </c>
      <c r="F94" s="48">
        <v>0.0</v>
      </c>
      <c r="G94" s="48">
        <v>0.0</v>
      </c>
      <c r="H94" s="48">
        <v>0.0</v>
      </c>
      <c r="I94" s="48">
        <v>0.0</v>
      </c>
      <c r="J94" s="48"/>
      <c r="K94" s="48">
        <v>0.0</v>
      </c>
      <c r="L94" s="48">
        <v>0.0</v>
      </c>
      <c r="M94" s="71"/>
      <c r="N94" s="48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ht="18.0" hidden="1" customHeight="1" outlineLevel="1">
      <c r="A95" s="21"/>
      <c r="B95" s="46"/>
      <c r="C95" s="49" t="s">
        <v>41</v>
      </c>
      <c r="D95" s="50">
        <v>87820.0</v>
      </c>
      <c r="E95" s="50">
        <v>0.0</v>
      </c>
      <c r="F95" s="50">
        <v>0.0</v>
      </c>
      <c r="G95" s="50">
        <v>0.0</v>
      </c>
      <c r="H95" s="50">
        <v>0.0</v>
      </c>
      <c r="I95" s="50">
        <v>0.0</v>
      </c>
      <c r="J95" s="50">
        <v>0.0</v>
      </c>
      <c r="K95" s="50">
        <v>0.0</v>
      </c>
      <c r="L95" s="50">
        <v>87820.0</v>
      </c>
      <c r="M95" s="72"/>
      <c r="N95" s="50">
        <v>1725.0</v>
      </c>
      <c r="O95" s="21"/>
      <c r="P95" s="21">
        <v>87820.0</v>
      </c>
      <c r="Q95" s="21">
        <v>0.0</v>
      </c>
      <c r="R95" s="21">
        <v>0.0</v>
      </c>
      <c r="S95" s="21">
        <v>0.0</v>
      </c>
      <c r="T95" s="21">
        <v>0.0</v>
      </c>
      <c r="U95" s="21">
        <v>0.0</v>
      </c>
      <c r="V95" s="21">
        <v>0.0</v>
      </c>
      <c r="W95" s="21">
        <v>0.0</v>
      </c>
      <c r="X95" s="21">
        <v>87820.0</v>
      </c>
      <c r="Y95" s="21"/>
      <c r="Z95" s="21"/>
      <c r="AA95" s="21"/>
      <c r="AB95" s="21"/>
      <c r="AC95" s="21"/>
      <c r="AD95" s="21"/>
      <c r="AE95" s="21"/>
    </row>
    <row r="96" ht="18.0" hidden="1" customHeight="1" outlineLevel="1">
      <c r="A96" s="21"/>
      <c r="B96" s="46" t="s">
        <v>80</v>
      </c>
      <c r="C96" s="47" t="s">
        <v>46</v>
      </c>
      <c r="D96" s="48">
        <v>0.0</v>
      </c>
      <c r="E96" s="48">
        <v>0.0</v>
      </c>
      <c r="F96" s="48">
        <v>0.0</v>
      </c>
      <c r="G96" s="48">
        <v>0.0</v>
      </c>
      <c r="H96" s="48">
        <v>0.0</v>
      </c>
      <c r="I96" s="48">
        <v>0.0</v>
      </c>
      <c r="J96" s="48"/>
      <c r="K96" s="48">
        <v>10000.0</v>
      </c>
      <c r="L96" s="48">
        <v>10000.0</v>
      </c>
      <c r="M96" s="71"/>
      <c r="N96" s="48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ht="18.0" hidden="1" customHeight="1" outlineLevel="1">
      <c r="A97" s="21"/>
      <c r="B97" s="46"/>
      <c r="C97" s="49" t="s">
        <v>41</v>
      </c>
      <c r="D97" s="50">
        <v>0.0</v>
      </c>
      <c r="E97" s="50">
        <v>5180.0</v>
      </c>
      <c r="F97" s="50">
        <v>0.0</v>
      </c>
      <c r="G97" s="50">
        <v>0.0</v>
      </c>
      <c r="H97" s="50">
        <v>0.0</v>
      </c>
      <c r="I97" s="50">
        <v>0.0</v>
      </c>
      <c r="J97" s="50">
        <v>0.0</v>
      </c>
      <c r="K97" s="50">
        <v>0.0</v>
      </c>
      <c r="L97" s="50">
        <v>5180.0</v>
      </c>
      <c r="M97" s="72"/>
      <c r="N97" s="50">
        <v>48120.0</v>
      </c>
      <c r="O97" s="21"/>
      <c r="P97" s="21">
        <v>0.0</v>
      </c>
      <c r="Q97" s="21">
        <v>5180.0</v>
      </c>
      <c r="R97" s="21">
        <v>0.0</v>
      </c>
      <c r="S97" s="21">
        <v>0.0</v>
      </c>
      <c r="T97" s="21">
        <v>0.0</v>
      </c>
      <c r="U97" s="21">
        <v>0.0</v>
      </c>
      <c r="V97" s="21">
        <v>0.0</v>
      </c>
      <c r="W97" s="21">
        <v>-10000.0</v>
      </c>
      <c r="X97" s="21">
        <v>-4820.0</v>
      </c>
      <c r="Y97" s="21"/>
      <c r="Z97" s="21"/>
      <c r="AA97" s="21"/>
      <c r="AB97" s="21"/>
      <c r="AC97" s="21"/>
      <c r="AD97" s="21"/>
      <c r="AE97" s="21"/>
    </row>
    <row r="98" ht="18.0" hidden="1" customHeight="1" outlineLevel="1">
      <c r="A98" s="21"/>
      <c r="B98" s="46" t="s">
        <v>81</v>
      </c>
      <c r="C98" s="47" t="s">
        <v>46</v>
      </c>
      <c r="D98" s="48">
        <v>0.0</v>
      </c>
      <c r="E98" s="48">
        <v>0.0</v>
      </c>
      <c r="F98" s="48">
        <v>0.0</v>
      </c>
      <c r="G98" s="48">
        <v>0.0</v>
      </c>
      <c r="H98" s="48">
        <v>0.0</v>
      </c>
      <c r="I98" s="48">
        <v>0.0</v>
      </c>
      <c r="J98" s="48"/>
      <c r="K98" s="48">
        <v>0.0</v>
      </c>
      <c r="L98" s="48">
        <v>0.0</v>
      </c>
      <c r="M98" s="71"/>
      <c r="N98" s="48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ht="18.0" hidden="1" customHeight="1" outlineLevel="1">
      <c r="A99" s="21"/>
      <c r="B99" s="46"/>
      <c r="C99" s="49" t="s">
        <v>41</v>
      </c>
      <c r="D99" s="50">
        <v>0.0</v>
      </c>
      <c r="E99" s="50">
        <v>0.0</v>
      </c>
      <c r="F99" s="50">
        <v>0.0</v>
      </c>
      <c r="G99" s="50">
        <v>0.0</v>
      </c>
      <c r="H99" s="50">
        <v>0.0</v>
      </c>
      <c r="I99" s="50">
        <v>0.0</v>
      </c>
      <c r="J99" s="50">
        <v>0.0</v>
      </c>
      <c r="K99" s="50">
        <v>0.0</v>
      </c>
      <c r="L99" s="50">
        <v>0.0</v>
      </c>
      <c r="M99" s="72"/>
      <c r="N99" s="50">
        <v>0.0</v>
      </c>
      <c r="O99" s="21"/>
      <c r="P99" s="21">
        <v>0.0</v>
      </c>
      <c r="Q99" s="21">
        <v>0.0</v>
      </c>
      <c r="R99" s="21">
        <v>0.0</v>
      </c>
      <c r="S99" s="21">
        <v>0.0</v>
      </c>
      <c r="T99" s="21">
        <v>0.0</v>
      </c>
      <c r="U99" s="21">
        <v>0.0</v>
      </c>
      <c r="V99" s="21">
        <v>0.0</v>
      </c>
      <c r="W99" s="21">
        <v>0.0</v>
      </c>
      <c r="X99" s="21">
        <v>0.0</v>
      </c>
      <c r="Y99" s="21"/>
      <c r="Z99" s="21"/>
      <c r="AA99" s="21"/>
      <c r="AB99" s="21"/>
      <c r="AC99" s="21"/>
      <c r="AD99" s="21"/>
      <c r="AE99" s="21"/>
    </row>
    <row r="100" ht="18.0" customHeight="1" collapsed="1">
      <c r="A100" s="21"/>
      <c r="B100" s="21" t="s">
        <v>30</v>
      </c>
      <c r="C100" s="4" t="s">
        <v>46</v>
      </c>
      <c r="D100" s="24">
        <v>964967.0</v>
      </c>
      <c r="E100" s="24">
        <v>1583340.0</v>
      </c>
      <c r="F100" s="24">
        <v>7548206.0</v>
      </c>
      <c r="G100" s="24">
        <v>450809.0</v>
      </c>
      <c r="H100" s="24">
        <v>1135033.0</v>
      </c>
      <c r="I100" s="24">
        <v>840739.0</v>
      </c>
      <c r="J100" s="24">
        <v>0.0</v>
      </c>
      <c r="K100" s="24">
        <v>599500.0</v>
      </c>
      <c r="L100" s="24">
        <v>1.3122594E7</v>
      </c>
      <c r="M100" s="71"/>
      <c r="N100" s="24">
        <v>0.0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ht="18.0" customHeight="1">
      <c r="A101" s="21"/>
      <c r="B101" s="21"/>
      <c r="C101" s="38" t="s">
        <v>41</v>
      </c>
      <c r="D101" s="39">
        <v>804269.0</v>
      </c>
      <c r="E101" s="39">
        <v>1422164.0</v>
      </c>
      <c r="F101" s="39">
        <v>7436578.0</v>
      </c>
      <c r="G101" s="39">
        <v>450706.0</v>
      </c>
      <c r="H101" s="39">
        <v>917941.0</v>
      </c>
      <c r="I101" s="39">
        <v>838074.0</v>
      </c>
      <c r="J101" s="39">
        <v>0.0</v>
      </c>
      <c r="K101" s="39">
        <v>549135.0</v>
      </c>
      <c r="L101" s="39">
        <v>1.2418867E7</v>
      </c>
      <c r="M101" s="72"/>
      <c r="N101" s="39">
        <v>1148845.0</v>
      </c>
      <c r="O101" s="21"/>
      <c r="P101" s="21">
        <v>-160698.0</v>
      </c>
      <c r="Q101" s="21">
        <v>-161176.0</v>
      </c>
      <c r="R101" s="21">
        <v>-111628.0</v>
      </c>
      <c r="S101" s="21">
        <v>-103.0</v>
      </c>
      <c r="T101" s="21">
        <v>-217092.0</v>
      </c>
      <c r="U101" s="21">
        <v>-2665.0</v>
      </c>
      <c r="V101" s="21">
        <v>0.0</v>
      </c>
      <c r="W101" s="21">
        <v>-50365.0</v>
      </c>
      <c r="X101" s="21">
        <v>-703727.0</v>
      </c>
      <c r="Y101" s="21"/>
      <c r="Z101" s="21"/>
      <c r="AA101" s="21"/>
      <c r="AB101" s="21"/>
      <c r="AC101" s="21"/>
      <c r="AD101" s="21"/>
      <c r="AE101" s="21"/>
    </row>
    <row r="102" ht="18.0" hidden="1" customHeight="1" outlineLevel="1">
      <c r="A102" s="21"/>
      <c r="B102" s="51" t="s">
        <v>35</v>
      </c>
      <c r="C102" s="52" t="s">
        <v>46</v>
      </c>
      <c r="D102" s="53">
        <v>466129.0</v>
      </c>
      <c r="E102" s="53">
        <v>1087635.0</v>
      </c>
      <c r="F102" s="53">
        <v>5540318.0</v>
      </c>
      <c r="G102" s="53">
        <v>267605.0</v>
      </c>
      <c r="H102" s="53">
        <v>804606.0</v>
      </c>
      <c r="I102" s="53">
        <v>679275.0</v>
      </c>
      <c r="J102" s="53"/>
      <c r="K102" s="53">
        <v>0.0</v>
      </c>
      <c r="L102" s="53">
        <v>8845568.0</v>
      </c>
      <c r="M102" s="71"/>
      <c r="N102" s="53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ht="18.0" hidden="1" customHeight="1" outlineLevel="1">
      <c r="A103" s="21"/>
      <c r="B103" s="51"/>
      <c r="C103" s="54" t="s">
        <v>41</v>
      </c>
      <c r="D103" s="55">
        <v>466131.0</v>
      </c>
      <c r="E103" s="55">
        <v>1087640.0</v>
      </c>
      <c r="F103" s="55">
        <v>5540309.0</v>
      </c>
      <c r="G103" s="55">
        <v>267606.0</v>
      </c>
      <c r="H103" s="55">
        <v>790978.0</v>
      </c>
      <c r="I103" s="55">
        <v>679266.0</v>
      </c>
      <c r="J103" s="55">
        <v>0.0</v>
      </c>
      <c r="K103" s="55">
        <v>0.0</v>
      </c>
      <c r="L103" s="55">
        <v>8831930.0</v>
      </c>
      <c r="M103" s="72"/>
      <c r="N103" s="55">
        <v>1597391.0</v>
      </c>
      <c r="O103" s="21"/>
      <c r="P103" s="21">
        <v>2.0</v>
      </c>
      <c r="Q103" s="21">
        <v>5.0</v>
      </c>
      <c r="R103" s="21">
        <v>-9.0</v>
      </c>
      <c r="S103" s="21">
        <v>1.0</v>
      </c>
      <c r="T103" s="21">
        <v>-13628.0</v>
      </c>
      <c r="U103" s="21">
        <v>-9.0</v>
      </c>
      <c r="V103" s="21">
        <v>0.0</v>
      </c>
      <c r="W103" s="21">
        <v>0.0</v>
      </c>
      <c r="X103" s="21">
        <v>-13638.0</v>
      </c>
      <c r="Y103" s="21"/>
      <c r="Z103" s="21"/>
      <c r="AA103" s="21"/>
      <c r="AB103" s="21"/>
      <c r="AC103" s="21"/>
      <c r="AD103" s="21"/>
      <c r="AE103" s="21"/>
    </row>
    <row r="104" ht="18.0" hidden="1" customHeight="1" outlineLevel="1">
      <c r="A104" s="21"/>
      <c r="B104" s="51" t="s">
        <v>82</v>
      </c>
      <c r="C104" s="52" t="s">
        <v>46</v>
      </c>
      <c r="D104" s="53">
        <v>0.0</v>
      </c>
      <c r="E104" s="53">
        <v>0.0</v>
      </c>
      <c r="F104" s="53">
        <v>0.0</v>
      </c>
      <c r="G104" s="53">
        <v>0.0</v>
      </c>
      <c r="H104" s="53">
        <v>0.0</v>
      </c>
      <c r="I104" s="53">
        <v>0.0</v>
      </c>
      <c r="J104" s="53"/>
      <c r="K104" s="53">
        <v>300000.0</v>
      </c>
      <c r="L104" s="53">
        <v>300000.0</v>
      </c>
      <c r="M104" s="71"/>
      <c r="N104" s="53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ht="18.0" hidden="1" customHeight="1" outlineLevel="1">
      <c r="A105" s="21"/>
      <c r="B105" s="51"/>
      <c r="C105" s="54" t="s">
        <v>41</v>
      </c>
      <c r="D105" s="55">
        <v>833.0</v>
      </c>
      <c r="E105" s="55">
        <v>833.0</v>
      </c>
      <c r="F105" s="55">
        <v>0.0</v>
      </c>
      <c r="G105" s="55">
        <v>0.0</v>
      </c>
      <c r="H105" s="55">
        <v>0.0</v>
      </c>
      <c r="I105" s="55">
        <v>0.0</v>
      </c>
      <c r="J105" s="55">
        <v>0.0</v>
      </c>
      <c r="K105" s="55">
        <v>300000.0</v>
      </c>
      <c r="L105" s="55">
        <v>301666.0</v>
      </c>
      <c r="M105" s="72"/>
      <c r="N105" s="55">
        <v>30000.0</v>
      </c>
      <c r="O105" s="21"/>
      <c r="P105" s="21">
        <v>833.0</v>
      </c>
      <c r="Q105" s="21">
        <v>833.0</v>
      </c>
      <c r="R105" s="21">
        <v>0.0</v>
      </c>
      <c r="S105" s="21">
        <v>0.0</v>
      </c>
      <c r="T105" s="21">
        <v>0.0</v>
      </c>
      <c r="U105" s="21">
        <v>0.0</v>
      </c>
      <c r="V105" s="21">
        <v>0.0</v>
      </c>
      <c r="W105" s="21">
        <v>0.0</v>
      </c>
      <c r="X105" s="21">
        <v>1666.0</v>
      </c>
      <c r="Y105" s="21"/>
      <c r="Z105" s="21"/>
      <c r="AA105" s="21"/>
      <c r="AB105" s="21"/>
      <c r="AC105" s="21"/>
      <c r="AD105" s="21"/>
      <c r="AE105" s="21"/>
    </row>
    <row r="106" ht="18.0" hidden="1" customHeight="1" outlineLevel="1">
      <c r="A106" s="21"/>
      <c r="B106" s="51" t="s">
        <v>83</v>
      </c>
      <c r="C106" s="52" t="s">
        <v>46</v>
      </c>
      <c r="D106" s="53">
        <v>132310.0</v>
      </c>
      <c r="E106" s="53">
        <v>78979.0</v>
      </c>
      <c r="F106" s="53">
        <v>676382.0</v>
      </c>
      <c r="G106" s="53">
        <v>55504.0</v>
      </c>
      <c r="H106" s="53">
        <v>203372.0</v>
      </c>
      <c r="I106" s="53">
        <v>1064.0</v>
      </c>
      <c r="J106" s="53"/>
      <c r="K106" s="53">
        <v>100000.0</v>
      </c>
      <c r="L106" s="53">
        <v>1247611.0</v>
      </c>
      <c r="M106" s="71"/>
      <c r="N106" s="53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ht="18.0" hidden="1" customHeight="1" outlineLevel="1">
      <c r="A107" s="21"/>
      <c r="B107" s="51"/>
      <c r="C107" s="54" t="s">
        <v>41</v>
      </c>
      <c r="D107" s="55">
        <v>131523.0</v>
      </c>
      <c r="E107" s="55">
        <v>22850.0</v>
      </c>
      <c r="F107" s="55">
        <v>699959.0</v>
      </c>
      <c r="G107" s="55">
        <v>0.0</v>
      </c>
      <c r="H107" s="55">
        <v>19303.0</v>
      </c>
      <c r="I107" s="55">
        <v>1063.0</v>
      </c>
      <c r="J107" s="55">
        <v>0.0</v>
      </c>
      <c r="K107" s="55">
        <v>46068.0</v>
      </c>
      <c r="L107" s="55">
        <v>920766.0</v>
      </c>
      <c r="M107" s="72"/>
      <c r="N107" s="55">
        <v>124200.0</v>
      </c>
      <c r="O107" s="21"/>
      <c r="P107" s="21">
        <v>-787.0</v>
      </c>
      <c r="Q107" s="21">
        <v>-56129.0</v>
      </c>
      <c r="R107" s="21">
        <v>23577.0</v>
      </c>
      <c r="S107" s="21">
        <v>-55504.0</v>
      </c>
      <c r="T107" s="21">
        <v>-184069.0</v>
      </c>
      <c r="U107" s="21">
        <v>-1.0</v>
      </c>
      <c r="V107" s="21">
        <v>0.0</v>
      </c>
      <c r="W107" s="21">
        <v>-53932.0</v>
      </c>
      <c r="X107" s="21">
        <v>-326845.0</v>
      </c>
      <c r="Y107" s="21"/>
      <c r="Z107" s="21"/>
      <c r="AA107" s="21"/>
      <c r="AB107" s="21"/>
      <c r="AC107" s="21"/>
      <c r="AD107" s="21"/>
      <c r="AE107" s="21"/>
    </row>
    <row r="108" ht="18.0" hidden="1" customHeight="1" outlineLevel="1">
      <c r="A108" s="21"/>
      <c r="B108" s="51" t="s">
        <v>84</v>
      </c>
      <c r="C108" s="52" t="s">
        <v>46</v>
      </c>
      <c r="D108" s="53">
        <v>132352.0</v>
      </c>
      <c r="E108" s="53">
        <v>160300.0</v>
      </c>
      <c r="F108" s="53">
        <v>384609.0</v>
      </c>
      <c r="G108" s="53">
        <v>89800.0</v>
      </c>
      <c r="H108" s="53">
        <v>89800.0</v>
      </c>
      <c r="I108" s="53">
        <v>97800.0</v>
      </c>
      <c r="J108" s="53"/>
      <c r="K108" s="53">
        <v>149500.0</v>
      </c>
      <c r="L108" s="53">
        <v>1104161.0</v>
      </c>
      <c r="M108" s="71"/>
      <c r="N108" s="53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ht="18.0" hidden="1" customHeight="1" outlineLevel="1">
      <c r="A109" s="21"/>
      <c r="B109" s="51"/>
      <c r="C109" s="54" t="s">
        <v>41</v>
      </c>
      <c r="D109" s="55">
        <v>128620.0</v>
      </c>
      <c r="E109" s="55">
        <v>128601.0</v>
      </c>
      <c r="F109" s="55">
        <v>379413.0</v>
      </c>
      <c r="G109" s="55">
        <v>14040.0</v>
      </c>
      <c r="H109" s="55">
        <v>43325.0</v>
      </c>
      <c r="I109" s="55">
        <v>42325.0</v>
      </c>
      <c r="J109" s="55">
        <v>0.0</v>
      </c>
      <c r="K109" s="55">
        <v>203067.0</v>
      </c>
      <c r="L109" s="55">
        <v>939391.0</v>
      </c>
      <c r="M109" s="72"/>
      <c r="N109" s="55">
        <v>-603292.0</v>
      </c>
      <c r="O109" s="21"/>
      <c r="P109" s="21">
        <v>-3732.0</v>
      </c>
      <c r="Q109" s="21">
        <v>-31699.0</v>
      </c>
      <c r="R109" s="21">
        <v>-5196.0</v>
      </c>
      <c r="S109" s="21">
        <v>-75760.0</v>
      </c>
      <c r="T109" s="21">
        <v>-46475.0</v>
      </c>
      <c r="U109" s="21">
        <v>-55475.0</v>
      </c>
      <c r="V109" s="21">
        <v>0.0</v>
      </c>
      <c r="W109" s="21">
        <v>53567.0</v>
      </c>
      <c r="X109" s="21">
        <v>-164770.0</v>
      </c>
      <c r="Y109" s="21"/>
      <c r="Z109" s="21"/>
      <c r="AA109" s="21"/>
      <c r="AB109" s="21"/>
      <c r="AC109" s="21"/>
      <c r="AD109" s="21"/>
      <c r="AE109" s="21"/>
    </row>
    <row r="110" ht="18.0" hidden="1" customHeight="1" outlineLevel="1">
      <c r="A110" s="21"/>
      <c r="B110" s="51" t="s">
        <v>85</v>
      </c>
      <c r="C110" s="52" t="s">
        <v>46</v>
      </c>
      <c r="D110" s="53">
        <v>234176.0</v>
      </c>
      <c r="E110" s="53">
        <v>256426.0</v>
      </c>
      <c r="F110" s="53">
        <v>946897.0</v>
      </c>
      <c r="G110" s="53">
        <v>37900.0</v>
      </c>
      <c r="H110" s="53">
        <v>37255.0</v>
      </c>
      <c r="I110" s="53">
        <v>62600.0</v>
      </c>
      <c r="J110" s="53"/>
      <c r="K110" s="53">
        <v>50000.0</v>
      </c>
      <c r="L110" s="53">
        <v>1625254.0</v>
      </c>
      <c r="M110" s="71"/>
      <c r="N110" s="53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ht="18.0" hidden="1" customHeight="1" outlineLevel="1">
      <c r="A111" s="21"/>
      <c r="B111" s="51"/>
      <c r="C111" s="54" t="s">
        <v>41</v>
      </c>
      <c r="D111" s="55">
        <v>69162.0</v>
      </c>
      <c r="E111" s="55">
        <v>182240.0</v>
      </c>
      <c r="F111" s="55">
        <v>816897.0</v>
      </c>
      <c r="G111" s="55">
        <v>169060.0</v>
      </c>
      <c r="H111" s="55">
        <v>64335.0</v>
      </c>
      <c r="I111" s="55">
        <v>115420.0</v>
      </c>
      <c r="J111" s="55">
        <v>0.0</v>
      </c>
      <c r="K111" s="55">
        <v>0.0</v>
      </c>
      <c r="L111" s="55">
        <v>1417114.0</v>
      </c>
      <c r="M111" s="72"/>
      <c r="N111" s="55">
        <v>0.0</v>
      </c>
      <c r="O111" s="21"/>
      <c r="P111" s="21">
        <v>-165014.0</v>
      </c>
      <c r="Q111" s="21">
        <v>-74186.0</v>
      </c>
      <c r="R111" s="21">
        <v>-130000.0</v>
      </c>
      <c r="S111" s="21">
        <v>131160.0</v>
      </c>
      <c r="T111" s="21">
        <v>27080.0</v>
      </c>
      <c r="U111" s="21">
        <v>52820.0</v>
      </c>
      <c r="V111" s="21">
        <v>0.0</v>
      </c>
      <c r="W111" s="21">
        <v>-50000.0</v>
      </c>
      <c r="X111" s="21">
        <v>-208140.0</v>
      </c>
      <c r="Y111" s="21"/>
      <c r="Z111" s="21"/>
      <c r="AA111" s="21"/>
      <c r="AB111" s="21"/>
      <c r="AC111" s="21"/>
      <c r="AD111" s="21"/>
      <c r="AE111" s="21"/>
    </row>
    <row r="112" ht="18.0" hidden="1" customHeight="1" outlineLevel="1">
      <c r="A112" s="21"/>
      <c r="B112" s="51" t="s">
        <v>86</v>
      </c>
      <c r="C112" s="52" t="s">
        <v>46</v>
      </c>
      <c r="D112" s="53">
        <v>0.0</v>
      </c>
      <c r="E112" s="53">
        <v>0.0</v>
      </c>
      <c r="F112" s="53">
        <v>0.0</v>
      </c>
      <c r="G112" s="53">
        <v>0.0</v>
      </c>
      <c r="H112" s="53">
        <v>0.0</v>
      </c>
      <c r="I112" s="53">
        <v>0.0</v>
      </c>
      <c r="J112" s="53"/>
      <c r="K112" s="53">
        <v>0.0</v>
      </c>
      <c r="L112" s="53">
        <v>0.0</v>
      </c>
      <c r="M112" s="71"/>
      <c r="N112" s="53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ht="18.0" hidden="1" customHeight="1" outlineLevel="1">
      <c r="A113" s="21"/>
      <c r="B113" s="51"/>
      <c r="C113" s="54" t="s">
        <v>41</v>
      </c>
      <c r="D113" s="55">
        <v>8000.0</v>
      </c>
      <c r="E113" s="55">
        <v>0.0</v>
      </c>
      <c r="F113" s="55">
        <v>0.0</v>
      </c>
      <c r="G113" s="55">
        <v>0.0</v>
      </c>
      <c r="H113" s="55">
        <v>0.0</v>
      </c>
      <c r="I113" s="55">
        <v>0.0</v>
      </c>
      <c r="J113" s="55">
        <v>0.0</v>
      </c>
      <c r="K113" s="55">
        <v>0.0</v>
      </c>
      <c r="L113" s="55">
        <v>8000.0</v>
      </c>
      <c r="M113" s="72"/>
      <c r="N113" s="55">
        <v>546.0</v>
      </c>
      <c r="O113" s="21"/>
      <c r="P113" s="21">
        <v>8000.0</v>
      </c>
      <c r="Q113" s="21">
        <v>0.0</v>
      </c>
      <c r="R113" s="21">
        <v>0.0</v>
      </c>
      <c r="S113" s="21">
        <v>0.0</v>
      </c>
      <c r="T113" s="21">
        <v>0.0</v>
      </c>
      <c r="U113" s="21">
        <v>0.0</v>
      </c>
      <c r="V113" s="21">
        <v>0.0</v>
      </c>
      <c r="W113" s="21">
        <v>0.0</v>
      </c>
      <c r="X113" s="21">
        <v>8000.0</v>
      </c>
      <c r="Y113" s="21"/>
      <c r="Z113" s="21"/>
      <c r="AA113" s="21"/>
      <c r="AB113" s="21"/>
      <c r="AC113" s="21"/>
      <c r="AD113" s="21"/>
      <c r="AE113" s="21"/>
    </row>
    <row r="114" ht="18.0" customHeight="1" collapsed="1">
      <c r="A114" s="21"/>
      <c r="B114" s="21" t="s">
        <v>31</v>
      </c>
      <c r="C114" s="21" t="s">
        <v>46</v>
      </c>
      <c r="D114" s="24">
        <v>1377776.0</v>
      </c>
      <c r="E114" s="24">
        <v>1611225.0</v>
      </c>
      <c r="F114" s="24">
        <v>3499285.0</v>
      </c>
      <c r="G114" s="24">
        <v>506231.0</v>
      </c>
      <c r="H114" s="24">
        <v>626024.0</v>
      </c>
      <c r="I114" s="24">
        <v>369761.0</v>
      </c>
      <c r="J114" s="24"/>
      <c r="K114" s="24">
        <v>863362.0</v>
      </c>
      <c r="L114" s="24">
        <v>8853664.0</v>
      </c>
      <c r="M114" s="71"/>
      <c r="N114" s="24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ht="18.0" customHeight="1">
      <c r="A115" s="21"/>
      <c r="B115" s="21"/>
      <c r="C115" s="30" t="s">
        <v>41</v>
      </c>
      <c r="D115" s="39">
        <v>1539709.0</v>
      </c>
      <c r="E115" s="39">
        <v>1800596.0</v>
      </c>
      <c r="F115" s="39">
        <v>3910559.0</v>
      </c>
      <c r="G115" s="39">
        <v>565730.0</v>
      </c>
      <c r="H115" s="39">
        <v>699602.0</v>
      </c>
      <c r="I115" s="39">
        <v>413220.0</v>
      </c>
      <c r="J115" s="39">
        <v>0.0</v>
      </c>
      <c r="K115" s="39">
        <v>964835.0</v>
      </c>
      <c r="L115" s="39">
        <v>9894251.0</v>
      </c>
      <c r="M115" s="72"/>
      <c r="N115" s="39">
        <v>0.0</v>
      </c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ht="18.0" customHeight="1">
      <c r="A116" s="21"/>
      <c r="B116" s="22" t="s">
        <v>32</v>
      </c>
      <c r="C116" s="35" t="s">
        <v>46</v>
      </c>
      <c r="D116" s="37">
        <v>1.23648913E7</v>
      </c>
      <c r="E116" s="37">
        <v>1.20015732E7</v>
      </c>
      <c r="F116" s="37">
        <v>3.332362477E7</v>
      </c>
      <c r="G116" s="37">
        <v>5599125.5600000005</v>
      </c>
      <c r="H116" s="37">
        <v>7070755.234999999</v>
      </c>
      <c r="I116" s="37">
        <v>4897559.323</v>
      </c>
      <c r="J116" s="37">
        <v>0.0</v>
      </c>
      <c r="K116" s="37">
        <v>7767032.0</v>
      </c>
      <c r="L116" s="37">
        <v>8.3024561388E7</v>
      </c>
      <c r="M116" s="69"/>
      <c r="N116" s="37">
        <v>0.0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ht="18.0" customHeight="1">
      <c r="A117" s="21"/>
      <c r="B117" s="22"/>
      <c r="C117" s="15" t="s">
        <v>41</v>
      </c>
      <c r="D117" s="23">
        <v>1.1782596E7</v>
      </c>
      <c r="E117" s="23">
        <v>1.1722114E7</v>
      </c>
      <c r="F117" s="23">
        <v>3.3642565E7</v>
      </c>
      <c r="G117" s="23">
        <v>5261751.0</v>
      </c>
      <c r="H117" s="23">
        <v>7717988.0</v>
      </c>
      <c r="I117" s="23">
        <v>4846435.0</v>
      </c>
      <c r="J117" s="23">
        <v>0.0</v>
      </c>
      <c r="K117" s="23">
        <v>7600105.0</v>
      </c>
      <c r="L117" s="23">
        <v>8.2573554E7</v>
      </c>
      <c r="M117" s="70"/>
      <c r="N117" s="23">
        <v>9894251.0</v>
      </c>
      <c r="O117" s="21"/>
      <c r="P117" s="21">
        <v>-582295.3000000007</v>
      </c>
      <c r="Q117" s="21">
        <v>-279459.19999999925</v>
      </c>
      <c r="R117" s="21">
        <v>318940.23000000045</v>
      </c>
      <c r="S117" s="21">
        <v>-337374.5600000005</v>
      </c>
      <c r="T117" s="21">
        <v>647232.7650000006</v>
      </c>
      <c r="U117" s="21">
        <v>-51124.32299999986</v>
      </c>
      <c r="V117" s="21">
        <v>0.0</v>
      </c>
      <c r="W117" s="21">
        <v>-166927.0</v>
      </c>
      <c r="X117" s="21">
        <v>-451007.38799999654</v>
      </c>
      <c r="Y117" s="21"/>
      <c r="Z117" s="21"/>
      <c r="AA117" s="21"/>
      <c r="AB117" s="21"/>
      <c r="AC117" s="21"/>
      <c r="AD117" s="21"/>
      <c r="AE117" s="21"/>
    </row>
    <row r="118" ht="18.0" customHeight="1">
      <c r="A118" s="21"/>
      <c r="B118" s="25" t="s">
        <v>33</v>
      </c>
      <c r="C118" s="57" t="s">
        <v>46</v>
      </c>
      <c r="D118" s="58">
        <v>-1178549.7000000011</v>
      </c>
      <c r="E118" s="58">
        <v>1235810.0</v>
      </c>
      <c r="F118" s="58">
        <v>6883424.969622504</v>
      </c>
      <c r="G118" s="58">
        <v>-789765.3315000003</v>
      </c>
      <c r="H118" s="58">
        <v>140117.75425000023</v>
      </c>
      <c r="I118" s="58">
        <v>1014157.6770000001</v>
      </c>
      <c r="J118" s="58">
        <v>0.0</v>
      </c>
      <c r="K118" s="58">
        <v>1191208.0</v>
      </c>
      <c r="L118" s="58">
        <v>8496403.369372502</v>
      </c>
      <c r="M118" s="69"/>
      <c r="N118" s="58">
        <v>0.0</v>
      </c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ht="18.0" customHeight="1">
      <c r="A119" s="21"/>
      <c r="B119" s="25"/>
      <c r="C119" s="59" t="s">
        <v>41</v>
      </c>
      <c r="D119" s="26">
        <v>-910507.0</v>
      </c>
      <c r="E119" s="26">
        <v>2364210.0</v>
      </c>
      <c r="F119" s="26">
        <v>6528875.0</v>
      </c>
      <c r="G119" s="26">
        <v>-238599.0</v>
      </c>
      <c r="H119" s="26">
        <v>-489666.0</v>
      </c>
      <c r="I119" s="26">
        <v>1000998.0</v>
      </c>
      <c r="J119" s="26">
        <v>0.0</v>
      </c>
      <c r="K119" s="26">
        <v>1918179.0</v>
      </c>
      <c r="L119" s="26">
        <v>1.017349E7</v>
      </c>
      <c r="M119" s="70"/>
      <c r="N119" s="26">
        <v>-9894251.0</v>
      </c>
      <c r="O119" s="21"/>
      <c r="P119" s="21">
        <v>268042.7000000011</v>
      </c>
      <c r="Q119" s="21">
        <v>1128400.0</v>
      </c>
      <c r="R119" s="21">
        <v>-354549.96962250397</v>
      </c>
      <c r="S119" s="21">
        <v>551166.3315000003</v>
      </c>
      <c r="T119" s="21">
        <v>-629783.7542500002</v>
      </c>
      <c r="U119" s="21">
        <v>-13159.677000000142</v>
      </c>
      <c r="V119" s="21">
        <v>0.0</v>
      </c>
      <c r="W119" s="21">
        <v>726971.0</v>
      </c>
      <c r="X119" s="21">
        <v>1677086.630627498</v>
      </c>
      <c r="Y119" s="21"/>
      <c r="Z119" s="21"/>
      <c r="AA119" s="21"/>
      <c r="AB119" s="21"/>
      <c r="AC119" s="21"/>
      <c r="AD119" s="21"/>
      <c r="AE119" s="21"/>
    </row>
    <row r="120" ht="18.0" customHeight="1">
      <c r="A120" s="27"/>
      <c r="B120" s="28" t="s">
        <v>34</v>
      </c>
      <c r="C120" s="28"/>
      <c r="D120" s="29">
        <v>-0.06676850404648489</v>
      </c>
      <c r="E120" s="29">
        <v>0.14680439139616397</v>
      </c>
      <c r="F120" s="29">
        <v>0.13175719064155295</v>
      </c>
      <c r="G120" s="29">
        <v>-0.0429051473985004</v>
      </c>
      <c r="H120" s="29">
        <v>-0.05973280491889949</v>
      </c>
      <c r="I120" s="29">
        <v>0.1696034152536974</v>
      </c>
      <c r="J120" s="29" t="e">
        <v>#DIV/0!</v>
      </c>
      <c r="K120" s="29">
        <v>0.19336565672613298</v>
      </c>
      <c r="L120" s="29">
        <v>0.09344259396565165</v>
      </c>
      <c r="M120" s="73"/>
      <c r="N120" s="29" t="e">
        <v>#DIV/0!</v>
      </c>
      <c r="O120" s="27"/>
      <c r="P120" s="27"/>
      <c r="Q120" s="60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8.0" customHeight="1">
      <c r="A122" s="4"/>
      <c r="B122" s="25" t="s">
        <v>90</v>
      </c>
      <c r="C122" s="25"/>
      <c r="D122" s="26">
        <v>1082656.0</v>
      </c>
      <c r="E122" s="26">
        <v>2674067.0</v>
      </c>
      <c r="F122" s="26">
        <v>668824.0</v>
      </c>
      <c r="G122" s="26">
        <v>-483862.0</v>
      </c>
      <c r="H122" s="26">
        <v>699727.0</v>
      </c>
      <c r="I122" s="26">
        <v>-401462.0</v>
      </c>
      <c r="J122" s="26">
        <v>0.0</v>
      </c>
      <c r="K122" s="26">
        <v>104133.0</v>
      </c>
      <c r="L122" s="26">
        <v>4344083.0</v>
      </c>
      <c r="M122" s="70"/>
      <c r="N122" s="2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8.0" customHeight="1">
      <c r="A123" s="4"/>
      <c r="B123" s="25" t="s">
        <v>88</v>
      </c>
      <c r="C123" s="25"/>
      <c r="D123" s="26">
        <v>-1993163.0</v>
      </c>
      <c r="E123" s="26">
        <v>-309857.0</v>
      </c>
      <c r="F123" s="26">
        <v>5860051.0</v>
      </c>
      <c r="G123" s="26">
        <v>245263.0</v>
      </c>
      <c r="H123" s="26">
        <v>-1189393.0</v>
      </c>
      <c r="I123" s="26">
        <v>1402460.0</v>
      </c>
      <c r="J123" s="26">
        <v>0.0</v>
      </c>
      <c r="K123" s="26">
        <v>1814046.0</v>
      </c>
      <c r="L123" s="26">
        <v>5829407.0</v>
      </c>
      <c r="M123" s="70"/>
      <c r="N123" s="2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8.0" customHeight="1">
      <c r="A124" s="4"/>
      <c r="B124" s="4"/>
      <c r="C124" s="4"/>
      <c r="D124" s="61">
        <v>0.15561647697495637</v>
      </c>
      <c r="E124" s="61">
        <v>0.18198397861043744</v>
      </c>
      <c r="F124" s="61">
        <v>0.3952358029398902</v>
      </c>
      <c r="G124" s="61">
        <v>0.05717757077747698</v>
      </c>
      <c r="H124" s="61">
        <v>0.07070790127115734</v>
      </c>
      <c r="I124" s="61">
        <v>0.04176361334697138</v>
      </c>
      <c r="J124" s="61">
        <v>0.0</v>
      </c>
      <c r="K124" s="61">
        <v>0.09751465607911029</v>
      </c>
      <c r="L124" s="61">
        <v>1.0</v>
      </c>
      <c r="M124" s="6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8.0" hidden="1" customHeight="1" outlineLevel="1">
      <c r="A126" s="4"/>
      <c r="B126" s="4"/>
      <c r="C126" s="4" t="s">
        <v>40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8.0" hidden="1" customHeight="1" outlineLevel="1">
      <c r="A127" s="74"/>
      <c r="B127" s="74" t="s">
        <v>91</v>
      </c>
      <c r="C127" s="74" t="s">
        <v>41</v>
      </c>
      <c r="D127" s="62">
        <v>0.0</v>
      </c>
      <c r="E127" s="62">
        <v>0.0</v>
      </c>
      <c r="F127" s="62">
        <v>0.0</v>
      </c>
      <c r="G127" s="62">
        <v>0.0</v>
      </c>
      <c r="H127" s="62">
        <v>0.0</v>
      </c>
      <c r="I127" s="62">
        <v>0.0</v>
      </c>
      <c r="J127" s="62">
        <v>0.0</v>
      </c>
      <c r="K127" s="62">
        <v>0.0</v>
      </c>
      <c r="L127" s="62">
        <v>0.0</v>
      </c>
      <c r="M127" s="62"/>
      <c r="N127" s="62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</row>
    <row r="128" ht="18.0" hidden="1" customHeight="1" outlineLevel="1">
      <c r="A128" s="74"/>
      <c r="B128" s="74"/>
      <c r="C128" s="74" t="s">
        <v>92</v>
      </c>
      <c r="D128" s="62">
        <v>0.0</v>
      </c>
      <c r="E128" s="62">
        <v>0.0</v>
      </c>
      <c r="F128" s="62">
        <v>0.0</v>
      </c>
      <c r="G128" s="62">
        <v>0.0</v>
      </c>
      <c r="H128" s="62">
        <v>0.0</v>
      </c>
      <c r="I128" s="62">
        <v>0.0</v>
      </c>
      <c r="J128" s="62">
        <v>0.0</v>
      </c>
      <c r="K128" s="62">
        <v>0.0</v>
      </c>
      <c r="L128" s="62">
        <v>0.0</v>
      </c>
      <c r="M128" s="62"/>
      <c r="N128" s="62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</row>
    <row r="129" ht="18.0" hidden="1" customHeight="1" outlineLevel="1">
      <c r="A129" s="74"/>
      <c r="B129" s="74"/>
      <c r="C129" s="75" t="s">
        <v>93</v>
      </c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</row>
    <row r="130" ht="18.0" hidden="1" customHeight="1" outlineLevel="1">
      <c r="A130" s="4"/>
      <c r="B130" s="4"/>
      <c r="C130" s="75" t="s">
        <v>94</v>
      </c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8.0" hidden="1" customHeight="1" outlineLevel="1">
      <c r="A131" s="4"/>
      <c r="B131" s="4"/>
      <c r="C131" s="74" t="s">
        <v>95</v>
      </c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8.0" customHeight="1" collapsed="1">
      <c r="A132" s="4"/>
      <c r="B132" s="4"/>
      <c r="C132" s="4"/>
      <c r="D132" s="4"/>
      <c r="E132" s="4"/>
      <c r="F132" s="4" t="s">
        <v>89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M328" s="76"/>
    </row>
    <row r="329" ht="15.75" customHeight="1">
      <c r="M329" s="76"/>
    </row>
    <row r="330" ht="15.75" customHeight="1">
      <c r="M330" s="76"/>
    </row>
    <row r="331" ht="15.75" customHeight="1">
      <c r="M331" s="76"/>
    </row>
    <row r="332" ht="15.75" customHeight="1">
      <c r="M332" s="76"/>
    </row>
    <row r="333" ht="15.75" customHeight="1">
      <c r="M333" s="76"/>
    </row>
    <row r="334" ht="15.75" customHeight="1">
      <c r="M334" s="76"/>
    </row>
    <row r="335" ht="15.75" customHeight="1">
      <c r="M335" s="76"/>
    </row>
    <row r="336" ht="15.75" customHeight="1">
      <c r="M336" s="76"/>
    </row>
    <row r="337" ht="15.75" customHeight="1">
      <c r="M337" s="76"/>
    </row>
    <row r="338" ht="15.75" customHeight="1">
      <c r="M338" s="76"/>
    </row>
    <row r="339" ht="15.75" customHeight="1">
      <c r="M339" s="76"/>
    </row>
    <row r="340" ht="15.75" customHeight="1">
      <c r="M340" s="76"/>
    </row>
    <row r="341" ht="15.75" customHeight="1">
      <c r="M341" s="76"/>
    </row>
    <row r="342" ht="15.75" customHeight="1">
      <c r="M342" s="76"/>
    </row>
    <row r="343" ht="15.75" customHeight="1">
      <c r="M343" s="76"/>
    </row>
    <row r="344" ht="15.75" customHeight="1">
      <c r="M344" s="76"/>
    </row>
    <row r="345" ht="15.75" customHeight="1">
      <c r="M345" s="76"/>
    </row>
    <row r="346" ht="15.75" customHeight="1">
      <c r="M346" s="76"/>
    </row>
    <row r="347" ht="15.75" customHeight="1">
      <c r="M347" s="76"/>
    </row>
    <row r="348" ht="15.75" customHeight="1">
      <c r="M348" s="76"/>
    </row>
    <row r="349" ht="15.75" customHeight="1">
      <c r="M349" s="76"/>
    </row>
    <row r="350" ht="15.75" customHeight="1">
      <c r="M350" s="76"/>
    </row>
    <row r="351" ht="15.75" customHeight="1">
      <c r="M351" s="76"/>
    </row>
    <row r="352" ht="15.75" customHeight="1">
      <c r="M352" s="76"/>
    </row>
    <row r="353" ht="15.75" customHeight="1">
      <c r="M353" s="76"/>
    </row>
    <row r="354" ht="15.75" customHeight="1">
      <c r="M354" s="76"/>
    </row>
    <row r="355" ht="15.75" customHeight="1">
      <c r="M355" s="76"/>
    </row>
    <row r="356" ht="15.75" customHeight="1">
      <c r="M356" s="76"/>
    </row>
    <row r="357" ht="15.75" customHeight="1">
      <c r="M357" s="76"/>
    </row>
    <row r="358" ht="15.75" customHeight="1">
      <c r="M358" s="76"/>
    </row>
    <row r="359" ht="15.75" customHeight="1">
      <c r="M359" s="76"/>
    </row>
    <row r="360" ht="15.75" customHeight="1">
      <c r="M360" s="76"/>
    </row>
    <row r="361" ht="15.75" customHeight="1">
      <c r="M361" s="76"/>
    </row>
    <row r="362" ht="15.75" customHeight="1">
      <c r="M362" s="76"/>
    </row>
    <row r="363" ht="15.75" customHeight="1">
      <c r="M363" s="76"/>
    </row>
    <row r="364" ht="15.75" customHeight="1">
      <c r="M364" s="76"/>
    </row>
    <row r="365" ht="15.75" customHeight="1">
      <c r="M365" s="76"/>
    </row>
    <row r="366" ht="15.75" customHeight="1">
      <c r="M366" s="76"/>
    </row>
    <row r="367" ht="15.75" customHeight="1">
      <c r="M367" s="76"/>
    </row>
    <row r="368" ht="15.75" customHeight="1">
      <c r="M368" s="76"/>
    </row>
    <row r="369" ht="15.75" customHeight="1">
      <c r="M369" s="76"/>
    </row>
    <row r="370" ht="15.75" customHeight="1">
      <c r="M370" s="76"/>
    </row>
    <row r="371" ht="15.75" customHeight="1">
      <c r="M371" s="76"/>
    </row>
    <row r="372" ht="15.75" customHeight="1">
      <c r="M372" s="76"/>
    </row>
    <row r="373" ht="15.75" customHeight="1">
      <c r="M373" s="76"/>
    </row>
    <row r="374" ht="15.75" customHeight="1">
      <c r="M374" s="76"/>
    </row>
    <row r="375" ht="15.75" customHeight="1">
      <c r="M375" s="76"/>
    </row>
    <row r="376" ht="15.75" customHeight="1">
      <c r="M376" s="76"/>
    </row>
    <row r="377" ht="15.75" customHeight="1">
      <c r="M377" s="76"/>
    </row>
    <row r="378" ht="15.75" customHeight="1">
      <c r="M378" s="76"/>
    </row>
    <row r="379" ht="15.75" customHeight="1">
      <c r="M379" s="76"/>
    </row>
    <row r="380" ht="15.75" customHeight="1">
      <c r="M380" s="76"/>
    </row>
    <row r="381" ht="15.75" customHeight="1">
      <c r="M381" s="76"/>
    </row>
    <row r="382" ht="15.75" customHeight="1">
      <c r="M382" s="76"/>
    </row>
    <row r="383" ht="15.75" customHeight="1">
      <c r="M383" s="76"/>
    </row>
    <row r="384" ht="15.75" customHeight="1">
      <c r="M384" s="76"/>
    </row>
    <row r="385" ht="15.75" customHeight="1">
      <c r="M385" s="76"/>
    </row>
    <row r="386" ht="15.75" customHeight="1">
      <c r="M386" s="76"/>
    </row>
    <row r="387" ht="15.75" customHeight="1">
      <c r="M387" s="76"/>
    </row>
    <row r="388" ht="15.75" customHeight="1">
      <c r="M388" s="76"/>
    </row>
    <row r="389" ht="15.75" customHeight="1">
      <c r="M389" s="76"/>
    </row>
    <row r="390" ht="15.75" customHeight="1">
      <c r="M390" s="76"/>
    </row>
    <row r="391" ht="15.75" customHeight="1">
      <c r="M391" s="76"/>
    </row>
    <row r="392" ht="15.75" customHeight="1">
      <c r="M392" s="76"/>
    </row>
    <row r="393" ht="15.75" customHeight="1">
      <c r="M393" s="76"/>
    </row>
    <row r="394" ht="15.75" customHeight="1">
      <c r="M394" s="76"/>
    </row>
    <row r="395" ht="15.75" customHeight="1">
      <c r="M395" s="76"/>
    </row>
    <row r="396" ht="15.75" customHeight="1">
      <c r="M396" s="76"/>
    </row>
    <row r="397" ht="15.75" customHeight="1">
      <c r="M397" s="76"/>
    </row>
    <row r="398" ht="15.75" customHeight="1">
      <c r="M398" s="76"/>
    </row>
    <row r="399" ht="15.75" customHeight="1">
      <c r="M399" s="76"/>
    </row>
    <row r="400" ht="15.75" customHeight="1">
      <c r="M400" s="76"/>
    </row>
    <row r="401" ht="15.75" customHeight="1">
      <c r="M401" s="76"/>
    </row>
    <row r="402" ht="15.75" customHeight="1">
      <c r="M402" s="76"/>
    </row>
    <row r="403" ht="15.75" customHeight="1">
      <c r="M403" s="76"/>
    </row>
    <row r="404" ht="15.75" customHeight="1">
      <c r="M404" s="76"/>
    </row>
    <row r="405" ht="15.75" customHeight="1">
      <c r="M405" s="76"/>
    </row>
    <row r="406" ht="15.75" customHeight="1">
      <c r="M406" s="76"/>
    </row>
    <row r="407" ht="15.75" customHeight="1">
      <c r="M407" s="76"/>
    </row>
    <row r="408" ht="15.75" customHeight="1">
      <c r="M408" s="76"/>
    </row>
    <row r="409" ht="15.75" customHeight="1">
      <c r="M409" s="76"/>
    </row>
    <row r="410" ht="15.75" customHeight="1">
      <c r="M410" s="76"/>
    </row>
    <row r="411" ht="15.75" customHeight="1">
      <c r="M411" s="76"/>
    </row>
    <row r="412" ht="15.75" customHeight="1">
      <c r="M412" s="76"/>
    </row>
    <row r="413" ht="15.75" customHeight="1">
      <c r="M413" s="76"/>
    </row>
    <row r="414" ht="15.75" customHeight="1">
      <c r="M414" s="76"/>
    </row>
    <row r="415" ht="15.75" customHeight="1">
      <c r="M415" s="76"/>
    </row>
    <row r="416" ht="15.75" customHeight="1">
      <c r="M416" s="76"/>
    </row>
    <row r="417" ht="15.75" customHeight="1">
      <c r="M417" s="76"/>
    </row>
    <row r="418" ht="15.75" customHeight="1">
      <c r="M418" s="76"/>
    </row>
    <row r="419" ht="15.75" customHeight="1">
      <c r="M419" s="76"/>
    </row>
    <row r="420" ht="15.75" customHeight="1">
      <c r="M420" s="76"/>
    </row>
    <row r="421" ht="15.75" customHeight="1">
      <c r="M421" s="76"/>
    </row>
    <row r="422" ht="15.75" customHeight="1">
      <c r="M422" s="76"/>
    </row>
    <row r="423" ht="15.75" customHeight="1">
      <c r="M423" s="76"/>
    </row>
    <row r="424" ht="15.75" customHeight="1">
      <c r="M424" s="76"/>
    </row>
    <row r="425" ht="15.75" customHeight="1">
      <c r="M425" s="76"/>
    </row>
    <row r="426" ht="15.75" customHeight="1">
      <c r="M426" s="76"/>
    </row>
    <row r="427" ht="15.75" customHeight="1">
      <c r="M427" s="76"/>
    </row>
    <row r="428" ht="15.75" customHeight="1">
      <c r="M428" s="76"/>
    </row>
    <row r="429" ht="15.75" customHeight="1">
      <c r="M429" s="76"/>
    </row>
    <row r="430" ht="15.75" customHeight="1">
      <c r="M430" s="76"/>
    </row>
    <row r="431" ht="15.75" customHeight="1">
      <c r="M431" s="76"/>
    </row>
    <row r="432" ht="15.75" customHeight="1">
      <c r="M432" s="76"/>
    </row>
    <row r="433" ht="15.75" customHeight="1">
      <c r="M433" s="76"/>
    </row>
    <row r="434" ht="15.75" customHeight="1">
      <c r="M434" s="76"/>
    </row>
    <row r="435" ht="15.75" customHeight="1">
      <c r="M435" s="76"/>
    </row>
    <row r="436" ht="15.75" customHeight="1">
      <c r="M436" s="76"/>
    </row>
    <row r="437" ht="15.75" customHeight="1">
      <c r="M437" s="76"/>
    </row>
    <row r="438" ht="15.75" customHeight="1">
      <c r="M438" s="76"/>
    </row>
    <row r="439" ht="15.75" customHeight="1">
      <c r="M439" s="76"/>
    </row>
    <row r="440" ht="15.75" customHeight="1">
      <c r="M440" s="76"/>
    </row>
    <row r="441" ht="15.75" customHeight="1">
      <c r="M441" s="76"/>
    </row>
    <row r="442" ht="15.75" customHeight="1">
      <c r="M442" s="76"/>
    </row>
    <row r="443" ht="15.75" customHeight="1">
      <c r="M443" s="76"/>
    </row>
    <row r="444" ht="15.75" customHeight="1">
      <c r="M444" s="76"/>
    </row>
    <row r="445" ht="15.75" customHeight="1">
      <c r="M445" s="76"/>
    </row>
    <row r="446" ht="15.75" customHeight="1">
      <c r="M446" s="76"/>
    </row>
    <row r="447" ht="15.75" customHeight="1">
      <c r="M447" s="76"/>
    </row>
    <row r="448" ht="15.75" customHeight="1">
      <c r="M448" s="76"/>
    </row>
    <row r="449" ht="15.75" customHeight="1">
      <c r="M449" s="76"/>
    </row>
    <row r="450" ht="15.75" customHeight="1">
      <c r="M450" s="76"/>
    </row>
    <row r="451" ht="15.75" customHeight="1">
      <c r="M451" s="76"/>
    </row>
    <row r="452" ht="15.75" customHeight="1">
      <c r="M452" s="76"/>
    </row>
    <row r="453" ht="15.75" customHeight="1">
      <c r="M453" s="76"/>
    </row>
    <row r="454" ht="15.75" customHeight="1">
      <c r="M454" s="76"/>
    </row>
    <row r="455" ht="15.75" customHeight="1">
      <c r="M455" s="76"/>
    </row>
    <row r="456" ht="15.75" customHeight="1">
      <c r="M456" s="76"/>
    </row>
    <row r="457" ht="15.75" customHeight="1">
      <c r="M457" s="76"/>
    </row>
    <row r="458" ht="15.75" customHeight="1">
      <c r="M458" s="76"/>
    </row>
    <row r="459" ht="15.75" customHeight="1">
      <c r="M459" s="76"/>
    </row>
    <row r="460" ht="15.75" customHeight="1">
      <c r="M460" s="76"/>
    </row>
    <row r="461" ht="15.75" customHeight="1">
      <c r="M461" s="76"/>
    </row>
    <row r="462" ht="15.75" customHeight="1">
      <c r="M462" s="76"/>
    </row>
    <row r="463" ht="15.75" customHeight="1">
      <c r="M463" s="76"/>
    </row>
    <row r="464" ht="15.75" customHeight="1">
      <c r="M464" s="76"/>
    </row>
    <row r="465" ht="15.75" customHeight="1">
      <c r="M465" s="76"/>
    </row>
    <row r="466" ht="15.75" customHeight="1">
      <c r="M466" s="76"/>
    </row>
    <row r="467" ht="15.75" customHeight="1">
      <c r="M467" s="76"/>
    </row>
    <row r="468" ht="15.75" customHeight="1">
      <c r="M468" s="76"/>
    </row>
    <row r="469" ht="15.75" customHeight="1">
      <c r="M469" s="76"/>
    </row>
    <row r="470" ht="15.75" customHeight="1">
      <c r="M470" s="76"/>
    </row>
    <row r="471" ht="15.75" customHeight="1">
      <c r="M471" s="76"/>
    </row>
    <row r="472" ht="15.75" customHeight="1">
      <c r="M472" s="76"/>
    </row>
    <row r="473" ht="15.75" customHeight="1">
      <c r="M473" s="76"/>
    </row>
    <row r="474" ht="15.75" customHeight="1">
      <c r="M474" s="76"/>
    </row>
    <row r="475" ht="15.75" customHeight="1">
      <c r="M475" s="76"/>
    </row>
    <row r="476" ht="15.75" customHeight="1">
      <c r="M476" s="76"/>
    </row>
    <row r="477" ht="15.75" customHeight="1">
      <c r="M477" s="76"/>
    </row>
    <row r="478" ht="15.75" customHeight="1">
      <c r="M478" s="76"/>
    </row>
    <row r="479" ht="15.75" customHeight="1">
      <c r="M479" s="76"/>
    </row>
    <row r="480" ht="15.75" customHeight="1">
      <c r="M480" s="76"/>
    </row>
    <row r="481" ht="15.75" customHeight="1">
      <c r="M481" s="76"/>
    </row>
    <row r="482" ht="15.75" customHeight="1">
      <c r="M482" s="76"/>
    </row>
    <row r="483" ht="15.75" customHeight="1">
      <c r="M483" s="76"/>
    </row>
    <row r="484" ht="15.75" customHeight="1">
      <c r="M484" s="76"/>
    </row>
    <row r="485" ht="15.75" customHeight="1">
      <c r="M485" s="76"/>
    </row>
    <row r="486" ht="15.75" customHeight="1">
      <c r="M486" s="76"/>
    </row>
    <row r="487" ht="15.75" customHeight="1">
      <c r="M487" s="76"/>
    </row>
    <row r="488" ht="15.75" customHeight="1">
      <c r="M488" s="76"/>
    </row>
    <row r="489" ht="15.75" customHeight="1">
      <c r="M489" s="76"/>
    </row>
    <row r="490" ht="15.75" customHeight="1">
      <c r="M490" s="76"/>
    </row>
    <row r="491" ht="15.75" customHeight="1">
      <c r="M491" s="76"/>
    </row>
    <row r="492" ht="15.75" customHeight="1">
      <c r="M492" s="76"/>
    </row>
    <row r="493" ht="15.75" customHeight="1">
      <c r="M493" s="76"/>
    </row>
    <row r="494" ht="15.75" customHeight="1">
      <c r="M494" s="76"/>
    </row>
    <row r="495" ht="15.75" customHeight="1">
      <c r="M495" s="76"/>
    </row>
    <row r="496" ht="15.75" customHeight="1">
      <c r="M496" s="76"/>
    </row>
    <row r="497" ht="15.75" customHeight="1">
      <c r="M497" s="76"/>
    </row>
    <row r="498" ht="15.75" customHeight="1">
      <c r="M498" s="76"/>
    </row>
    <row r="499" ht="15.75" customHeight="1">
      <c r="M499" s="76"/>
    </row>
    <row r="500" ht="15.75" customHeight="1">
      <c r="M500" s="76"/>
    </row>
    <row r="501" ht="15.75" customHeight="1">
      <c r="M501" s="76"/>
    </row>
    <row r="502" ht="15.75" customHeight="1">
      <c r="M502" s="76"/>
    </row>
    <row r="503" ht="15.75" customHeight="1">
      <c r="M503" s="76"/>
    </row>
    <row r="504" ht="15.75" customHeight="1">
      <c r="M504" s="76"/>
    </row>
    <row r="505" ht="15.75" customHeight="1">
      <c r="M505" s="76"/>
    </row>
    <row r="506" ht="15.75" customHeight="1">
      <c r="M506" s="76"/>
    </row>
    <row r="507" ht="15.75" customHeight="1">
      <c r="M507" s="76"/>
    </row>
    <row r="508" ht="15.75" customHeight="1">
      <c r="M508" s="76"/>
    </row>
    <row r="509" ht="15.75" customHeight="1">
      <c r="M509" s="76"/>
    </row>
    <row r="510" ht="15.75" customHeight="1">
      <c r="M510" s="76"/>
    </row>
    <row r="511" ht="15.75" customHeight="1">
      <c r="M511" s="76"/>
    </row>
    <row r="512" ht="15.75" customHeight="1">
      <c r="M512" s="76"/>
    </row>
    <row r="513" ht="15.75" customHeight="1">
      <c r="M513" s="76"/>
    </row>
    <row r="514" ht="15.75" customHeight="1">
      <c r="M514" s="76"/>
    </row>
    <row r="515" ht="15.75" customHeight="1">
      <c r="M515" s="76"/>
    </row>
    <row r="516" ht="15.75" customHeight="1">
      <c r="M516" s="76"/>
    </row>
    <row r="517" ht="15.75" customHeight="1">
      <c r="M517" s="76"/>
    </row>
    <row r="518" ht="15.75" customHeight="1">
      <c r="M518" s="76"/>
    </row>
    <row r="519" ht="15.75" customHeight="1">
      <c r="M519" s="76"/>
    </row>
    <row r="520" ht="15.75" customHeight="1">
      <c r="M520" s="76"/>
    </row>
    <row r="521" ht="15.75" customHeight="1">
      <c r="M521" s="76"/>
    </row>
    <row r="522" ht="15.75" customHeight="1">
      <c r="M522" s="76"/>
    </row>
    <row r="523" ht="15.75" customHeight="1">
      <c r="M523" s="76"/>
    </row>
    <row r="524" ht="15.75" customHeight="1">
      <c r="M524" s="76"/>
    </row>
    <row r="525" ht="15.75" customHeight="1">
      <c r="M525" s="76"/>
    </row>
    <row r="526" ht="15.75" customHeight="1">
      <c r="M526" s="76"/>
    </row>
    <row r="527" ht="15.75" customHeight="1">
      <c r="M527" s="76"/>
    </row>
    <row r="528" ht="15.75" customHeight="1">
      <c r="M528" s="76"/>
    </row>
    <row r="529" ht="15.75" customHeight="1">
      <c r="M529" s="76"/>
    </row>
    <row r="530" ht="15.75" customHeight="1">
      <c r="M530" s="76"/>
    </row>
    <row r="531" ht="15.75" customHeight="1">
      <c r="M531" s="76"/>
    </row>
    <row r="532" ht="15.75" customHeight="1">
      <c r="M532" s="76"/>
    </row>
    <row r="533" ht="15.75" customHeight="1">
      <c r="M533" s="76"/>
    </row>
    <row r="534" ht="15.75" customHeight="1">
      <c r="M534" s="76"/>
    </row>
    <row r="535" ht="15.75" customHeight="1">
      <c r="M535" s="76"/>
    </row>
    <row r="536" ht="15.75" customHeight="1">
      <c r="M536" s="76"/>
    </row>
    <row r="537" ht="15.75" customHeight="1">
      <c r="M537" s="76"/>
    </row>
    <row r="538" ht="15.75" customHeight="1">
      <c r="M538" s="76"/>
    </row>
    <row r="539" ht="15.75" customHeight="1">
      <c r="M539" s="76"/>
    </row>
    <row r="540" ht="15.75" customHeight="1">
      <c r="M540" s="76"/>
    </row>
    <row r="541" ht="15.75" customHeight="1">
      <c r="M541" s="76"/>
    </row>
    <row r="542" ht="15.75" customHeight="1">
      <c r="M542" s="76"/>
    </row>
    <row r="543" ht="15.75" customHeight="1">
      <c r="M543" s="76"/>
    </row>
    <row r="544" ht="15.75" customHeight="1">
      <c r="M544" s="76"/>
    </row>
    <row r="545" ht="15.75" customHeight="1">
      <c r="M545" s="76"/>
    </row>
    <row r="546" ht="15.75" customHeight="1">
      <c r="M546" s="76"/>
    </row>
    <row r="547" ht="15.75" customHeight="1">
      <c r="M547" s="76"/>
    </row>
    <row r="548" ht="15.75" customHeight="1">
      <c r="M548" s="76"/>
    </row>
    <row r="549" ht="15.75" customHeight="1">
      <c r="M549" s="76"/>
    </row>
    <row r="550" ht="15.75" customHeight="1">
      <c r="M550" s="76"/>
    </row>
    <row r="551" ht="15.75" customHeight="1">
      <c r="M551" s="76"/>
    </row>
    <row r="552" ht="15.75" customHeight="1">
      <c r="M552" s="76"/>
    </row>
    <row r="553" ht="15.75" customHeight="1">
      <c r="M553" s="76"/>
    </row>
    <row r="554" ht="15.75" customHeight="1">
      <c r="M554" s="76"/>
    </row>
    <row r="555" ht="15.75" customHeight="1">
      <c r="M555" s="76"/>
    </row>
    <row r="556" ht="15.75" customHeight="1">
      <c r="M556" s="76"/>
    </row>
    <row r="557" ht="15.75" customHeight="1">
      <c r="M557" s="76"/>
    </row>
    <row r="558" ht="15.75" customHeight="1">
      <c r="M558" s="76"/>
    </row>
    <row r="559" ht="15.75" customHeight="1">
      <c r="M559" s="76"/>
    </row>
    <row r="560" ht="15.75" customHeight="1">
      <c r="M560" s="76"/>
    </row>
    <row r="561" ht="15.75" customHeight="1">
      <c r="M561" s="76"/>
    </row>
    <row r="562" ht="15.75" customHeight="1">
      <c r="M562" s="76"/>
    </row>
    <row r="563" ht="15.75" customHeight="1">
      <c r="M563" s="76"/>
    </row>
    <row r="564" ht="15.75" customHeight="1">
      <c r="M564" s="76"/>
    </row>
    <row r="565" ht="15.75" customHeight="1">
      <c r="M565" s="76"/>
    </row>
    <row r="566" ht="15.75" customHeight="1">
      <c r="M566" s="76"/>
    </row>
    <row r="567" ht="15.75" customHeight="1">
      <c r="M567" s="76"/>
    </row>
    <row r="568" ht="15.75" customHeight="1">
      <c r="M568" s="76"/>
    </row>
    <row r="569" ht="15.75" customHeight="1">
      <c r="M569" s="76"/>
    </row>
    <row r="570" ht="15.75" customHeight="1">
      <c r="M570" s="76"/>
    </row>
    <row r="571" ht="15.75" customHeight="1">
      <c r="M571" s="76"/>
    </row>
    <row r="572" ht="15.75" customHeight="1">
      <c r="M572" s="76"/>
    </row>
    <row r="573" ht="15.75" customHeight="1">
      <c r="M573" s="76"/>
    </row>
    <row r="574" ht="15.75" customHeight="1">
      <c r="M574" s="76"/>
    </row>
    <row r="575" ht="15.75" customHeight="1">
      <c r="M575" s="76"/>
    </row>
    <row r="576" ht="15.75" customHeight="1">
      <c r="M576" s="76"/>
    </row>
    <row r="577" ht="15.75" customHeight="1">
      <c r="M577" s="76"/>
    </row>
    <row r="578" ht="15.75" customHeight="1">
      <c r="M578" s="76"/>
    </row>
    <row r="579" ht="15.75" customHeight="1">
      <c r="M579" s="76"/>
    </row>
    <row r="580" ht="15.75" customHeight="1">
      <c r="M580" s="76"/>
    </row>
    <row r="581" ht="15.75" customHeight="1">
      <c r="M581" s="76"/>
    </row>
    <row r="582" ht="15.75" customHeight="1">
      <c r="M582" s="76"/>
    </row>
    <row r="583" ht="15.75" customHeight="1">
      <c r="M583" s="76"/>
    </row>
    <row r="584" ht="15.75" customHeight="1">
      <c r="M584" s="76"/>
    </row>
    <row r="585" ht="15.75" customHeight="1">
      <c r="M585" s="76"/>
    </row>
    <row r="586" ht="15.75" customHeight="1">
      <c r="M586" s="76"/>
    </row>
    <row r="587" ht="15.75" customHeight="1">
      <c r="M587" s="76"/>
    </row>
    <row r="588" ht="15.75" customHeight="1">
      <c r="M588" s="76"/>
    </row>
    <row r="589" ht="15.75" customHeight="1">
      <c r="M589" s="76"/>
    </row>
    <row r="590" ht="15.75" customHeight="1">
      <c r="M590" s="76"/>
    </row>
    <row r="591" ht="15.75" customHeight="1">
      <c r="M591" s="76"/>
    </row>
    <row r="592" ht="15.75" customHeight="1">
      <c r="M592" s="76"/>
    </row>
    <row r="593" ht="15.75" customHeight="1">
      <c r="M593" s="76"/>
    </row>
    <row r="594" ht="15.75" customHeight="1">
      <c r="M594" s="76"/>
    </row>
    <row r="595" ht="15.75" customHeight="1">
      <c r="M595" s="76"/>
    </row>
    <row r="596" ht="15.75" customHeight="1">
      <c r="M596" s="76"/>
    </row>
    <row r="597" ht="15.75" customHeight="1">
      <c r="M597" s="76"/>
    </row>
    <row r="598" ht="15.75" customHeight="1">
      <c r="M598" s="76"/>
    </row>
    <row r="599" ht="15.75" customHeight="1">
      <c r="M599" s="76"/>
    </row>
    <row r="600" ht="15.75" customHeight="1">
      <c r="M600" s="76"/>
    </row>
    <row r="601" ht="15.75" customHeight="1">
      <c r="M601" s="76"/>
    </row>
    <row r="602" ht="15.75" customHeight="1">
      <c r="M602" s="76"/>
    </row>
    <row r="603" ht="15.75" customHeight="1">
      <c r="M603" s="76"/>
    </row>
    <row r="604" ht="15.75" customHeight="1">
      <c r="M604" s="76"/>
    </row>
    <row r="605" ht="15.75" customHeight="1">
      <c r="M605" s="76"/>
    </row>
    <row r="606" ht="15.75" customHeight="1">
      <c r="M606" s="76"/>
    </row>
    <row r="607" ht="15.75" customHeight="1">
      <c r="M607" s="76"/>
    </row>
    <row r="608" ht="15.75" customHeight="1">
      <c r="M608" s="76"/>
    </row>
    <row r="609" ht="15.75" customHeight="1">
      <c r="M609" s="76"/>
    </row>
    <row r="610" ht="15.75" customHeight="1">
      <c r="M610" s="76"/>
    </row>
    <row r="611" ht="15.75" customHeight="1">
      <c r="M611" s="76"/>
    </row>
    <row r="612" ht="15.75" customHeight="1">
      <c r="M612" s="76"/>
    </row>
    <row r="613" ht="15.75" customHeight="1">
      <c r="M613" s="76"/>
    </row>
    <row r="614" ht="15.75" customHeight="1">
      <c r="M614" s="76"/>
    </row>
    <row r="615" ht="15.75" customHeight="1">
      <c r="M615" s="76"/>
    </row>
    <row r="616" ht="15.75" customHeight="1">
      <c r="M616" s="76"/>
    </row>
    <row r="617" ht="15.75" customHeight="1">
      <c r="M617" s="76"/>
    </row>
    <row r="618" ht="15.75" customHeight="1">
      <c r="M618" s="76"/>
    </row>
    <row r="619" ht="15.75" customHeight="1">
      <c r="M619" s="76"/>
    </row>
    <row r="620" ht="15.75" customHeight="1">
      <c r="M620" s="76"/>
    </row>
    <row r="621" ht="15.75" customHeight="1">
      <c r="M621" s="76"/>
    </row>
    <row r="622" ht="15.75" customHeight="1">
      <c r="M622" s="76"/>
    </row>
    <row r="623" ht="15.75" customHeight="1">
      <c r="M623" s="76"/>
    </row>
    <row r="624" ht="15.75" customHeight="1">
      <c r="M624" s="76"/>
    </row>
    <row r="625" ht="15.75" customHeight="1">
      <c r="M625" s="76"/>
    </row>
    <row r="626" ht="15.75" customHeight="1">
      <c r="M626" s="76"/>
    </row>
    <row r="627" ht="15.75" customHeight="1">
      <c r="M627" s="76"/>
    </row>
    <row r="628" ht="15.75" customHeight="1">
      <c r="M628" s="76"/>
    </row>
    <row r="629" ht="15.75" customHeight="1">
      <c r="M629" s="76"/>
    </row>
    <row r="630" ht="15.75" customHeight="1">
      <c r="M630" s="76"/>
    </row>
    <row r="631" ht="15.75" customHeight="1">
      <c r="M631" s="76"/>
    </row>
    <row r="632" ht="15.75" customHeight="1">
      <c r="M632" s="76"/>
    </row>
    <row r="633" ht="15.75" customHeight="1">
      <c r="M633" s="76"/>
    </row>
    <row r="634" ht="15.75" customHeight="1">
      <c r="M634" s="76"/>
    </row>
    <row r="635" ht="15.75" customHeight="1">
      <c r="M635" s="76"/>
    </row>
    <row r="636" ht="15.75" customHeight="1">
      <c r="M636" s="76"/>
    </row>
    <row r="637" ht="15.75" customHeight="1">
      <c r="M637" s="76"/>
    </row>
    <row r="638" ht="15.75" customHeight="1">
      <c r="M638" s="76"/>
    </row>
    <row r="639" ht="15.75" customHeight="1">
      <c r="M639" s="76"/>
    </row>
    <row r="640" ht="15.75" customHeight="1">
      <c r="M640" s="76"/>
    </row>
    <row r="641" ht="15.75" customHeight="1">
      <c r="M641" s="76"/>
    </row>
    <row r="642" ht="15.75" customHeight="1">
      <c r="M642" s="76"/>
    </row>
    <row r="643" ht="15.75" customHeight="1">
      <c r="M643" s="76"/>
    </row>
    <row r="644" ht="15.75" customHeight="1">
      <c r="M644" s="76"/>
    </row>
    <row r="645" ht="15.75" customHeight="1">
      <c r="M645" s="76"/>
    </row>
    <row r="646" ht="15.75" customHeight="1">
      <c r="M646" s="76"/>
    </row>
    <row r="647" ht="15.75" customHeight="1">
      <c r="M647" s="76"/>
    </row>
    <row r="648" ht="15.75" customHeight="1">
      <c r="M648" s="76"/>
    </row>
    <row r="649" ht="15.75" customHeight="1">
      <c r="M649" s="76"/>
    </row>
    <row r="650" ht="15.75" customHeight="1">
      <c r="M650" s="76"/>
    </row>
    <row r="651" ht="15.75" customHeight="1">
      <c r="M651" s="76"/>
    </row>
    <row r="652" ht="15.75" customHeight="1">
      <c r="M652" s="76"/>
    </row>
    <row r="653" ht="15.75" customHeight="1">
      <c r="M653" s="76"/>
    </row>
    <row r="654" ht="15.75" customHeight="1">
      <c r="M654" s="76"/>
    </row>
    <row r="655" ht="15.75" customHeight="1">
      <c r="M655" s="76"/>
    </row>
    <row r="656" ht="15.75" customHeight="1">
      <c r="M656" s="76"/>
    </row>
    <row r="657" ht="15.75" customHeight="1">
      <c r="M657" s="76"/>
    </row>
    <row r="658" ht="15.75" customHeight="1">
      <c r="M658" s="76"/>
    </row>
    <row r="659" ht="15.75" customHeight="1">
      <c r="M659" s="76"/>
    </row>
    <row r="660" ht="15.75" customHeight="1">
      <c r="M660" s="76"/>
    </row>
    <row r="661" ht="15.75" customHeight="1">
      <c r="M661" s="76"/>
    </row>
    <row r="662" ht="15.75" customHeight="1">
      <c r="M662" s="76"/>
    </row>
    <row r="663" ht="15.75" customHeight="1">
      <c r="M663" s="76"/>
    </row>
    <row r="664" ht="15.75" customHeight="1">
      <c r="M664" s="76"/>
    </row>
    <row r="665" ht="15.75" customHeight="1">
      <c r="M665" s="76"/>
    </row>
    <row r="666" ht="15.75" customHeight="1">
      <c r="M666" s="76"/>
    </row>
    <row r="667" ht="15.75" customHeight="1">
      <c r="M667" s="76"/>
    </row>
    <row r="668" ht="15.75" customHeight="1">
      <c r="M668" s="76"/>
    </row>
    <row r="669" ht="15.75" customHeight="1">
      <c r="M669" s="76"/>
    </row>
    <row r="670" ht="15.75" customHeight="1">
      <c r="M670" s="76"/>
    </row>
    <row r="671" ht="15.75" customHeight="1">
      <c r="M671" s="76"/>
    </row>
    <row r="672" ht="15.75" customHeight="1">
      <c r="M672" s="76"/>
    </row>
    <row r="673" ht="15.75" customHeight="1">
      <c r="M673" s="76"/>
    </row>
    <row r="674" ht="15.75" customHeight="1">
      <c r="M674" s="76"/>
    </row>
    <row r="675" ht="15.75" customHeight="1">
      <c r="M675" s="76"/>
    </row>
    <row r="676" ht="15.75" customHeight="1">
      <c r="M676" s="76"/>
    </row>
    <row r="677" ht="15.75" customHeight="1">
      <c r="M677" s="76"/>
    </row>
    <row r="678" ht="15.75" customHeight="1">
      <c r="M678" s="76"/>
    </row>
    <row r="679" ht="15.75" customHeight="1">
      <c r="M679" s="76"/>
    </row>
    <row r="680" ht="15.75" customHeight="1">
      <c r="M680" s="76"/>
    </row>
    <row r="681" ht="15.75" customHeight="1">
      <c r="M681" s="76"/>
    </row>
    <row r="682" ht="15.75" customHeight="1">
      <c r="M682" s="76"/>
    </row>
    <row r="683" ht="15.75" customHeight="1">
      <c r="M683" s="76"/>
    </row>
    <row r="684" ht="15.75" customHeight="1">
      <c r="M684" s="76"/>
    </row>
    <row r="685" ht="15.75" customHeight="1">
      <c r="M685" s="76"/>
    </row>
    <row r="686" ht="15.75" customHeight="1">
      <c r="M686" s="76"/>
    </row>
    <row r="687" ht="15.75" customHeight="1">
      <c r="M687" s="76"/>
    </row>
    <row r="688" ht="15.75" customHeight="1">
      <c r="M688" s="76"/>
    </row>
    <row r="689" ht="15.75" customHeight="1">
      <c r="M689" s="76"/>
    </row>
    <row r="690" ht="15.75" customHeight="1">
      <c r="M690" s="76"/>
    </row>
    <row r="691" ht="15.75" customHeight="1">
      <c r="M691" s="76"/>
    </row>
    <row r="692" ht="15.75" customHeight="1">
      <c r="M692" s="76"/>
    </row>
    <row r="693" ht="15.75" customHeight="1">
      <c r="M693" s="76"/>
    </row>
    <row r="694" ht="15.75" customHeight="1">
      <c r="M694" s="76"/>
    </row>
    <row r="695" ht="15.75" customHeight="1">
      <c r="M695" s="76"/>
    </row>
    <row r="696" ht="15.75" customHeight="1">
      <c r="M696" s="76"/>
    </row>
    <row r="697" ht="15.75" customHeight="1">
      <c r="M697" s="76"/>
    </row>
    <row r="698" ht="15.75" customHeight="1">
      <c r="M698" s="76"/>
    </row>
    <row r="699" ht="15.75" customHeight="1">
      <c r="M699" s="76"/>
    </row>
    <row r="700" ht="15.75" customHeight="1">
      <c r="M700" s="76"/>
    </row>
    <row r="701" ht="15.75" customHeight="1">
      <c r="M701" s="76"/>
    </row>
    <row r="702" ht="15.75" customHeight="1">
      <c r="M702" s="76"/>
    </row>
    <row r="703" ht="15.75" customHeight="1">
      <c r="M703" s="76"/>
    </row>
    <row r="704" ht="15.75" customHeight="1">
      <c r="M704" s="76"/>
    </row>
    <row r="705" ht="15.75" customHeight="1">
      <c r="M705" s="76"/>
    </row>
    <row r="706" ht="15.75" customHeight="1">
      <c r="M706" s="76"/>
    </row>
    <row r="707" ht="15.75" customHeight="1">
      <c r="M707" s="76"/>
    </row>
    <row r="708" ht="15.75" customHeight="1">
      <c r="M708" s="76"/>
    </row>
    <row r="709" ht="15.75" customHeight="1">
      <c r="M709" s="76"/>
    </row>
    <row r="710" ht="15.75" customHeight="1">
      <c r="M710" s="76"/>
    </row>
    <row r="711" ht="15.75" customHeight="1">
      <c r="M711" s="76"/>
    </row>
    <row r="712" ht="15.75" customHeight="1">
      <c r="M712" s="76"/>
    </row>
    <row r="713" ht="15.75" customHeight="1">
      <c r="M713" s="76"/>
    </row>
    <row r="714" ht="15.75" customHeight="1">
      <c r="M714" s="76"/>
    </row>
    <row r="715" ht="15.75" customHeight="1">
      <c r="M715" s="76"/>
    </row>
    <row r="716" ht="15.75" customHeight="1">
      <c r="M716" s="76"/>
    </row>
    <row r="717" ht="15.75" customHeight="1">
      <c r="M717" s="76"/>
    </row>
    <row r="718" ht="15.75" customHeight="1">
      <c r="M718" s="76"/>
    </row>
    <row r="719" ht="15.75" customHeight="1">
      <c r="M719" s="76"/>
    </row>
    <row r="720" ht="15.75" customHeight="1">
      <c r="M720" s="76"/>
    </row>
    <row r="721" ht="15.75" customHeight="1">
      <c r="M721" s="76"/>
    </row>
    <row r="722" ht="15.75" customHeight="1">
      <c r="M722" s="76"/>
    </row>
    <row r="723" ht="15.75" customHeight="1">
      <c r="M723" s="76"/>
    </row>
    <row r="724" ht="15.75" customHeight="1">
      <c r="M724" s="76"/>
    </row>
    <row r="725" ht="15.75" customHeight="1">
      <c r="M725" s="76"/>
    </row>
    <row r="726" ht="15.75" customHeight="1">
      <c r="M726" s="76"/>
    </row>
    <row r="727" ht="15.75" customHeight="1">
      <c r="M727" s="76"/>
    </row>
    <row r="728" ht="15.75" customHeight="1">
      <c r="M728" s="76"/>
    </row>
    <row r="729" ht="15.75" customHeight="1">
      <c r="M729" s="76"/>
    </row>
    <row r="730" ht="15.75" customHeight="1">
      <c r="M730" s="76"/>
    </row>
    <row r="731" ht="15.75" customHeight="1">
      <c r="M731" s="76"/>
    </row>
    <row r="732" ht="15.75" customHeight="1">
      <c r="M732" s="76"/>
    </row>
    <row r="733" ht="15.75" customHeight="1">
      <c r="M733" s="76"/>
    </row>
    <row r="734" ht="15.75" customHeight="1">
      <c r="M734" s="76"/>
    </row>
    <row r="735" ht="15.75" customHeight="1">
      <c r="M735" s="76"/>
    </row>
    <row r="736" ht="15.75" customHeight="1">
      <c r="M736" s="76"/>
    </row>
    <row r="737" ht="15.75" customHeight="1">
      <c r="M737" s="76"/>
    </row>
    <row r="738" ht="15.75" customHeight="1">
      <c r="M738" s="76"/>
    </row>
    <row r="739" ht="15.75" customHeight="1">
      <c r="M739" s="76"/>
    </row>
    <row r="740" ht="15.75" customHeight="1">
      <c r="M740" s="76"/>
    </row>
    <row r="741" ht="15.75" customHeight="1">
      <c r="M741" s="76"/>
    </row>
    <row r="742" ht="15.75" customHeight="1">
      <c r="M742" s="76"/>
    </row>
    <row r="743" ht="15.75" customHeight="1">
      <c r="M743" s="76"/>
    </row>
    <row r="744" ht="15.75" customHeight="1">
      <c r="M744" s="76"/>
    </row>
    <row r="745" ht="15.75" customHeight="1">
      <c r="M745" s="76"/>
    </row>
    <row r="746" ht="15.75" customHeight="1">
      <c r="M746" s="76"/>
    </row>
    <row r="747" ht="15.75" customHeight="1">
      <c r="M747" s="76"/>
    </row>
    <row r="748" ht="15.75" customHeight="1">
      <c r="M748" s="76"/>
    </row>
    <row r="749" ht="15.75" customHeight="1">
      <c r="M749" s="76"/>
    </row>
    <row r="750" ht="15.75" customHeight="1">
      <c r="M750" s="76"/>
    </row>
    <row r="751" ht="15.75" customHeight="1">
      <c r="M751" s="76"/>
    </row>
    <row r="752" ht="15.75" customHeight="1">
      <c r="M752" s="76"/>
    </row>
    <row r="753" ht="15.75" customHeight="1">
      <c r="M753" s="76"/>
    </row>
    <row r="754" ht="15.75" customHeight="1">
      <c r="M754" s="76"/>
    </row>
    <row r="755" ht="15.75" customHeight="1">
      <c r="M755" s="76"/>
    </row>
    <row r="756" ht="15.75" customHeight="1">
      <c r="M756" s="76"/>
    </row>
    <row r="757" ht="15.75" customHeight="1">
      <c r="M757" s="76"/>
    </row>
    <row r="758" ht="15.75" customHeight="1">
      <c r="M758" s="76"/>
    </row>
    <row r="759" ht="15.75" customHeight="1">
      <c r="M759" s="76"/>
    </row>
    <row r="760" ht="15.75" customHeight="1">
      <c r="M760" s="76"/>
    </row>
    <row r="761" ht="15.75" customHeight="1">
      <c r="M761" s="76"/>
    </row>
    <row r="762" ht="15.75" customHeight="1">
      <c r="M762" s="76"/>
    </row>
    <row r="763" ht="15.75" customHeight="1">
      <c r="M763" s="76"/>
    </row>
    <row r="764" ht="15.75" customHeight="1">
      <c r="M764" s="76"/>
    </row>
    <row r="765" ht="15.75" customHeight="1">
      <c r="M765" s="76"/>
    </row>
    <row r="766" ht="15.75" customHeight="1">
      <c r="M766" s="76"/>
    </row>
    <row r="767" ht="15.75" customHeight="1">
      <c r="M767" s="76"/>
    </row>
    <row r="768" ht="15.75" customHeight="1">
      <c r="M768" s="76"/>
    </row>
    <row r="769" ht="15.75" customHeight="1">
      <c r="M769" s="76"/>
    </row>
    <row r="770" ht="15.75" customHeight="1">
      <c r="M770" s="76"/>
    </row>
    <row r="771" ht="15.75" customHeight="1">
      <c r="M771" s="76"/>
    </row>
    <row r="772" ht="15.75" customHeight="1">
      <c r="M772" s="76"/>
    </row>
    <row r="773" ht="15.75" customHeight="1">
      <c r="M773" s="76"/>
    </row>
    <row r="774" ht="15.75" customHeight="1">
      <c r="M774" s="76"/>
    </row>
    <row r="775" ht="15.75" customHeight="1">
      <c r="M775" s="76"/>
    </row>
    <row r="776" ht="15.75" customHeight="1">
      <c r="M776" s="76"/>
    </row>
    <row r="777" ht="15.75" customHeight="1">
      <c r="M777" s="76"/>
    </row>
    <row r="778" ht="15.75" customHeight="1">
      <c r="M778" s="76"/>
    </row>
    <row r="779" ht="15.75" customHeight="1">
      <c r="M779" s="76"/>
    </row>
    <row r="780" ht="15.75" customHeight="1">
      <c r="M780" s="76"/>
    </row>
    <row r="781" ht="15.75" customHeight="1">
      <c r="M781" s="76"/>
    </row>
    <row r="782" ht="15.75" customHeight="1">
      <c r="M782" s="76"/>
    </row>
    <row r="783" ht="15.75" customHeight="1">
      <c r="M783" s="76"/>
    </row>
    <row r="784" ht="15.75" customHeight="1">
      <c r="M784" s="76"/>
    </row>
    <row r="785" ht="15.75" customHeight="1">
      <c r="M785" s="76"/>
    </row>
    <row r="786" ht="15.75" customHeight="1">
      <c r="M786" s="76"/>
    </row>
    <row r="787" ht="15.75" customHeight="1">
      <c r="M787" s="76"/>
    </row>
    <row r="788" ht="15.75" customHeight="1">
      <c r="M788" s="76"/>
    </row>
    <row r="789" ht="15.75" customHeight="1">
      <c r="M789" s="76"/>
    </row>
    <row r="790" ht="15.75" customHeight="1">
      <c r="M790" s="76"/>
    </row>
    <row r="791" ht="15.75" customHeight="1">
      <c r="M791" s="76"/>
    </row>
    <row r="792" ht="15.75" customHeight="1">
      <c r="M792" s="76"/>
    </row>
    <row r="793" ht="15.75" customHeight="1">
      <c r="M793" s="76"/>
    </row>
    <row r="794" ht="15.75" customHeight="1">
      <c r="M794" s="76"/>
    </row>
    <row r="795" ht="15.75" customHeight="1">
      <c r="M795" s="76"/>
    </row>
    <row r="796" ht="15.75" customHeight="1">
      <c r="M796" s="76"/>
    </row>
    <row r="797" ht="15.75" customHeight="1">
      <c r="M797" s="76"/>
    </row>
    <row r="798" ht="15.75" customHeight="1">
      <c r="M798" s="76"/>
    </row>
    <row r="799" ht="15.75" customHeight="1">
      <c r="M799" s="76"/>
    </row>
    <row r="800" ht="15.75" customHeight="1">
      <c r="M800" s="76"/>
    </row>
    <row r="801" ht="15.75" customHeight="1">
      <c r="M801" s="76"/>
    </row>
    <row r="802" ht="15.75" customHeight="1">
      <c r="M802" s="76"/>
    </row>
    <row r="803" ht="15.75" customHeight="1">
      <c r="M803" s="76"/>
    </row>
    <row r="804" ht="15.75" customHeight="1">
      <c r="M804" s="76"/>
    </row>
    <row r="805" ht="15.75" customHeight="1">
      <c r="M805" s="76"/>
    </row>
    <row r="806" ht="15.75" customHeight="1">
      <c r="M806" s="76"/>
    </row>
    <row r="807" ht="15.75" customHeight="1">
      <c r="M807" s="76"/>
    </row>
    <row r="808" ht="15.75" customHeight="1">
      <c r="M808" s="76"/>
    </row>
    <row r="809" ht="15.75" customHeight="1">
      <c r="M809" s="76"/>
    </row>
    <row r="810" ht="15.75" customHeight="1">
      <c r="M810" s="76"/>
    </row>
    <row r="811" ht="15.75" customHeight="1">
      <c r="M811" s="76"/>
    </row>
    <row r="812" ht="15.75" customHeight="1">
      <c r="M812" s="76"/>
    </row>
    <row r="813" ht="15.75" customHeight="1">
      <c r="M813" s="76"/>
    </row>
    <row r="814" ht="15.75" customHeight="1">
      <c r="M814" s="76"/>
    </row>
    <row r="815" ht="15.75" customHeight="1">
      <c r="M815" s="76"/>
    </row>
    <row r="816" ht="15.75" customHeight="1">
      <c r="M816" s="76"/>
    </row>
    <row r="817" ht="15.75" customHeight="1">
      <c r="M817" s="76"/>
    </row>
    <row r="818" ht="15.75" customHeight="1">
      <c r="M818" s="76"/>
    </row>
    <row r="819" ht="15.75" customHeight="1">
      <c r="M819" s="76"/>
    </row>
    <row r="820" ht="15.75" customHeight="1">
      <c r="M820" s="76"/>
    </row>
    <row r="821" ht="15.75" customHeight="1">
      <c r="M821" s="76"/>
    </row>
    <row r="822" ht="15.75" customHeight="1">
      <c r="M822" s="76"/>
    </row>
    <row r="823" ht="15.75" customHeight="1">
      <c r="M823" s="76"/>
    </row>
    <row r="824" ht="15.75" customHeight="1">
      <c r="M824" s="76"/>
    </row>
    <row r="825" ht="15.75" customHeight="1">
      <c r="M825" s="76"/>
    </row>
    <row r="826" ht="15.75" customHeight="1">
      <c r="M826" s="76"/>
    </row>
    <row r="827" ht="15.75" customHeight="1">
      <c r="M827" s="76"/>
    </row>
    <row r="828" ht="15.75" customHeight="1">
      <c r="M828" s="76"/>
    </row>
    <row r="829" ht="15.75" customHeight="1">
      <c r="M829" s="76"/>
    </row>
    <row r="830" ht="15.75" customHeight="1">
      <c r="M830" s="76"/>
    </row>
    <row r="831" ht="15.75" customHeight="1">
      <c r="M831" s="76"/>
    </row>
    <row r="832" ht="15.75" customHeight="1">
      <c r="M832" s="76"/>
    </row>
    <row r="833" ht="15.75" customHeight="1">
      <c r="M833" s="76"/>
    </row>
    <row r="834" ht="15.75" customHeight="1">
      <c r="M834" s="76"/>
    </row>
    <row r="835" ht="15.75" customHeight="1">
      <c r="M835" s="76"/>
    </row>
    <row r="836" ht="15.75" customHeight="1">
      <c r="M836" s="76"/>
    </row>
    <row r="837" ht="15.75" customHeight="1">
      <c r="M837" s="76"/>
    </row>
    <row r="838" ht="15.75" customHeight="1">
      <c r="M838" s="76"/>
    </row>
    <row r="839" ht="15.75" customHeight="1">
      <c r="M839" s="76"/>
    </row>
    <row r="840" ht="15.75" customHeight="1">
      <c r="M840" s="76"/>
    </row>
    <row r="841" ht="15.75" customHeight="1">
      <c r="M841" s="76"/>
    </row>
    <row r="842" ht="15.75" customHeight="1">
      <c r="M842" s="76"/>
    </row>
    <row r="843" ht="15.75" customHeight="1">
      <c r="M843" s="76"/>
    </row>
    <row r="844" ht="15.75" customHeight="1">
      <c r="M844" s="76"/>
    </row>
    <row r="845" ht="15.75" customHeight="1">
      <c r="M845" s="76"/>
    </row>
    <row r="846" ht="15.75" customHeight="1">
      <c r="M846" s="76"/>
    </row>
    <row r="847" ht="15.75" customHeight="1">
      <c r="M847" s="76"/>
    </row>
    <row r="848" ht="15.75" customHeight="1">
      <c r="M848" s="76"/>
    </row>
    <row r="849" ht="15.75" customHeight="1">
      <c r="M849" s="76"/>
    </row>
    <row r="850" ht="15.75" customHeight="1">
      <c r="M850" s="76"/>
    </row>
    <row r="851" ht="15.75" customHeight="1">
      <c r="M851" s="76"/>
    </row>
    <row r="852" ht="15.75" customHeight="1">
      <c r="M852" s="76"/>
    </row>
    <row r="853" ht="15.75" customHeight="1">
      <c r="M853" s="76"/>
    </row>
    <row r="854" ht="15.75" customHeight="1">
      <c r="M854" s="76"/>
    </row>
    <row r="855" ht="15.75" customHeight="1">
      <c r="M855" s="76"/>
    </row>
    <row r="856" ht="15.75" customHeight="1">
      <c r="M856" s="76"/>
    </row>
    <row r="857" ht="15.75" customHeight="1">
      <c r="M857" s="76"/>
    </row>
    <row r="858" ht="15.75" customHeight="1">
      <c r="M858" s="76"/>
    </row>
    <row r="859" ht="15.75" customHeight="1">
      <c r="M859" s="76"/>
    </row>
    <row r="860" ht="15.75" customHeight="1">
      <c r="M860" s="76"/>
    </row>
    <row r="861" ht="15.75" customHeight="1">
      <c r="M861" s="76"/>
    </row>
    <row r="862" ht="15.75" customHeight="1">
      <c r="M862" s="76"/>
    </row>
    <row r="863" ht="15.75" customHeight="1">
      <c r="M863" s="76"/>
    </row>
    <row r="864" ht="15.75" customHeight="1">
      <c r="M864" s="76"/>
    </row>
    <row r="865" ht="15.75" customHeight="1">
      <c r="M865" s="76"/>
    </row>
    <row r="866" ht="15.75" customHeight="1">
      <c r="M866" s="76"/>
    </row>
    <row r="867" ht="15.75" customHeight="1">
      <c r="M867" s="76"/>
    </row>
    <row r="868" ht="15.75" customHeight="1">
      <c r="M868" s="76"/>
    </row>
    <row r="869" ht="15.75" customHeight="1">
      <c r="M869" s="76"/>
    </row>
    <row r="870" ht="15.75" customHeight="1">
      <c r="M870" s="76"/>
    </row>
    <row r="871" ht="15.75" customHeight="1">
      <c r="M871" s="76"/>
    </row>
    <row r="872" ht="15.75" customHeight="1">
      <c r="M872" s="76"/>
    </row>
    <row r="873" ht="15.75" customHeight="1">
      <c r="M873" s="76"/>
    </row>
    <row r="874" ht="15.75" customHeight="1">
      <c r="M874" s="76"/>
    </row>
    <row r="875" ht="15.75" customHeight="1">
      <c r="M875" s="76"/>
    </row>
    <row r="876" ht="15.75" customHeight="1">
      <c r="M876" s="76"/>
    </row>
    <row r="877" ht="15.75" customHeight="1">
      <c r="M877" s="76"/>
    </row>
    <row r="878" ht="15.75" customHeight="1">
      <c r="M878" s="76"/>
    </row>
    <row r="879" ht="15.75" customHeight="1">
      <c r="M879" s="76"/>
    </row>
    <row r="880" ht="15.75" customHeight="1">
      <c r="M880" s="76"/>
    </row>
    <row r="881" ht="15.75" customHeight="1">
      <c r="M881" s="76"/>
    </row>
    <row r="882" ht="15.75" customHeight="1">
      <c r="M882" s="76"/>
    </row>
    <row r="883" ht="15.75" customHeight="1">
      <c r="M883" s="76"/>
    </row>
    <row r="884" ht="15.75" customHeight="1">
      <c r="M884" s="76"/>
    </row>
    <row r="885" ht="15.75" customHeight="1">
      <c r="M885" s="76"/>
    </row>
    <row r="886" ht="15.75" customHeight="1">
      <c r="M886" s="76"/>
    </row>
    <row r="887" ht="15.75" customHeight="1">
      <c r="M887" s="76"/>
    </row>
    <row r="888" ht="15.75" customHeight="1">
      <c r="M888" s="76"/>
    </row>
    <row r="889" ht="15.75" customHeight="1">
      <c r="M889" s="76"/>
    </row>
    <row r="890" ht="15.75" customHeight="1">
      <c r="M890" s="76"/>
    </row>
    <row r="891" ht="15.75" customHeight="1">
      <c r="M891" s="76"/>
    </row>
    <row r="892" ht="15.75" customHeight="1">
      <c r="M892" s="76"/>
    </row>
    <row r="893" ht="15.75" customHeight="1">
      <c r="M893" s="76"/>
    </row>
    <row r="894" ht="15.75" customHeight="1">
      <c r="M894" s="76"/>
    </row>
    <row r="895" ht="15.75" customHeight="1">
      <c r="M895" s="76"/>
    </row>
    <row r="896" ht="15.75" customHeight="1">
      <c r="M896" s="76"/>
    </row>
    <row r="897" ht="15.75" customHeight="1">
      <c r="M897" s="76"/>
    </row>
    <row r="898" ht="15.75" customHeight="1">
      <c r="M898" s="76"/>
    </row>
    <row r="899" ht="15.75" customHeight="1">
      <c r="M899" s="76"/>
    </row>
    <row r="900" ht="15.75" customHeight="1">
      <c r="M900" s="76"/>
    </row>
    <row r="901" ht="15.75" customHeight="1">
      <c r="M901" s="76"/>
    </row>
    <row r="902" ht="15.75" customHeight="1">
      <c r="M902" s="76"/>
    </row>
    <row r="903" ht="15.75" customHeight="1">
      <c r="M903" s="76"/>
    </row>
    <row r="904" ht="15.75" customHeight="1">
      <c r="M904" s="76"/>
    </row>
    <row r="905" ht="15.75" customHeight="1">
      <c r="M905" s="76"/>
    </row>
    <row r="906" ht="15.75" customHeight="1">
      <c r="M906" s="76"/>
    </row>
    <row r="907" ht="15.75" customHeight="1">
      <c r="M907" s="76"/>
    </row>
    <row r="908" ht="15.75" customHeight="1">
      <c r="M908" s="76"/>
    </row>
    <row r="909" ht="15.75" customHeight="1">
      <c r="M909" s="76"/>
    </row>
    <row r="910" ht="15.75" customHeight="1">
      <c r="M910" s="76"/>
    </row>
    <row r="911" ht="15.75" customHeight="1">
      <c r="M911" s="76"/>
    </row>
    <row r="912" ht="15.75" customHeight="1">
      <c r="M912" s="76"/>
    </row>
    <row r="913" ht="15.75" customHeight="1">
      <c r="M913" s="76"/>
    </row>
    <row r="914" ht="15.75" customHeight="1">
      <c r="M914" s="76"/>
    </row>
    <row r="915" ht="15.75" customHeight="1">
      <c r="M915" s="76"/>
    </row>
    <row r="916" ht="15.75" customHeight="1">
      <c r="M916" s="76"/>
    </row>
    <row r="917" ht="15.75" customHeight="1">
      <c r="M917" s="76"/>
    </row>
    <row r="918" ht="15.75" customHeight="1">
      <c r="M918" s="76"/>
    </row>
    <row r="919" ht="15.75" customHeight="1">
      <c r="M919" s="76"/>
    </row>
    <row r="920" ht="15.75" customHeight="1">
      <c r="M920" s="76"/>
    </row>
    <row r="921" ht="15.75" customHeight="1">
      <c r="M921" s="76"/>
    </row>
    <row r="922" ht="15.75" customHeight="1">
      <c r="M922" s="76"/>
    </row>
    <row r="923" ht="15.75" customHeight="1">
      <c r="M923" s="76"/>
    </row>
    <row r="924" ht="15.75" customHeight="1">
      <c r="M924" s="76"/>
    </row>
    <row r="925" ht="15.75" customHeight="1">
      <c r="M925" s="76"/>
    </row>
    <row r="926" ht="15.75" customHeight="1">
      <c r="M926" s="76"/>
    </row>
    <row r="927" ht="15.75" customHeight="1">
      <c r="M927" s="76"/>
    </row>
    <row r="928" ht="15.75" customHeight="1">
      <c r="M928" s="76"/>
    </row>
    <row r="929" ht="15.75" customHeight="1">
      <c r="M929" s="76"/>
    </row>
    <row r="930" ht="15.75" customHeight="1">
      <c r="M930" s="76"/>
    </row>
    <row r="931" ht="15.75" customHeight="1">
      <c r="M931" s="76"/>
    </row>
    <row r="932" ht="15.75" customHeight="1">
      <c r="M932" s="76"/>
    </row>
    <row r="933" ht="15.75" customHeight="1">
      <c r="M933" s="76"/>
    </row>
    <row r="934" ht="15.75" customHeight="1">
      <c r="M934" s="76"/>
    </row>
    <row r="935" ht="15.75" customHeight="1">
      <c r="M935" s="76"/>
    </row>
    <row r="936" ht="15.75" customHeight="1">
      <c r="M936" s="76"/>
    </row>
    <row r="937" ht="15.75" customHeight="1">
      <c r="M937" s="76"/>
    </row>
    <row r="938" ht="15.75" customHeight="1">
      <c r="M938" s="76"/>
    </row>
    <row r="939" ht="15.75" customHeight="1">
      <c r="M939" s="76"/>
    </row>
    <row r="940" ht="15.75" customHeight="1">
      <c r="M940" s="76"/>
    </row>
    <row r="941" ht="15.75" customHeight="1">
      <c r="M941" s="76"/>
    </row>
    <row r="942" ht="15.75" customHeight="1">
      <c r="M942" s="76"/>
    </row>
    <row r="943" ht="15.75" customHeight="1">
      <c r="M943" s="76"/>
    </row>
    <row r="944" ht="15.75" customHeight="1">
      <c r="M944" s="76"/>
    </row>
    <row r="945" ht="15.75" customHeight="1">
      <c r="M945" s="76"/>
    </row>
    <row r="946" ht="15.75" customHeight="1">
      <c r="M946" s="76"/>
    </row>
    <row r="947" ht="15.75" customHeight="1">
      <c r="M947" s="76"/>
    </row>
    <row r="948" ht="15.75" customHeight="1">
      <c r="M948" s="76"/>
    </row>
    <row r="949" ht="15.75" customHeight="1">
      <c r="M949" s="76"/>
    </row>
    <row r="950" ht="15.75" customHeight="1">
      <c r="M950" s="76"/>
    </row>
    <row r="951" ht="15.75" customHeight="1">
      <c r="M951" s="76"/>
    </row>
    <row r="952" ht="15.75" customHeight="1">
      <c r="M952" s="76"/>
    </row>
    <row r="953" ht="15.75" customHeight="1">
      <c r="M953" s="76"/>
    </row>
    <row r="954" ht="15.75" customHeight="1">
      <c r="M954" s="76"/>
    </row>
    <row r="955" ht="15.75" customHeight="1">
      <c r="M955" s="76"/>
    </row>
    <row r="956" ht="15.75" customHeight="1">
      <c r="M956" s="76"/>
    </row>
    <row r="957" ht="15.75" customHeight="1">
      <c r="M957" s="76"/>
    </row>
    <row r="958" ht="15.75" customHeight="1">
      <c r="M958" s="76"/>
    </row>
    <row r="959" ht="15.75" customHeight="1">
      <c r="M959" s="76"/>
    </row>
    <row r="960" ht="15.75" customHeight="1">
      <c r="M960" s="76"/>
    </row>
    <row r="961" ht="15.75" customHeight="1">
      <c r="M961" s="76"/>
    </row>
    <row r="962" ht="15.75" customHeight="1">
      <c r="M962" s="76"/>
    </row>
    <row r="963" ht="15.75" customHeight="1">
      <c r="M963" s="76"/>
    </row>
    <row r="964" ht="15.75" customHeight="1">
      <c r="M964" s="76"/>
    </row>
    <row r="965" ht="15.75" customHeight="1">
      <c r="M965" s="76"/>
    </row>
    <row r="966" ht="15.75" customHeight="1">
      <c r="M966" s="76"/>
    </row>
    <row r="967" ht="15.75" customHeight="1">
      <c r="M967" s="76"/>
    </row>
    <row r="968" ht="15.75" customHeight="1">
      <c r="M968" s="76"/>
    </row>
    <row r="969" ht="15.75" customHeight="1">
      <c r="M969" s="76"/>
    </row>
    <row r="970" ht="15.75" customHeight="1">
      <c r="M970" s="76"/>
    </row>
    <row r="971" ht="15.75" customHeight="1">
      <c r="M971" s="76"/>
    </row>
    <row r="972" ht="15.75" customHeight="1">
      <c r="M972" s="76"/>
    </row>
    <row r="973" ht="15.75" customHeight="1">
      <c r="M973" s="76"/>
    </row>
    <row r="974" ht="15.75" customHeight="1">
      <c r="M974" s="76"/>
    </row>
    <row r="975" ht="15.75" customHeight="1">
      <c r="M975" s="76"/>
    </row>
    <row r="976" ht="15.75" customHeight="1">
      <c r="M976" s="76"/>
    </row>
    <row r="977" ht="15.75" customHeight="1">
      <c r="M977" s="76"/>
    </row>
    <row r="978" ht="15.75" customHeight="1">
      <c r="M978" s="76"/>
    </row>
    <row r="979" ht="15.75" customHeight="1">
      <c r="M979" s="76"/>
    </row>
    <row r="980" ht="15.75" customHeight="1">
      <c r="M980" s="76"/>
    </row>
    <row r="981" ht="15.75" customHeight="1">
      <c r="M981" s="76"/>
    </row>
    <row r="982" ht="15.75" customHeight="1">
      <c r="M982" s="76"/>
    </row>
    <row r="983" ht="15.75" customHeight="1">
      <c r="M983" s="76"/>
    </row>
    <row r="984" ht="15.75" customHeight="1">
      <c r="M984" s="76"/>
    </row>
    <row r="985" ht="15.75" customHeight="1">
      <c r="M985" s="76"/>
    </row>
    <row r="986" ht="15.75" customHeight="1">
      <c r="M986" s="76"/>
    </row>
    <row r="987" ht="15.75" customHeight="1">
      <c r="M987" s="76"/>
    </row>
    <row r="988" ht="15.75" customHeight="1">
      <c r="M988" s="76"/>
    </row>
    <row r="989" ht="15.75" customHeight="1">
      <c r="M989" s="76"/>
    </row>
    <row r="990" ht="15.75" customHeight="1">
      <c r="M990" s="76"/>
    </row>
    <row r="991" ht="15.75" customHeight="1">
      <c r="M991" s="76"/>
    </row>
    <row r="992" ht="15.75" customHeight="1">
      <c r="M992" s="76"/>
    </row>
    <row r="993" ht="15.75" customHeight="1">
      <c r="M993" s="76"/>
    </row>
    <row r="994" ht="15.75" customHeight="1">
      <c r="M994" s="76"/>
    </row>
    <row r="995" ht="15.75" customHeight="1">
      <c r="M995" s="76"/>
    </row>
    <row r="996" ht="15.75" customHeight="1">
      <c r="M996" s="76"/>
    </row>
    <row r="997" ht="15.75" customHeight="1">
      <c r="M997" s="76"/>
    </row>
    <row r="998" ht="15.75" customHeight="1">
      <c r="M998" s="76"/>
    </row>
    <row r="999" ht="15.75" customHeight="1">
      <c r="M999" s="76"/>
    </row>
    <row r="1000" ht="15.75" customHeight="1">
      <c r="M1000" s="76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2"/>
  <cols>
    <col customWidth="1" min="1" max="1" width="2.0"/>
    <col customWidth="1" min="2" max="2" width="26.57"/>
    <col customWidth="1" min="3" max="3" width="16.57"/>
    <col customWidth="1" min="4" max="8" width="14.86"/>
    <col customWidth="1" min="9" max="9" width="3.43"/>
    <col customWidth="1" min="10" max="10" width="16.57"/>
    <col customWidth="1" min="11" max="13" width="14.57"/>
    <col customWidth="1" min="14" max="17" width="3.86"/>
  </cols>
  <sheetData>
    <row r="1" ht="18.0" customHeight="1">
      <c r="A1" s="1"/>
      <c r="B1" s="2" t="s">
        <v>0</v>
      </c>
      <c r="C1" s="31"/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1"/>
      <c r="J1" s="3" t="s">
        <v>11</v>
      </c>
      <c r="K1" s="3" t="s">
        <v>12</v>
      </c>
      <c r="L1" s="3" t="s">
        <v>13</v>
      </c>
      <c r="M1" s="3" t="s">
        <v>14</v>
      </c>
      <c r="N1" s="77"/>
      <c r="O1" s="78"/>
      <c r="P1" s="78"/>
      <c r="Q1" s="78"/>
    </row>
    <row r="2" ht="18.0" hidden="1" customHeight="1" outlineLevel="2">
      <c r="A2" s="4"/>
      <c r="B2" s="5" t="s">
        <v>17</v>
      </c>
      <c r="C2" s="5"/>
      <c r="D2" s="7">
        <v>1208.0</v>
      </c>
      <c r="E2" s="7">
        <v>822.0</v>
      </c>
      <c r="F2" s="7">
        <v>222.0</v>
      </c>
      <c r="G2" s="7">
        <v>2252.0</v>
      </c>
      <c r="H2" s="7"/>
      <c r="I2" s="4"/>
      <c r="J2" s="21"/>
      <c r="K2" s="21"/>
      <c r="L2" s="21"/>
      <c r="M2" s="21"/>
      <c r="N2" s="33"/>
      <c r="O2" s="4"/>
      <c r="P2" s="76"/>
      <c r="Q2" s="76"/>
    </row>
    <row r="3" ht="18.0" hidden="1" customHeight="1" outlineLevel="2">
      <c r="A3" s="4"/>
      <c r="B3" s="5" t="s">
        <v>18</v>
      </c>
      <c r="C3" s="5"/>
      <c r="D3" s="7">
        <v>4088.0</v>
      </c>
      <c r="E3" s="7">
        <v>3793.0</v>
      </c>
      <c r="F3" s="7">
        <v>4628.0</v>
      </c>
      <c r="G3" s="7">
        <v>12509.0</v>
      </c>
      <c r="H3" s="7"/>
      <c r="I3" s="4"/>
      <c r="J3" s="21"/>
      <c r="K3" s="21"/>
      <c r="L3" s="21"/>
      <c r="M3" s="21"/>
      <c r="N3" s="33"/>
      <c r="O3" s="4"/>
      <c r="P3" s="76"/>
      <c r="Q3" s="76"/>
    </row>
    <row r="4" ht="18.0" hidden="1" customHeight="1" outlineLevel="2">
      <c r="A4" s="4"/>
      <c r="B4" s="5" t="s">
        <v>96</v>
      </c>
      <c r="C4" s="5" t="s">
        <v>46</v>
      </c>
      <c r="D4" s="7">
        <v>5295.0</v>
      </c>
      <c r="E4" s="7">
        <v>4590.0</v>
      </c>
      <c r="F4" s="7">
        <v>4851.0</v>
      </c>
      <c r="G4" s="7">
        <v>14736.0</v>
      </c>
      <c r="H4" s="7"/>
      <c r="I4" s="4"/>
      <c r="J4" s="21"/>
      <c r="K4" s="21"/>
      <c r="L4" s="21"/>
      <c r="M4" s="21"/>
      <c r="N4" s="33"/>
      <c r="O4" s="4"/>
      <c r="P4" s="76"/>
      <c r="Q4" s="76"/>
    </row>
    <row r="5" ht="18.0" hidden="1" customHeight="1" outlineLevel="2">
      <c r="A5" s="4"/>
      <c r="B5" s="5"/>
      <c r="C5" s="79" t="s">
        <v>41</v>
      </c>
      <c r="D5" s="80">
        <v>5296.0</v>
      </c>
      <c r="E5" s="80">
        <v>4615.0</v>
      </c>
      <c r="F5" s="80">
        <v>4850.0</v>
      </c>
      <c r="G5" s="80">
        <v>14761.0</v>
      </c>
      <c r="H5" s="80"/>
      <c r="I5" s="4"/>
      <c r="J5" s="21">
        <v>1.0</v>
      </c>
      <c r="K5" s="21">
        <v>25.0</v>
      </c>
      <c r="L5" s="21">
        <v>-1.0</v>
      </c>
      <c r="M5" s="21">
        <v>25.0</v>
      </c>
      <c r="N5" s="33"/>
      <c r="O5" s="4"/>
      <c r="P5" s="76"/>
      <c r="Q5" s="76"/>
    </row>
    <row r="6" ht="18.0" hidden="1" customHeight="1" outlineLevel="2">
      <c r="A6" s="4"/>
      <c r="B6" s="5" t="s">
        <v>97</v>
      </c>
      <c r="C6" s="5" t="s">
        <v>46</v>
      </c>
      <c r="D6" s="7">
        <v>1518.0</v>
      </c>
      <c r="E6" s="7">
        <v>1340.0</v>
      </c>
      <c r="F6" s="7">
        <v>1482.0</v>
      </c>
      <c r="G6" s="7">
        <v>4340.0</v>
      </c>
      <c r="H6" s="7"/>
      <c r="I6" s="4"/>
      <c r="J6" s="21"/>
      <c r="K6" s="21"/>
      <c r="L6" s="21"/>
      <c r="M6" s="21"/>
      <c r="N6" s="33"/>
      <c r="O6" s="4"/>
      <c r="P6" s="76"/>
      <c r="Q6" s="76"/>
    </row>
    <row r="7" ht="18.0" hidden="1" customHeight="1" outlineLevel="2">
      <c r="A7" s="4"/>
      <c r="B7" s="5"/>
      <c r="C7" s="79" t="s">
        <v>41</v>
      </c>
      <c r="D7" s="80">
        <v>1518.0</v>
      </c>
      <c r="E7" s="80">
        <v>1342.0</v>
      </c>
      <c r="F7" s="80">
        <v>1481.0</v>
      </c>
      <c r="G7" s="80">
        <v>4341.0</v>
      </c>
      <c r="H7" s="80"/>
      <c r="I7" s="4"/>
      <c r="J7" s="21">
        <v>0.0</v>
      </c>
      <c r="K7" s="21">
        <v>2.0</v>
      </c>
      <c r="L7" s="21">
        <v>-1.0</v>
      </c>
      <c r="M7" s="21">
        <v>1.0</v>
      </c>
      <c r="N7" s="33"/>
      <c r="O7" s="4"/>
      <c r="P7" s="76"/>
      <c r="Q7" s="76"/>
    </row>
    <row r="8" ht="18.0" hidden="1" customHeight="1" outlineLevel="2">
      <c r="A8" s="4"/>
      <c r="B8" s="8" t="s">
        <v>98</v>
      </c>
      <c r="C8" s="5" t="s">
        <v>46</v>
      </c>
      <c r="D8" s="9">
        <v>0.947565543071161</v>
      </c>
      <c r="E8" s="9">
        <v>0.7204301075268817</v>
      </c>
      <c r="F8" s="9">
        <v>0.7967741935483871</v>
      </c>
      <c r="G8" s="81">
        <v>0.8534906588003933</v>
      </c>
      <c r="H8" s="7"/>
      <c r="I8" s="4"/>
      <c r="J8" s="21"/>
      <c r="K8" s="21"/>
      <c r="L8" s="21"/>
      <c r="M8" s="21"/>
      <c r="N8" s="33"/>
      <c r="O8" s="4"/>
      <c r="P8" s="76"/>
      <c r="Q8" s="76"/>
    </row>
    <row r="9" ht="18.0" hidden="1" customHeight="1" outlineLevel="2">
      <c r="A9" s="4"/>
      <c r="B9" s="8"/>
      <c r="C9" s="79" t="s">
        <v>41</v>
      </c>
      <c r="D9" s="82">
        <v>0.947565543071161</v>
      </c>
      <c r="E9" s="82">
        <v>0.7215053763440861</v>
      </c>
      <c r="F9" s="82">
        <v>0.796236559139785</v>
      </c>
      <c r="G9" s="82">
        <v>0.8536873156342183</v>
      </c>
      <c r="H9" s="82"/>
      <c r="I9" s="4"/>
      <c r="J9" s="21">
        <v>0.0</v>
      </c>
      <c r="K9" s="21">
        <v>0.0010752688172043223</v>
      </c>
      <c r="L9" s="21">
        <v>-5.376344086021057E-4</v>
      </c>
      <c r="M9" s="21">
        <v>1.966568338249708E-4</v>
      </c>
      <c r="N9" s="33"/>
      <c r="O9" s="4"/>
      <c r="P9" s="76"/>
      <c r="Q9" s="76"/>
    </row>
    <row r="10" ht="18.0" hidden="1" customHeight="1" outlineLevel="2">
      <c r="A10" s="4"/>
      <c r="B10" s="5" t="s">
        <v>99</v>
      </c>
      <c r="C10" s="5" t="s">
        <v>46</v>
      </c>
      <c r="D10" s="83">
        <v>12570.0</v>
      </c>
      <c r="E10" s="83">
        <v>10690.0</v>
      </c>
      <c r="F10" s="83">
        <v>14171.32178932179</v>
      </c>
      <c r="G10" s="83">
        <v>12512.0</v>
      </c>
      <c r="H10" s="9"/>
      <c r="I10" s="4"/>
      <c r="J10" s="21"/>
      <c r="K10" s="21"/>
      <c r="L10" s="21"/>
      <c r="M10" s="21"/>
      <c r="N10" s="33"/>
      <c r="O10" s="4"/>
      <c r="P10" s="76"/>
      <c r="Q10" s="76"/>
    </row>
    <row r="11" ht="18.0" hidden="1" customHeight="1" outlineLevel="2">
      <c r="A11" s="4"/>
      <c r="B11" s="5"/>
      <c r="C11" s="79" t="s">
        <v>41</v>
      </c>
      <c r="D11" s="80">
        <v>12545.0</v>
      </c>
      <c r="E11" s="80">
        <v>10676.0</v>
      </c>
      <c r="F11" s="80">
        <v>14116.0</v>
      </c>
      <c r="G11" s="80">
        <v>12477.0</v>
      </c>
      <c r="H11" s="80"/>
      <c r="I11" s="4"/>
      <c r="J11" s="21">
        <v>-25.0</v>
      </c>
      <c r="K11" s="21">
        <v>-14.0</v>
      </c>
      <c r="L11" s="21">
        <v>-55.321789321789765</v>
      </c>
      <c r="M11" s="21">
        <v>-35.0</v>
      </c>
      <c r="N11" s="33"/>
      <c r="O11" s="4"/>
      <c r="P11" s="76"/>
      <c r="Q11" s="76"/>
    </row>
    <row r="12" ht="18.0" hidden="1" customHeight="1" outlineLevel="2">
      <c r="A12" s="4"/>
      <c r="B12" s="84" t="s">
        <v>100</v>
      </c>
      <c r="C12" s="5" t="s">
        <v>46</v>
      </c>
      <c r="D12" s="85">
        <v>3.489</v>
      </c>
      <c r="E12" s="85">
        <v>3.4259999999999997</v>
      </c>
      <c r="F12" s="85">
        <v>3.274</v>
      </c>
      <c r="G12" s="85">
        <v>3.3953917050691245</v>
      </c>
      <c r="H12" s="7"/>
      <c r="I12" s="4"/>
      <c r="J12" s="21"/>
      <c r="K12" s="21"/>
      <c r="L12" s="21"/>
      <c r="M12" s="21"/>
      <c r="N12" s="33"/>
      <c r="O12" s="4"/>
      <c r="P12" s="76"/>
      <c r="Q12" s="76"/>
    </row>
    <row r="13" ht="18.0" hidden="1" customHeight="1" outlineLevel="2">
      <c r="A13" s="86"/>
      <c r="B13" s="84"/>
      <c r="C13" s="79" t="s">
        <v>41</v>
      </c>
      <c r="D13" s="87">
        <v>3.4888010540184453</v>
      </c>
      <c r="E13" s="87">
        <v>3.438897168405365</v>
      </c>
      <c r="F13" s="87">
        <v>3.274814314652262</v>
      </c>
      <c r="G13" s="87">
        <v>3.4003685786685094</v>
      </c>
      <c r="H13" s="87"/>
      <c r="I13" s="86"/>
      <c r="J13" s="88">
        <v>-1.9894598155456578E-4</v>
      </c>
      <c r="K13" s="88">
        <v>0.012897168405365367</v>
      </c>
      <c r="L13" s="88">
        <v>8.143146522621159E-4</v>
      </c>
      <c r="M13" s="88">
        <v>0.004976873599384923</v>
      </c>
      <c r="N13" s="89"/>
      <c r="O13" s="86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</row>
    <row r="14" ht="18.0" hidden="1" customHeight="1" outlineLevel="1">
      <c r="A14" s="4"/>
      <c r="B14" s="33" t="s">
        <v>101</v>
      </c>
      <c r="C14" s="4"/>
      <c r="D14" s="34">
        <v>8403864.0</v>
      </c>
      <c r="E14" s="34">
        <v>9149490.0</v>
      </c>
      <c r="F14" s="34">
        <v>1.6298956E7</v>
      </c>
      <c r="G14" s="34">
        <v>3.385231E7</v>
      </c>
      <c r="H14" s="34">
        <v>0.0</v>
      </c>
      <c r="I14" s="4"/>
      <c r="J14" s="21"/>
      <c r="K14" s="21"/>
      <c r="L14" s="21"/>
      <c r="M14" s="21"/>
      <c r="N14" s="33"/>
      <c r="O14" s="4"/>
      <c r="P14" s="76"/>
      <c r="Q14" s="76"/>
    </row>
    <row r="15" ht="18.0" hidden="1" customHeight="1" outlineLevel="1">
      <c r="A15" s="4"/>
      <c r="B15" s="33" t="s">
        <v>102</v>
      </c>
      <c r="C15" s="4"/>
      <c r="D15" s="34">
        <v>5.661426E7</v>
      </c>
      <c r="E15" s="34">
        <v>3.9092286E7</v>
      </c>
      <c r="F15" s="34">
        <v>3.5501181E7</v>
      </c>
      <c r="G15" s="34">
        <v>1.31207727E8</v>
      </c>
      <c r="H15" s="34">
        <v>0.0</v>
      </c>
      <c r="I15" s="4"/>
      <c r="J15" s="21"/>
      <c r="K15" s="21"/>
      <c r="L15" s="21"/>
      <c r="M15" s="21"/>
      <c r="N15" s="33"/>
      <c r="O15" s="4"/>
      <c r="P15" s="76"/>
      <c r="Q15" s="76"/>
    </row>
    <row r="16" ht="18.0" hidden="1" customHeight="1" outlineLevel="1">
      <c r="A16" s="4"/>
      <c r="B16" s="33" t="s">
        <v>39</v>
      </c>
      <c r="C16" s="4"/>
      <c r="D16" s="34">
        <v>1320250.0</v>
      </c>
      <c r="E16" s="34">
        <v>942364.0</v>
      </c>
      <c r="F16" s="34">
        <v>2977943.0</v>
      </c>
      <c r="G16" s="34">
        <v>5240557.0</v>
      </c>
      <c r="H16" s="34">
        <v>0.0</v>
      </c>
      <c r="I16" s="4"/>
      <c r="J16" s="21"/>
      <c r="K16" s="21"/>
      <c r="L16" s="21"/>
      <c r="M16" s="21"/>
      <c r="N16" s="33"/>
      <c r="O16" s="4"/>
      <c r="P16" s="76"/>
      <c r="Q16" s="76"/>
    </row>
    <row r="17" ht="18.0" hidden="1" customHeight="1" outlineLevel="1">
      <c r="A17" s="4"/>
      <c r="B17" s="33" t="s">
        <v>103</v>
      </c>
      <c r="C17" s="4"/>
      <c r="D17" s="34">
        <v>0.0</v>
      </c>
      <c r="E17" s="34">
        <v>0.0</v>
      </c>
      <c r="F17" s="34">
        <v>1.3663081E7</v>
      </c>
      <c r="G17" s="34">
        <v>1.3663081E7</v>
      </c>
      <c r="H17" s="34">
        <v>0.0</v>
      </c>
      <c r="I17" s="4"/>
      <c r="J17" s="21"/>
      <c r="K17" s="21"/>
      <c r="L17" s="21"/>
      <c r="M17" s="21"/>
      <c r="N17" s="33"/>
      <c r="O17" s="4"/>
      <c r="P17" s="76"/>
      <c r="Q17" s="76"/>
    </row>
    <row r="18" ht="18.0" hidden="1" customHeight="1" outlineLevel="1">
      <c r="A18" s="4"/>
      <c r="B18" s="33" t="s">
        <v>104</v>
      </c>
      <c r="C18" s="4"/>
      <c r="D18" s="34">
        <v>99762.0</v>
      </c>
      <c r="E18" s="34">
        <v>83477.0</v>
      </c>
      <c r="F18" s="34">
        <v>0.0</v>
      </c>
      <c r="G18" s="34">
        <v>183239.0</v>
      </c>
      <c r="H18" s="34">
        <v>0.0</v>
      </c>
      <c r="I18" s="4"/>
      <c r="J18" s="21"/>
      <c r="K18" s="21"/>
      <c r="L18" s="21"/>
      <c r="M18" s="21"/>
      <c r="N18" s="33"/>
      <c r="O18" s="4"/>
      <c r="P18" s="76"/>
      <c r="Q18" s="76"/>
    </row>
    <row r="19" ht="18.0" hidden="1" customHeight="1" outlineLevel="1">
      <c r="A19" s="4"/>
      <c r="B19" s="33" t="s">
        <v>105</v>
      </c>
      <c r="C19" s="4"/>
      <c r="D19" s="34">
        <v>0.0</v>
      </c>
      <c r="E19" s="34">
        <v>0.0</v>
      </c>
      <c r="F19" s="34">
        <v>16920.0</v>
      </c>
      <c r="G19" s="34">
        <v>16920.0</v>
      </c>
      <c r="H19" s="34">
        <v>0.0</v>
      </c>
      <c r="I19" s="4"/>
      <c r="J19" s="21"/>
      <c r="K19" s="21"/>
      <c r="L19" s="21"/>
      <c r="M19" s="21"/>
      <c r="N19" s="33"/>
      <c r="O19" s="4"/>
      <c r="P19" s="76"/>
      <c r="Q19" s="76"/>
    </row>
    <row r="20" ht="18.0" customHeight="1" collapsed="1">
      <c r="A20" s="4"/>
      <c r="B20" s="15" t="s">
        <v>24</v>
      </c>
      <c r="C20" s="35" t="s">
        <v>46</v>
      </c>
      <c r="D20" s="36">
        <v>6.655815E7</v>
      </c>
      <c r="E20" s="36">
        <v>4.90671E7</v>
      </c>
      <c r="F20" s="36">
        <v>6.8745082E7</v>
      </c>
      <c r="G20" s="36">
        <v>1.84370332E8</v>
      </c>
      <c r="H20" s="36">
        <v>0.0</v>
      </c>
      <c r="I20" s="4"/>
      <c r="J20" s="21"/>
      <c r="K20" s="21"/>
      <c r="L20" s="21"/>
      <c r="M20" s="21"/>
      <c r="N20" s="33"/>
      <c r="O20" s="21"/>
      <c r="P20" s="21"/>
      <c r="Q20" s="21"/>
    </row>
    <row r="21" ht="18.0" customHeight="1">
      <c r="A21" s="4"/>
      <c r="B21" s="15"/>
      <c r="C21" s="15" t="s">
        <v>41</v>
      </c>
      <c r="D21" s="16">
        <v>6.6438136E7</v>
      </c>
      <c r="E21" s="16">
        <v>4.9267617E7</v>
      </c>
      <c r="F21" s="16">
        <v>6.8458081E7</v>
      </c>
      <c r="G21" s="16">
        <v>1.84163834E8</v>
      </c>
      <c r="H21" s="16">
        <v>0.0</v>
      </c>
      <c r="I21" s="4"/>
      <c r="J21" s="21">
        <v>-120014.0</v>
      </c>
      <c r="K21" s="21">
        <v>200517.0</v>
      </c>
      <c r="L21" s="21">
        <v>-287001.0</v>
      </c>
      <c r="M21" s="21">
        <v>-206498.0</v>
      </c>
      <c r="N21" s="33"/>
      <c r="O21" s="21"/>
      <c r="P21" s="21"/>
      <c r="Q21" s="21"/>
    </row>
    <row r="22" ht="18.0" hidden="1" customHeight="1" outlineLevel="1">
      <c r="A22" s="4"/>
      <c r="B22" s="33" t="s">
        <v>106</v>
      </c>
      <c r="C22" s="4"/>
      <c r="D22" s="34">
        <v>3936848.0</v>
      </c>
      <c r="E22" s="34">
        <v>4002674.0</v>
      </c>
      <c r="F22" s="34">
        <v>6391803.0</v>
      </c>
      <c r="G22" s="34">
        <v>1.4331325E7</v>
      </c>
      <c r="H22" s="34">
        <v>0.0</v>
      </c>
      <c r="I22" s="4"/>
      <c r="J22" s="21"/>
      <c r="K22" s="21"/>
      <c r="L22" s="21"/>
      <c r="M22" s="21"/>
      <c r="N22" s="33"/>
      <c r="O22" s="21"/>
      <c r="P22" s="21"/>
      <c r="Q22" s="21"/>
    </row>
    <row r="23" ht="18.0" hidden="1" customHeight="1" outlineLevel="1">
      <c r="A23" s="4"/>
      <c r="B23" s="33" t="s">
        <v>107</v>
      </c>
      <c r="C23" s="4"/>
      <c r="D23" s="34">
        <v>1252716.0</v>
      </c>
      <c r="E23" s="34">
        <v>866996.0</v>
      </c>
      <c r="F23" s="34">
        <v>1534841.0</v>
      </c>
      <c r="G23" s="34">
        <v>3654553.0</v>
      </c>
      <c r="H23" s="34">
        <v>0.0</v>
      </c>
      <c r="I23" s="4"/>
      <c r="J23" s="21"/>
      <c r="K23" s="21"/>
      <c r="L23" s="21"/>
      <c r="M23" s="21"/>
      <c r="N23" s="33"/>
      <c r="O23" s="21"/>
      <c r="P23" s="21"/>
      <c r="Q23" s="21"/>
    </row>
    <row r="24" ht="18.0" customHeight="1" collapsed="1">
      <c r="A24" s="4"/>
      <c r="B24" s="15" t="s">
        <v>25</v>
      </c>
      <c r="C24" s="35" t="s">
        <v>46</v>
      </c>
      <c r="D24" s="36">
        <v>4262930.0</v>
      </c>
      <c r="E24" s="36">
        <v>4931000.0</v>
      </c>
      <c r="F24" s="36">
        <v>9215989.0</v>
      </c>
      <c r="G24" s="36">
        <v>1.8409919E7</v>
      </c>
      <c r="H24" s="36">
        <v>0.0</v>
      </c>
      <c r="I24" s="4"/>
      <c r="J24" s="21"/>
      <c r="K24" s="21"/>
      <c r="L24" s="21"/>
      <c r="M24" s="21"/>
      <c r="N24" s="33"/>
      <c r="O24" s="21"/>
      <c r="P24" s="21"/>
      <c r="Q24" s="21"/>
    </row>
    <row r="25" ht="18.0" customHeight="1">
      <c r="A25" s="4"/>
      <c r="B25" s="15"/>
      <c r="C25" s="15" t="s">
        <v>41</v>
      </c>
      <c r="D25" s="16">
        <v>5189564.0</v>
      </c>
      <c r="E25" s="16">
        <v>4869670.0</v>
      </c>
      <c r="F25" s="16">
        <v>7926644.0</v>
      </c>
      <c r="G25" s="16">
        <v>1.7985878E7</v>
      </c>
      <c r="H25" s="16">
        <v>0.0</v>
      </c>
      <c r="I25" s="4"/>
      <c r="J25" s="21">
        <v>926634.0</v>
      </c>
      <c r="K25" s="21">
        <v>-61330.0</v>
      </c>
      <c r="L25" s="21">
        <v>-1289345.0</v>
      </c>
      <c r="M25" s="21">
        <v>-424041.0</v>
      </c>
      <c r="N25" s="33"/>
      <c r="O25" s="21"/>
      <c r="P25" s="21"/>
      <c r="Q25" s="21"/>
    </row>
    <row r="26" ht="18.0" hidden="1" customHeight="1">
      <c r="A26" s="17"/>
      <c r="B26" s="18" t="s">
        <v>26</v>
      </c>
      <c r="C26" s="18"/>
      <c r="D26" s="16"/>
      <c r="E26" s="16"/>
      <c r="F26" s="16"/>
      <c r="G26" s="16"/>
      <c r="H26" s="16"/>
      <c r="I26" s="17"/>
      <c r="J26" s="21"/>
      <c r="K26" s="21"/>
      <c r="L26" s="21"/>
      <c r="M26" s="21"/>
      <c r="N26" s="91"/>
      <c r="O26" s="21"/>
      <c r="P26" s="21"/>
      <c r="Q26" s="21"/>
      <c r="R26" s="92"/>
    </row>
    <row r="27" ht="18.0" customHeight="1">
      <c r="A27" s="21"/>
      <c r="B27" s="22" t="s">
        <v>27</v>
      </c>
      <c r="C27" s="35" t="s">
        <v>46</v>
      </c>
      <c r="D27" s="37">
        <v>6.229522E7</v>
      </c>
      <c r="E27" s="37">
        <v>4.41361E7</v>
      </c>
      <c r="F27" s="37">
        <v>5.9529093E7</v>
      </c>
      <c r="G27" s="37">
        <v>1.65960413E8</v>
      </c>
      <c r="H27" s="37">
        <v>0.0</v>
      </c>
      <c r="I27" s="21"/>
      <c r="J27" s="21"/>
      <c r="K27" s="21"/>
      <c r="L27" s="21"/>
      <c r="M27" s="21"/>
      <c r="N27" s="93"/>
      <c r="O27" s="21"/>
      <c r="P27" s="21"/>
      <c r="Q27" s="21"/>
      <c r="R27" s="94"/>
    </row>
    <row r="28" ht="18.0" customHeight="1">
      <c r="A28" s="21"/>
      <c r="B28" s="22"/>
      <c r="C28" s="15" t="s">
        <v>41</v>
      </c>
      <c r="D28" s="23">
        <v>6.1248572E7</v>
      </c>
      <c r="E28" s="23">
        <v>4.4397947E7</v>
      </c>
      <c r="F28" s="23">
        <v>6.0531437E7</v>
      </c>
      <c r="G28" s="23">
        <v>1.66177956E8</v>
      </c>
      <c r="H28" s="23">
        <v>0.0</v>
      </c>
      <c r="I28" s="21"/>
      <c r="J28" s="21">
        <v>-1046648.0</v>
      </c>
      <c r="K28" s="21">
        <v>261847.0</v>
      </c>
      <c r="L28" s="21">
        <v>1002344.0</v>
      </c>
      <c r="M28" s="21">
        <v>217543.0</v>
      </c>
      <c r="N28" s="93"/>
      <c r="O28" s="21"/>
      <c r="P28" s="21"/>
      <c r="Q28" s="21"/>
      <c r="R28" s="94"/>
    </row>
    <row r="29" ht="18.0" customHeight="1">
      <c r="A29" s="21"/>
      <c r="B29" s="21" t="s">
        <v>28</v>
      </c>
      <c r="C29" s="4" t="s">
        <v>46</v>
      </c>
      <c r="D29" s="24">
        <v>1.6632843E7</v>
      </c>
      <c r="E29" s="24">
        <v>1.7135593E7</v>
      </c>
      <c r="F29" s="24">
        <v>1.8798724E7</v>
      </c>
      <c r="G29" s="24">
        <v>5.256716E7</v>
      </c>
      <c r="H29" s="24">
        <v>0.0</v>
      </c>
      <c r="I29" s="21"/>
      <c r="J29" s="21"/>
      <c r="K29" s="21"/>
      <c r="L29" s="21"/>
      <c r="M29" s="21"/>
      <c r="N29" s="93"/>
      <c r="O29" s="21"/>
      <c r="P29" s="21"/>
      <c r="Q29" s="21"/>
    </row>
    <row r="30" ht="18.0" customHeight="1">
      <c r="A30" s="21"/>
      <c r="B30" s="21"/>
      <c r="C30" s="38" t="s">
        <v>41</v>
      </c>
      <c r="D30" s="39">
        <v>1.60423E7</v>
      </c>
      <c r="E30" s="39">
        <v>1.7274457E7</v>
      </c>
      <c r="F30" s="39">
        <v>1.909728E7</v>
      </c>
      <c r="G30" s="39">
        <v>5.2414037E7</v>
      </c>
      <c r="H30" s="39">
        <v>1.0294155E7</v>
      </c>
      <c r="I30" s="21"/>
      <c r="J30" s="21">
        <v>-590543.0</v>
      </c>
      <c r="K30" s="21">
        <v>138864.0</v>
      </c>
      <c r="L30" s="21">
        <v>298556.0</v>
      </c>
      <c r="M30" s="21">
        <v>-153123.0</v>
      </c>
      <c r="N30" s="93"/>
      <c r="O30" s="21"/>
      <c r="P30" s="21"/>
      <c r="Q30" s="21"/>
    </row>
    <row r="31" ht="18.0" hidden="1" customHeight="1" outlineLevel="1">
      <c r="A31" s="21"/>
      <c r="B31" s="40" t="s">
        <v>42</v>
      </c>
      <c r="C31" s="41" t="s">
        <v>46</v>
      </c>
      <c r="D31" s="42">
        <v>0.0</v>
      </c>
      <c r="E31" s="42">
        <v>0.0</v>
      </c>
      <c r="F31" s="42">
        <v>0.0</v>
      </c>
      <c r="G31" s="42">
        <v>0.0</v>
      </c>
      <c r="H31" s="42"/>
      <c r="I31" s="21"/>
      <c r="J31" s="21"/>
      <c r="K31" s="21"/>
      <c r="L31" s="21"/>
      <c r="M31" s="21"/>
      <c r="N31" s="93"/>
      <c r="O31" s="21"/>
      <c r="P31" s="21"/>
      <c r="Q31" s="21"/>
    </row>
    <row r="32" ht="18.0" hidden="1" customHeight="1" outlineLevel="1">
      <c r="A32" s="21"/>
      <c r="B32" s="40"/>
      <c r="C32" s="43" t="s">
        <v>41</v>
      </c>
      <c r="D32" s="44">
        <v>0.0</v>
      </c>
      <c r="E32" s="44">
        <v>0.0</v>
      </c>
      <c r="F32" s="44">
        <v>0.0</v>
      </c>
      <c r="G32" s="44">
        <v>0.0</v>
      </c>
      <c r="H32" s="44">
        <v>0.0</v>
      </c>
      <c r="I32" s="21"/>
      <c r="J32" s="21">
        <v>0.0</v>
      </c>
      <c r="K32" s="21">
        <v>0.0</v>
      </c>
      <c r="L32" s="21">
        <v>0.0</v>
      </c>
      <c r="M32" s="21">
        <v>0.0</v>
      </c>
      <c r="N32" s="93"/>
      <c r="O32" s="21"/>
      <c r="P32" s="21"/>
      <c r="Q32" s="21"/>
    </row>
    <row r="33" ht="18.0" hidden="1" customHeight="1" outlineLevel="1">
      <c r="A33" s="21"/>
      <c r="B33" s="40" t="s">
        <v>43</v>
      </c>
      <c r="C33" s="41" t="s">
        <v>46</v>
      </c>
      <c r="D33" s="42">
        <v>6417031.0</v>
      </c>
      <c r="E33" s="42">
        <v>7405771.0</v>
      </c>
      <c r="F33" s="42">
        <v>8250482.0</v>
      </c>
      <c r="G33" s="42">
        <v>2.2073284E7</v>
      </c>
      <c r="H33" s="42"/>
      <c r="I33" s="21"/>
      <c r="J33" s="21"/>
      <c r="K33" s="21"/>
      <c r="L33" s="21"/>
      <c r="M33" s="21"/>
      <c r="N33" s="93"/>
      <c r="O33" s="21"/>
      <c r="P33" s="21"/>
      <c r="Q33" s="21"/>
    </row>
    <row r="34" ht="18.0" hidden="1" customHeight="1" outlineLevel="1">
      <c r="A34" s="21"/>
      <c r="B34" s="40"/>
      <c r="C34" s="43" t="s">
        <v>41</v>
      </c>
      <c r="D34" s="44">
        <v>6417031.0</v>
      </c>
      <c r="E34" s="44">
        <v>7405571.0</v>
      </c>
      <c r="F34" s="44">
        <v>8250482.0</v>
      </c>
      <c r="G34" s="44">
        <v>2.2073084E7</v>
      </c>
      <c r="H34" s="44">
        <v>3541494.0</v>
      </c>
      <c r="I34" s="21"/>
      <c r="J34" s="21">
        <v>0.0</v>
      </c>
      <c r="K34" s="21">
        <v>-200.0</v>
      </c>
      <c r="L34" s="21">
        <v>0.0</v>
      </c>
      <c r="M34" s="21">
        <v>-200.0</v>
      </c>
      <c r="N34" s="93"/>
      <c r="O34" s="21"/>
      <c r="P34" s="21"/>
      <c r="Q34" s="21"/>
      <c r="R34" s="95"/>
    </row>
    <row r="35" ht="18.0" hidden="1" customHeight="1" outlineLevel="1">
      <c r="A35" s="21"/>
      <c r="B35" s="40" t="s">
        <v>44</v>
      </c>
      <c r="C35" s="41" t="s">
        <v>46</v>
      </c>
      <c r="D35" s="42">
        <v>7182995.0</v>
      </c>
      <c r="E35" s="42">
        <v>6540441.0</v>
      </c>
      <c r="F35" s="42">
        <v>6443099.0</v>
      </c>
      <c r="G35" s="42">
        <v>2.0166535E7</v>
      </c>
      <c r="H35" s="42"/>
      <c r="I35" s="21"/>
      <c r="J35" s="21"/>
      <c r="K35" s="21"/>
      <c r="L35" s="21"/>
      <c r="M35" s="21"/>
      <c r="N35" s="93"/>
      <c r="O35" s="21"/>
      <c r="P35" s="21"/>
      <c r="Q35" s="21"/>
    </row>
    <row r="36" ht="18.0" hidden="1" customHeight="1" outlineLevel="1">
      <c r="A36" s="21"/>
      <c r="B36" s="40"/>
      <c r="C36" s="43" t="s">
        <v>41</v>
      </c>
      <c r="D36" s="44">
        <v>7271407.0</v>
      </c>
      <c r="E36" s="44">
        <v>6873679.0</v>
      </c>
      <c r="F36" s="44">
        <v>6866008.0</v>
      </c>
      <c r="G36" s="44">
        <v>2.1011094E7</v>
      </c>
      <c r="H36" s="44">
        <v>354677.0</v>
      </c>
      <c r="I36" s="21"/>
      <c r="J36" s="21">
        <v>88412.0</v>
      </c>
      <c r="K36" s="21">
        <v>333238.0</v>
      </c>
      <c r="L36" s="21">
        <v>422909.0</v>
      </c>
      <c r="M36" s="21">
        <v>844559.0</v>
      </c>
      <c r="N36" s="93"/>
      <c r="O36" s="21"/>
      <c r="P36" s="21"/>
      <c r="Q36" s="21"/>
      <c r="R36" s="95"/>
    </row>
    <row r="37" ht="18.0" hidden="1" customHeight="1" outlineLevel="1">
      <c r="A37" s="21"/>
      <c r="B37" s="40" t="s">
        <v>45</v>
      </c>
      <c r="C37" s="41" t="s">
        <v>46</v>
      </c>
      <c r="D37" s="42">
        <v>0.0</v>
      </c>
      <c r="E37" s="42">
        <v>0.0</v>
      </c>
      <c r="F37" s="42">
        <v>0.0</v>
      </c>
      <c r="G37" s="42">
        <v>0.0</v>
      </c>
      <c r="H37" s="42"/>
      <c r="I37" s="21"/>
      <c r="J37" s="21"/>
      <c r="K37" s="21"/>
      <c r="L37" s="21"/>
      <c r="M37" s="21"/>
      <c r="N37" s="93"/>
      <c r="O37" s="21"/>
      <c r="P37" s="21"/>
      <c r="Q37" s="21"/>
    </row>
    <row r="38" ht="18.0" hidden="1" customHeight="1" outlineLevel="1">
      <c r="A38" s="21"/>
      <c r="B38" s="40"/>
      <c r="C38" s="43" t="s">
        <v>41</v>
      </c>
      <c r="D38" s="44">
        <v>0.0</v>
      </c>
      <c r="E38" s="44">
        <v>0.0</v>
      </c>
      <c r="F38" s="44">
        <v>0.0</v>
      </c>
      <c r="G38" s="44">
        <v>0.0</v>
      </c>
      <c r="H38" s="44">
        <v>319206.0</v>
      </c>
      <c r="I38" s="21"/>
      <c r="J38" s="21">
        <v>0.0</v>
      </c>
      <c r="K38" s="21">
        <v>0.0</v>
      </c>
      <c r="L38" s="21">
        <v>0.0</v>
      </c>
      <c r="M38" s="21">
        <v>0.0</v>
      </c>
      <c r="N38" s="93"/>
      <c r="O38" s="21"/>
      <c r="P38" s="21"/>
      <c r="Q38" s="21"/>
    </row>
    <row r="39" ht="18.0" hidden="1" customHeight="1" outlineLevel="1">
      <c r="A39" s="21"/>
      <c r="B39" s="40" t="s">
        <v>48</v>
      </c>
      <c r="C39" s="41" t="s">
        <v>46</v>
      </c>
      <c r="D39" s="42">
        <v>2106371.0</v>
      </c>
      <c r="E39" s="42">
        <v>2178365.0</v>
      </c>
      <c r="F39" s="42">
        <v>2296087.0</v>
      </c>
      <c r="G39" s="42">
        <v>6580823.0</v>
      </c>
      <c r="H39" s="42"/>
      <c r="I39" s="21"/>
      <c r="J39" s="21"/>
      <c r="K39" s="21"/>
      <c r="L39" s="21"/>
      <c r="M39" s="21"/>
      <c r="N39" s="93"/>
      <c r="O39" s="21"/>
      <c r="P39" s="21"/>
      <c r="Q39" s="21"/>
    </row>
    <row r="40" ht="18.0" hidden="1" customHeight="1" outlineLevel="1">
      <c r="A40" s="21"/>
      <c r="B40" s="40"/>
      <c r="C40" s="43" t="s">
        <v>41</v>
      </c>
      <c r="D40" s="44">
        <v>1387275.0</v>
      </c>
      <c r="E40" s="44">
        <v>2016868.0</v>
      </c>
      <c r="F40" s="44">
        <v>2268351.0</v>
      </c>
      <c r="G40" s="44">
        <v>5672494.0</v>
      </c>
      <c r="H40" s="44">
        <v>604215.0</v>
      </c>
      <c r="I40" s="21"/>
      <c r="J40" s="21">
        <v>-719096.0</v>
      </c>
      <c r="K40" s="21">
        <v>-161497.0</v>
      </c>
      <c r="L40" s="21">
        <v>-27736.0</v>
      </c>
      <c r="M40" s="21">
        <v>-908329.0</v>
      </c>
      <c r="N40" s="93"/>
      <c r="O40" s="21"/>
      <c r="P40" s="21"/>
      <c r="Q40" s="21"/>
    </row>
    <row r="41" ht="18.0" hidden="1" customHeight="1" outlineLevel="1">
      <c r="A41" s="21"/>
      <c r="B41" s="40" t="s">
        <v>47</v>
      </c>
      <c r="C41" s="41" t="s">
        <v>46</v>
      </c>
      <c r="D41" s="42">
        <v>442446.0</v>
      </c>
      <c r="E41" s="42">
        <v>576216.0</v>
      </c>
      <c r="F41" s="42">
        <v>613661.0</v>
      </c>
      <c r="G41" s="42">
        <v>1632323.0</v>
      </c>
      <c r="H41" s="42"/>
      <c r="I41" s="21"/>
      <c r="J41" s="21"/>
      <c r="K41" s="21"/>
      <c r="L41" s="21"/>
      <c r="M41" s="21"/>
      <c r="N41" s="93"/>
      <c r="O41" s="21"/>
      <c r="P41" s="21"/>
      <c r="Q41" s="21"/>
    </row>
    <row r="42" ht="18.0" hidden="1" customHeight="1" outlineLevel="1">
      <c r="A42" s="21"/>
      <c r="B42" s="40"/>
      <c r="C42" s="43" t="s">
        <v>41</v>
      </c>
      <c r="D42" s="44">
        <v>442446.0</v>
      </c>
      <c r="E42" s="44">
        <v>505914.0</v>
      </c>
      <c r="F42" s="44">
        <v>548750.0</v>
      </c>
      <c r="G42" s="44">
        <v>1497110.0</v>
      </c>
      <c r="H42" s="44">
        <v>454260.0</v>
      </c>
      <c r="I42" s="21"/>
      <c r="J42" s="21">
        <v>0.0</v>
      </c>
      <c r="K42" s="21">
        <v>-70302.0</v>
      </c>
      <c r="L42" s="21">
        <v>-64911.0</v>
      </c>
      <c r="M42" s="21">
        <v>-135213.0</v>
      </c>
      <c r="N42" s="93"/>
      <c r="O42" s="21"/>
      <c r="P42" s="21"/>
      <c r="Q42" s="21"/>
    </row>
    <row r="43" ht="18.0" hidden="1" customHeight="1" outlineLevel="1">
      <c r="A43" s="21"/>
      <c r="B43" s="40" t="s">
        <v>49</v>
      </c>
      <c r="C43" s="41" t="s">
        <v>46</v>
      </c>
      <c r="D43" s="42">
        <v>78000.0</v>
      </c>
      <c r="E43" s="42">
        <v>20000.0</v>
      </c>
      <c r="F43" s="42">
        <v>143334.0</v>
      </c>
      <c r="G43" s="42">
        <v>241334.0</v>
      </c>
      <c r="H43" s="42"/>
      <c r="I43" s="21"/>
      <c r="J43" s="21"/>
      <c r="K43" s="21"/>
      <c r="L43" s="21"/>
      <c r="M43" s="21"/>
      <c r="N43" s="93"/>
      <c r="O43" s="21"/>
      <c r="P43" s="21"/>
      <c r="Q43" s="21"/>
    </row>
    <row r="44" ht="18.0" hidden="1" customHeight="1" outlineLevel="1">
      <c r="A44" s="21"/>
      <c r="B44" s="40"/>
      <c r="C44" s="43" t="s">
        <v>41</v>
      </c>
      <c r="D44" s="44">
        <v>88931.0</v>
      </c>
      <c r="E44" s="44">
        <v>86370.0</v>
      </c>
      <c r="F44" s="44">
        <v>156700.0</v>
      </c>
      <c r="G44" s="44">
        <v>332001.0</v>
      </c>
      <c r="H44" s="44">
        <v>444892.0</v>
      </c>
      <c r="I44" s="21"/>
      <c r="J44" s="21">
        <v>10931.0</v>
      </c>
      <c r="K44" s="21">
        <v>66370.0</v>
      </c>
      <c r="L44" s="21">
        <v>13366.0</v>
      </c>
      <c r="M44" s="21">
        <v>90667.0</v>
      </c>
      <c r="N44" s="93"/>
      <c r="O44" s="21"/>
      <c r="P44" s="21"/>
      <c r="Q44" s="21"/>
    </row>
    <row r="45" ht="18.0" hidden="1" customHeight="1" outlineLevel="1">
      <c r="A45" s="21"/>
      <c r="B45" s="40" t="s">
        <v>108</v>
      </c>
      <c r="C45" s="41" t="s">
        <v>46</v>
      </c>
      <c r="D45" s="42">
        <v>0.0</v>
      </c>
      <c r="E45" s="42">
        <v>0.0</v>
      </c>
      <c r="F45" s="42">
        <v>0.0</v>
      </c>
      <c r="G45" s="42">
        <v>0.0</v>
      </c>
      <c r="H45" s="42"/>
      <c r="I45" s="21"/>
      <c r="J45" s="21"/>
      <c r="K45" s="21"/>
      <c r="L45" s="21"/>
      <c r="M45" s="21"/>
      <c r="N45" s="93"/>
      <c r="O45" s="21"/>
      <c r="P45" s="21"/>
      <c r="Q45" s="21"/>
    </row>
    <row r="46" ht="18.0" hidden="1" customHeight="1" outlineLevel="1">
      <c r="A46" s="21"/>
      <c r="B46" s="40"/>
      <c r="C46" s="43" t="s">
        <v>41</v>
      </c>
      <c r="D46" s="44">
        <v>0.0</v>
      </c>
      <c r="E46" s="44">
        <v>0.0</v>
      </c>
      <c r="F46" s="44">
        <v>0.0</v>
      </c>
      <c r="G46" s="44">
        <v>0.0</v>
      </c>
      <c r="H46" s="44">
        <v>0.0</v>
      </c>
      <c r="I46" s="21"/>
      <c r="J46" s="21">
        <v>0.0</v>
      </c>
      <c r="K46" s="21">
        <v>0.0</v>
      </c>
      <c r="L46" s="21">
        <v>0.0</v>
      </c>
      <c r="M46" s="21">
        <v>0.0</v>
      </c>
      <c r="N46" s="93"/>
      <c r="O46" s="21"/>
      <c r="P46" s="21"/>
      <c r="Q46" s="21"/>
    </row>
    <row r="47" ht="18.0" hidden="1" customHeight="1" outlineLevel="1">
      <c r="A47" s="21"/>
      <c r="B47" s="40" t="s">
        <v>50</v>
      </c>
      <c r="C47" s="41" t="s">
        <v>46</v>
      </c>
      <c r="D47" s="42">
        <v>406000.0</v>
      </c>
      <c r="E47" s="42">
        <v>414800.0</v>
      </c>
      <c r="F47" s="42">
        <v>1052061.0</v>
      </c>
      <c r="G47" s="42">
        <v>1872861.0</v>
      </c>
      <c r="H47" s="42"/>
      <c r="I47" s="21"/>
      <c r="J47" s="21"/>
      <c r="K47" s="21"/>
      <c r="L47" s="21"/>
      <c r="M47" s="21"/>
      <c r="N47" s="93"/>
      <c r="O47" s="21"/>
      <c r="P47" s="21"/>
      <c r="Q47" s="21"/>
    </row>
    <row r="48" ht="18.0" hidden="1" customHeight="1" outlineLevel="1">
      <c r="A48" s="21"/>
      <c r="B48" s="40"/>
      <c r="C48" s="43" t="s">
        <v>41</v>
      </c>
      <c r="D48" s="44">
        <v>432490.0</v>
      </c>
      <c r="E48" s="44">
        <v>386055.0</v>
      </c>
      <c r="F48" s="44">
        <v>1006989.0</v>
      </c>
      <c r="G48" s="44">
        <v>1825534.0</v>
      </c>
      <c r="H48" s="44">
        <v>3353476.0</v>
      </c>
      <c r="I48" s="21"/>
      <c r="J48" s="21">
        <v>26490.0</v>
      </c>
      <c r="K48" s="21">
        <v>-28745.0</v>
      </c>
      <c r="L48" s="21">
        <v>-45072.0</v>
      </c>
      <c r="M48" s="21">
        <v>-47327.0</v>
      </c>
      <c r="N48" s="93"/>
      <c r="O48" s="21"/>
      <c r="P48" s="21"/>
      <c r="Q48" s="21"/>
    </row>
    <row r="49" ht="18.0" hidden="1" customHeight="1" outlineLevel="1">
      <c r="A49" s="21"/>
      <c r="B49" s="40" t="s">
        <v>51</v>
      </c>
      <c r="C49" s="41" t="s">
        <v>46</v>
      </c>
      <c r="D49" s="42">
        <v>0.0</v>
      </c>
      <c r="E49" s="42">
        <v>0.0</v>
      </c>
      <c r="F49" s="42">
        <v>0.0</v>
      </c>
      <c r="G49" s="42">
        <v>0.0</v>
      </c>
      <c r="H49" s="42"/>
      <c r="I49" s="21"/>
      <c r="J49" s="21"/>
      <c r="K49" s="21"/>
      <c r="L49" s="21"/>
      <c r="M49" s="21"/>
      <c r="N49" s="93"/>
      <c r="O49" s="21"/>
      <c r="P49" s="21"/>
      <c r="Q49" s="21"/>
    </row>
    <row r="50" ht="18.0" hidden="1" customHeight="1" outlineLevel="1">
      <c r="A50" s="21"/>
      <c r="B50" s="40"/>
      <c r="C50" s="43" t="s">
        <v>41</v>
      </c>
      <c r="D50" s="44">
        <v>2720.0</v>
      </c>
      <c r="E50" s="44">
        <v>0.0</v>
      </c>
      <c r="F50" s="44">
        <v>0.0</v>
      </c>
      <c r="G50" s="44">
        <v>2720.0</v>
      </c>
      <c r="H50" s="44">
        <v>1221935.0</v>
      </c>
      <c r="I50" s="21"/>
      <c r="J50" s="21">
        <v>2720.0</v>
      </c>
      <c r="K50" s="21">
        <v>0.0</v>
      </c>
      <c r="L50" s="21">
        <v>0.0</v>
      </c>
      <c r="M50" s="21">
        <v>2720.0</v>
      </c>
      <c r="N50" s="93"/>
      <c r="O50" s="21"/>
      <c r="P50" s="21"/>
      <c r="Q50" s="21"/>
    </row>
    <row r="51" ht="18.0" hidden="1" customHeight="1" outlineLevel="1">
      <c r="A51" s="21"/>
      <c r="B51" s="40" t="s">
        <v>54</v>
      </c>
      <c r="C51" s="41" t="s">
        <v>46</v>
      </c>
      <c r="D51" s="42">
        <v>0.0</v>
      </c>
      <c r="E51" s="42">
        <v>0.0</v>
      </c>
      <c r="F51" s="42">
        <v>0.0</v>
      </c>
      <c r="G51" s="42">
        <v>0.0</v>
      </c>
      <c r="H51" s="42"/>
      <c r="I51" s="21"/>
      <c r="J51" s="21"/>
      <c r="K51" s="21"/>
      <c r="L51" s="21"/>
      <c r="M51" s="21"/>
      <c r="N51" s="93"/>
      <c r="O51" s="21"/>
      <c r="P51" s="21"/>
      <c r="Q51" s="21"/>
    </row>
    <row r="52" ht="18.0" hidden="1" customHeight="1" outlineLevel="1">
      <c r="A52" s="21"/>
      <c r="B52" s="40"/>
      <c r="C52" s="43" t="s">
        <v>41</v>
      </c>
      <c r="D52" s="44">
        <v>0.0</v>
      </c>
      <c r="E52" s="44">
        <v>0.0</v>
      </c>
      <c r="F52" s="44">
        <v>0.0</v>
      </c>
      <c r="G52" s="44">
        <v>0.0</v>
      </c>
      <c r="H52" s="44">
        <v>0.0</v>
      </c>
      <c r="I52" s="21"/>
      <c r="J52" s="21">
        <v>0.0</v>
      </c>
      <c r="K52" s="21">
        <v>0.0</v>
      </c>
      <c r="L52" s="21">
        <v>0.0</v>
      </c>
      <c r="M52" s="21">
        <v>0.0</v>
      </c>
      <c r="N52" s="93"/>
      <c r="O52" s="21"/>
      <c r="P52" s="21"/>
      <c r="Q52" s="21"/>
    </row>
    <row r="53" ht="18.0" customHeight="1" collapsed="1">
      <c r="A53" s="21"/>
      <c r="B53" s="21" t="s">
        <v>29</v>
      </c>
      <c r="C53" s="4" t="s">
        <v>46</v>
      </c>
      <c r="D53" s="24">
        <v>1.8921204E7</v>
      </c>
      <c r="E53" s="24">
        <v>1.151484E7</v>
      </c>
      <c r="F53" s="24">
        <v>1.5580597E7</v>
      </c>
      <c r="G53" s="24">
        <v>4.6016641E7</v>
      </c>
      <c r="H53" s="24">
        <v>0.0</v>
      </c>
      <c r="I53" s="21"/>
      <c r="J53" s="21"/>
      <c r="K53" s="21"/>
      <c r="L53" s="21"/>
      <c r="M53" s="21"/>
      <c r="N53" s="93"/>
      <c r="O53" s="21"/>
      <c r="P53" s="21"/>
      <c r="Q53" s="21"/>
    </row>
    <row r="54" ht="18.0" customHeight="1">
      <c r="A54" s="21"/>
      <c r="B54" s="21"/>
      <c r="C54" s="38" t="s">
        <v>41</v>
      </c>
      <c r="D54" s="39">
        <v>1.9293404E7</v>
      </c>
      <c r="E54" s="39">
        <v>1.1944461E7</v>
      </c>
      <c r="F54" s="39">
        <v>1.5020353E7</v>
      </c>
      <c r="G54" s="39">
        <v>4.6258218E7</v>
      </c>
      <c r="H54" s="39">
        <v>508898.0</v>
      </c>
      <c r="I54" s="21"/>
      <c r="J54" s="21">
        <v>372200.0</v>
      </c>
      <c r="K54" s="21">
        <v>429621.0</v>
      </c>
      <c r="L54" s="21">
        <v>-560244.0</v>
      </c>
      <c r="M54" s="21">
        <v>241577.0</v>
      </c>
      <c r="N54" s="93"/>
      <c r="O54" s="21"/>
      <c r="P54" s="21"/>
      <c r="Q54" s="21"/>
    </row>
    <row r="55" ht="18.0" hidden="1" customHeight="1" outlineLevel="1">
      <c r="A55" s="45"/>
      <c r="B55" s="46" t="s">
        <v>55</v>
      </c>
      <c r="C55" s="47" t="s">
        <v>46</v>
      </c>
      <c r="D55" s="48">
        <v>80000.0</v>
      </c>
      <c r="E55" s="48">
        <v>80000.0</v>
      </c>
      <c r="F55" s="48">
        <v>80000.0</v>
      </c>
      <c r="G55" s="48">
        <v>240000.0</v>
      </c>
      <c r="H55" s="48"/>
      <c r="I55" s="21"/>
      <c r="J55" s="21"/>
      <c r="K55" s="21"/>
      <c r="L55" s="21"/>
      <c r="M55" s="21"/>
      <c r="N55" s="93"/>
      <c r="O55" s="21"/>
      <c r="P55" s="21"/>
      <c r="Q55" s="21"/>
    </row>
    <row r="56" ht="18.0" hidden="1" customHeight="1" outlineLevel="1">
      <c r="A56" s="45"/>
      <c r="B56" s="46"/>
      <c r="C56" s="49" t="s">
        <v>41</v>
      </c>
      <c r="D56" s="50">
        <v>90000.0</v>
      </c>
      <c r="E56" s="50">
        <v>80000.0</v>
      </c>
      <c r="F56" s="50">
        <v>90000.0</v>
      </c>
      <c r="G56" s="50">
        <v>260000.0</v>
      </c>
      <c r="H56" s="50">
        <v>0.0</v>
      </c>
      <c r="I56" s="21"/>
      <c r="J56" s="21">
        <v>10000.0</v>
      </c>
      <c r="K56" s="21">
        <v>0.0</v>
      </c>
      <c r="L56" s="21">
        <v>10000.0</v>
      </c>
      <c r="M56" s="21">
        <v>20000.0</v>
      </c>
      <c r="N56" s="93"/>
      <c r="O56" s="21"/>
      <c r="P56" s="21"/>
      <c r="Q56" s="21"/>
    </row>
    <row r="57" ht="18.0" hidden="1" customHeight="1" outlineLevel="1">
      <c r="A57" s="45"/>
      <c r="B57" s="46" t="s">
        <v>56</v>
      </c>
      <c r="C57" s="47" t="s">
        <v>46</v>
      </c>
      <c r="D57" s="48">
        <v>3389999.0</v>
      </c>
      <c r="E57" s="48">
        <v>1933900.0</v>
      </c>
      <c r="F57" s="48">
        <v>880000.0</v>
      </c>
      <c r="G57" s="48">
        <v>6203899.0</v>
      </c>
      <c r="H57" s="48"/>
      <c r="I57" s="21"/>
      <c r="J57" s="21"/>
      <c r="K57" s="21"/>
      <c r="L57" s="21"/>
      <c r="M57" s="21"/>
      <c r="N57" s="93"/>
      <c r="O57" s="21"/>
      <c r="P57" s="21"/>
      <c r="Q57" s="21"/>
    </row>
    <row r="58" ht="18.0" hidden="1" customHeight="1" outlineLevel="1">
      <c r="A58" s="45"/>
      <c r="B58" s="46"/>
      <c r="C58" s="49" t="s">
        <v>41</v>
      </c>
      <c r="D58" s="50">
        <v>2415224.0</v>
      </c>
      <c r="E58" s="50">
        <v>2096656.0</v>
      </c>
      <c r="F58" s="50">
        <v>756203.0</v>
      </c>
      <c r="G58" s="50">
        <v>5268083.0</v>
      </c>
      <c r="H58" s="50">
        <v>0.0</v>
      </c>
      <c r="I58" s="21"/>
      <c r="J58" s="21">
        <v>-974775.0</v>
      </c>
      <c r="K58" s="21">
        <v>162756.0</v>
      </c>
      <c r="L58" s="21">
        <v>-123797.0</v>
      </c>
      <c r="M58" s="21">
        <v>-935816.0</v>
      </c>
      <c r="N58" s="93"/>
      <c r="O58" s="21"/>
      <c r="P58" s="21"/>
      <c r="Q58" s="21"/>
    </row>
    <row r="59" ht="18.0" hidden="1" customHeight="1" outlineLevel="1">
      <c r="A59" s="21"/>
      <c r="B59" s="46" t="s">
        <v>57</v>
      </c>
      <c r="C59" s="47" t="s">
        <v>46</v>
      </c>
      <c r="D59" s="48">
        <v>794250.0</v>
      </c>
      <c r="E59" s="48">
        <v>1189728.0</v>
      </c>
      <c r="F59" s="48">
        <v>2673180.0</v>
      </c>
      <c r="G59" s="48">
        <v>4657158.0</v>
      </c>
      <c r="H59" s="48"/>
      <c r="I59" s="21"/>
      <c r="J59" s="21"/>
      <c r="K59" s="21"/>
      <c r="L59" s="21"/>
      <c r="M59" s="21"/>
      <c r="N59" s="93"/>
      <c r="O59" s="21"/>
      <c r="P59" s="21"/>
      <c r="Q59" s="21"/>
    </row>
    <row r="60" ht="18.0" hidden="1" customHeight="1" outlineLevel="1">
      <c r="A60" s="21"/>
      <c r="B60" s="46"/>
      <c r="C60" s="49" t="s">
        <v>41</v>
      </c>
      <c r="D60" s="50">
        <v>824056.0</v>
      </c>
      <c r="E60" s="50">
        <v>1304560.0</v>
      </c>
      <c r="F60" s="50">
        <v>2503902.0</v>
      </c>
      <c r="G60" s="50">
        <v>4632518.0</v>
      </c>
      <c r="H60" s="50">
        <v>0.0</v>
      </c>
      <c r="I60" s="21"/>
      <c r="J60" s="21">
        <v>29806.0</v>
      </c>
      <c r="K60" s="21">
        <v>114832.0</v>
      </c>
      <c r="L60" s="21">
        <v>-169278.0</v>
      </c>
      <c r="M60" s="21">
        <v>-24640.0</v>
      </c>
      <c r="N60" s="93"/>
      <c r="O60" s="21"/>
      <c r="P60" s="21"/>
      <c r="Q60" s="21"/>
    </row>
    <row r="61" ht="18.0" hidden="1" customHeight="1" outlineLevel="1">
      <c r="A61" s="21"/>
      <c r="B61" s="46" t="s">
        <v>59</v>
      </c>
      <c r="C61" s="47" t="s">
        <v>46</v>
      </c>
      <c r="D61" s="48">
        <v>824856.0</v>
      </c>
      <c r="E61" s="48">
        <v>404804.0</v>
      </c>
      <c r="F61" s="48">
        <v>645176.0</v>
      </c>
      <c r="G61" s="48">
        <v>1874836.0</v>
      </c>
      <c r="H61" s="48"/>
      <c r="I61" s="21"/>
      <c r="J61" s="21"/>
      <c r="K61" s="21"/>
      <c r="L61" s="21"/>
      <c r="M61" s="21"/>
      <c r="N61" s="93"/>
      <c r="O61" s="21"/>
      <c r="P61" s="21"/>
      <c r="Q61" s="21"/>
    </row>
    <row r="62" ht="18.0" hidden="1" customHeight="1" outlineLevel="1">
      <c r="A62" s="21"/>
      <c r="B62" s="46"/>
      <c r="C62" s="49" t="s">
        <v>41</v>
      </c>
      <c r="D62" s="50">
        <v>716760.0</v>
      </c>
      <c r="E62" s="50">
        <v>480706.0</v>
      </c>
      <c r="F62" s="50">
        <v>547210.0</v>
      </c>
      <c r="G62" s="50">
        <v>1744676.0</v>
      </c>
      <c r="H62" s="50">
        <v>0.0</v>
      </c>
      <c r="I62" s="21"/>
      <c r="J62" s="21">
        <v>-108096.0</v>
      </c>
      <c r="K62" s="21">
        <v>75902.0</v>
      </c>
      <c r="L62" s="21">
        <v>-97966.0</v>
      </c>
      <c r="M62" s="21">
        <v>-130160.0</v>
      </c>
      <c r="N62" s="93"/>
      <c r="O62" s="21"/>
      <c r="P62" s="21"/>
      <c r="Q62" s="21"/>
    </row>
    <row r="63" ht="18.0" hidden="1" customHeight="1" outlineLevel="1">
      <c r="A63" s="21"/>
      <c r="B63" s="46" t="s">
        <v>60</v>
      </c>
      <c r="C63" s="47" t="s">
        <v>46</v>
      </c>
      <c r="D63" s="48">
        <v>1541000.0</v>
      </c>
      <c r="E63" s="48">
        <v>1473626.0</v>
      </c>
      <c r="F63" s="48">
        <v>2915224.0</v>
      </c>
      <c r="G63" s="48">
        <v>5929850.0</v>
      </c>
      <c r="H63" s="48"/>
      <c r="I63" s="21"/>
      <c r="J63" s="21"/>
      <c r="K63" s="21"/>
      <c r="L63" s="21"/>
      <c r="M63" s="21"/>
      <c r="N63" s="93"/>
      <c r="O63" s="21"/>
      <c r="P63" s="21"/>
      <c r="Q63" s="21"/>
    </row>
    <row r="64" ht="18.0" hidden="1" customHeight="1" outlineLevel="1">
      <c r="A64" s="21"/>
      <c r="B64" s="46"/>
      <c r="C64" s="49" t="s">
        <v>41</v>
      </c>
      <c r="D64" s="50">
        <v>2057372.0</v>
      </c>
      <c r="E64" s="50">
        <v>1146625.0</v>
      </c>
      <c r="F64" s="50">
        <v>2950401.0</v>
      </c>
      <c r="G64" s="50">
        <v>6154398.0</v>
      </c>
      <c r="H64" s="50">
        <v>0.0</v>
      </c>
      <c r="I64" s="21"/>
      <c r="J64" s="21">
        <v>516372.0</v>
      </c>
      <c r="K64" s="21">
        <v>-327001.0</v>
      </c>
      <c r="L64" s="21">
        <v>35177.0</v>
      </c>
      <c r="M64" s="21">
        <v>224548.0</v>
      </c>
      <c r="N64" s="93"/>
      <c r="O64" s="21"/>
      <c r="P64" s="21"/>
      <c r="Q64" s="21"/>
    </row>
    <row r="65" ht="18.0" hidden="1" customHeight="1" outlineLevel="1">
      <c r="A65" s="21"/>
      <c r="B65" s="46" t="s">
        <v>61</v>
      </c>
      <c r="C65" s="47" t="s">
        <v>46</v>
      </c>
      <c r="D65" s="48">
        <v>4197703.0</v>
      </c>
      <c r="E65" s="48">
        <v>500000.0</v>
      </c>
      <c r="F65" s="48">
        <v>500000.0</v>
      </c>
      <c r="G65" s="48">
        <v>5197703.0</v>
      </c>
      <c r="H65" s="48"/>
      <c r="I65" s="21"/>
      <c r="J65" s="21"/>
      <c r="K65" s="21"/>
      <c r="L65" s="21"/>
      <c r="M65" s="21"/>
      <c r="N65" s="93"/>
      <c r="O65" s="21"/>
      <c r="P65" s="21"/>
      <c r="Q65" s="21"/>
    </row>
    <row r="66" ht="18.0" hidden="1" customHeight="1" outlineLevel="1">
      <c r="A66" s="21"/>
      <c r="B66" s="46"/>
      <c r="C66" s="49" t="s">
        <v>41</v>
      </c>
      <c r="D66" s="50">
        <v>500000.0</v>
      </c>
      <c r="E66" s="50">
        <v>500000.0</v>
      </c>
      <c r="F66" s="50">
        <v>500000.0</v>
      </c>
      <c r="G66" s="50">
        <v>1500000.0</v>
      </c>
      <c r="H66" s="50">
        <v>0.0</v>
      </c>
      <c r="I66" s="21"/>
      <c r="J66" s="21">
        <v>-3697703.0</v>
      </c>
      <c r="K66" s="21">
        <v>0.0</v>
      </c>
      <c r="L66" s="21">
        <v>0.0</v>
      </c>
      <c r="M66" s="21">
        <v>-3697703.0</v>
      </c>
      <c r="N66" s="93"/>
      <c r="O66" s="21"/>
      <c r="P66" s="21"/>
      <c r="Q66" s="21"/>
    </row>
    <row r="67" ht="18.0" hidden="1" customHeight="1" outlineLevel="1">
      <c r="A67" s="21"/>
      <c r="B67" s="46" t="s">
        <v>62</v>
      </c>
      <c r="C67" s="47" t="s">
        <v>46</v>
      </c>
      <c r="D67" s="48">
        <v>0.0</v>
      </c>
      <c r="E67" s="48">
        <v>0.0</v>
      </c>
      <c r="F67" s="48">
        <v>0.0</v>
      </c>
      <c r="G67" s="48">
        <v>0.0</v>
      </c>
      <c r="H67" s="48"/>
      <c r="I67" s="21"/>
      <c r="J67" s="21"/>
      <c r="K67" s="21"/>
      <c r="L67" s="21"/>
      <c r="M67" s="21"/>
      <c r="N67" s="93"/>
      <c r="O67" s="21"/>
      <c r="P67" s="21"/>
      <c r="Q67" s="21"/>
    </row>
    <row r="68" ht="18.0" hidden="1" customHeight="1" outlineLevel="1">
      <c r="A68" s="21"/>
      <c r="B68" s="46"/>
      <c r="C68" s="49" t="s">
        <v>41</v>
      </c>
      <c r="D68" s="50">
        <v>3697703.0</v>
      </c>
      <c r="E68" s="50">
        <v>0.0</v>
      </c>
      <c r="F68" s="50">
        <v>0.0</v>
      </c>
      <c r="G68" s="50">
        <v>3697703.0</v>
      </c>
      <c r="H68" s="50">
        <v>0.0</v>
      </c>
      <c r="I68" s="21"/>
      <c r="J68" s="21">
        <v>3697703.0</v>
      </c>
      <c r="K68" s="21">
        <v>0.0</v>
      </c>
      <c r="L68" s="21">
        <v>0.0</v>
      </c>
      <c r="M68" s="21">
        <v>3697703.0</v>
      </c>
      <c r="N68" s="93"/>
      <c r="O68" s="21"/>
      <c r="P68" s="21"/>
      <c r="Q68" s="21"/>
    </row>
    <row r="69" ht="18.0" hidden="1" customHeight="1" outlineLevel="1">
      <c r="A69" s="21"/>
      <c r="B69" s="46" t="s">
        <v>63</v>
      </c>
      <c r="C69" s="47" t="s">
        <v>46</v>
      </c>
      <c r="D69" s="48">
        <v>0.0</v>
      </c>
      <c r="E69" s="48">
        <v>0.0</v>
      </c>
      <c r="F69" s="48">
        <v>83334.0</v>
      </c>
      <c r="G69" s="48">
        <v>83334.0</v>
      </c>
      <c r="H69" s="48"/>
      <c r="I69" s="21"/>
      <c r="J69" s="21"/>
      <c r="K69" s="21"/>
      <c r="L69" s="21"/>
      <c r="M69" s="21"/>
      <c r="N69" s="93"/>
      <c r="O69" s="21"/>
      <c r="P69" s="21"/>
      <c r="Q69" s="21"/>
    </row>
    <row r="70" ht="18.0" hidden="1" customHeight="1" outlineLevel="1">
      <c r="A70" s="21"/>
      <c r="B70" s="46"/>
      <c r="C70" s="49" t="s">
        <v>41</v>
      </c>
      <c r="D70" s="50">
        <v>0.0</v>
      </c>
      <c r="E70" s="50">
        <v>0.0</v>
      </c>
      <c r="F70" s="50">
        <v>83334.0</v>
      </c>
      <c r="G70" s="50">
        <v>83334.0</v>
      </c>
      <c r="H70" s="50">
        <v>0.0</v>
      </c>
      <c r="I70" s="21"/>
      <c r="J70" s="21">
        <v>0.0</v>
      </c>
      <c r="K70" s="21">
        <v>0.0</v>
      </c>
      <c r="L70" s="21">
        <v>0.0</v>
      </c>
      <c r="M70" s="21">
        <v>0.0</v>
      </c>
      <c r="N70" s="93"/>
      <c r="O70" s="21"/>
      <c r="P70" s="21"/>
      <c r="Q70" s="21"/>
    </row>
    <row r="71" ht="18.0" hidden="1" customHeight="1" outlineLevel="1">
      <c r="A71" s="21"/>
      <c r="B71" s="46" t="s">
        <v>65</v>
      </c>
      <c r="C71" s="47" t="s">
        <v>46</v>
      </c>
      <c r="D71" s="48">
        <v>0.0</v>
      </c>
      <c r="E71" s="48">
        <v>0.0</v>
      </c>
      <c r="F71" s="48">
        <v>0.0</v>
      </c>
      <c r="G71" s="48">
        <v>0.0</v>
      </c>
      <c r="H71" s="48"/>
      <c r="I71" s="21"/>
      <c r="J71" s="21"/>
      <c r="K71" s="21"/>
      <c r="L71" s="21"/>
      <c r="M71" s="21"/>
      <c r="N71" s="93"/>
      <c r="O71" s="21"/>
      <c r="P71" s="21"/>
      <c r="Q71" s="21"/>
    </row>
    <row r="72" ht="18.0" hidden="1" customHeight="1" outlineLevel="1">
      <c r="A72" s="21"/>
      <c r="B72" s="46"/>
      <c r="C72" s="49" t="s">
        <v>41</v>
      </c>
      <c r="D72" s="50">
        <v>172741.0</v>
      </c>
      <c r="E72" s="50">
        <v>0.0</v>
      </c>
      <c r="F72" s="50">
        <v>0.0</v>
      </c>
      <c r="G72" s="50">
        <v>172741.0</v>
      </c>
      <c r="H72" s="50">
        <v>0.0</v>
      </c>
      <c r="I72" s="21"/>
      <c r="J72" s="21">
        <v>172741.0</v>
      </c>
      <c r="K72" s="21">
        <v>0.0</v>
      </c>
      <c r="L72" s="21">
        <v>0.0</v>
      </c>
      <c r="M72" s="21">
        <v>172741.0</v>
      </c>
      <c r="N72" s="93"/>
      <c r="O72" s="21"/>
      <c r="P72" s="21"/>
      <c r="Q72" s="21"/>
    </row>
    <row r="73" ht="18.0" hidden="1" customHeight="1" outlineLevel="1">
      <c r="A73" s="21"/>
      <c r="B73" s="46" t="s">
        <v>64</v>
      </c>
      <c r="C73" s="47" t="s">
        <v>46</v>
      </c>
      <c r="D73" s="48">
        <v>600000.0</v>
      </c>
      <c r="E73" s="48">
        <v>349080.0</v>
      </c>
      <c r="F73" s="48">
        <v>1337562.0</v>
      </c>
      <c r="G73" s="48">
        <v>2286642.0</v>
      </c>
      <c r="H73" s="48"/>
      <c r="I73" s="21"/>
      <c r="J73" s="21"/>
      <c r="K73" s="21"/>
      <c r="L73" s="21"/>
      <c r="M73" s="21"/>
      <c r="N73" s="93"/>
      <c r="O73" s="21"/>
      <c r="P73" s="21"/>
      <c r="Q73" s="21"/>
    </row>
    <row r="74" ht="18.0" hidden="1" customHeight="1" outlineLevel="1">
      <c r="A74" s="21"/>
      <c r="B74" s="46"/>
      <c r="C74" s="49" t="s">
        <v>41</v>
      </c>
      <c r="D74" s="50">
        <v>860801.0</v>
      </c>
      <c r="E74" s="50">
        <v>306374.0</v>
      </c>
      <c r="F74" s="50">
        <v>1120281.0</v>
      </c>
      <c r="G74" s="50">
        <v>2287456.0</v>
      </c>
      <c r="H74" s="50">
        <v>740.0</v>
      </c>
      <c r="I74" s="21"/>
      <c r="J74" s="21">
        <v>260801.0</v>
      </c>
      <c r="K74" s="21">
        <v>-42706.0</v>
      </c>
      <c r="L74" s="21">
        <v>-217281.0</v>
      </c>
      <c r="M74" s="21">
        <v>814.0</v>
      </c>
      <c r="N74" s="93"/>
      <c r="O74" s="21"/>
      <c r="P74" s="21"/>
      <c r="Q74" s="21"/>
    </row>
    <row r="75" ht="18.0" hidden="1" customHeight="1" outlineLevel="1">
      <c r="A75" s="21"/>
      <c r="B75" s="46" t="s">
        <v>66</v>
      </c>
      <c r="C75" s="47" t="s">
        <v>46</v>
      </c>
      <c r="D75" s="48">
        <v>120000.0</v>
      </c>
      <c r="E75" s="48">
        <v>10000.0</v>
      </c>
      <c r="F75" s="48">
        <v>989685.0</v>
      </c>
      <c r="G75" s="48">
        <v>1119685.0</v>
      </c>
      <c r="H75" s="48"/>
      <c r="I75" s="21"/>
      <c r="J75" s="21"/>
      <c r="K75" s="21"/>
      <c r="L75" s="21"/>
      <c r="M75" s="21"/>
      <c r="N75" s="93"/>
      <c r="O75" s="21"/>
      <c r="P75" s="21"/>
      <c r="Q75" s="21"/>
    </row>
    <row r="76" ht="18.0" hidden="1" customHeight="1" outlineLevel="1">
      <c r="A76" s="21"/>
      <c r="B76" s="46"/>
      <c r="C76" s="49" t="s">
        <v>41</v>
      </c>
      <c r="D76" s="50">
        <v>632641.0</v>
      </c>
      <c r="E76" s="50">
        <v>0.0</v>
      </c>
      <c r="F76" s="50">
        <v>1187041.0</v>
      </c>
      <c r="G76" s="50">
        <v>1819682.0</v>
      </c>
      <c r="H76" s="50">
        <v>0.0</v>
      </c>
      <c r="I76" s="21"/>
      <c r="J76" s="21">
        <v>512641.0</v>
      </c>
      <c r="K76" s="21">
        <v>-10000.0</v>
      </c>
      <c r="L76" s="21">
        <v>197356.0</v>
      </c>
      <c r="M76" s="21">
        <v>699997.0</v>
      </c>
      <c r="N76" s="93"/>
      <c r="O76" s="21"/>
      <c r="P76" s="21"/>
      <c r="Q76" s="21"/>
    </row>
    <row r="77" ht="18.0" hidden="1" customHeight="1" outlineLevel="1">
      <c r="A77" s="21"/>
      <c r="B77" s="46" t="s">
        <v>67</v>
      </c>
      <c r="C77" s="47" t="s">
        <v>46</v>
      </c>
      <c r="D77" s="48">
        <v>10000.0</v>
      </c>
      <c r="E77" s="48">
        <v>5000.0</v>
      </c>
      <c r="F77" s="48">
        <v>5000.0</v>
      </c>
      <c r="G77" s="48">
        <v>20000.0</v>
      </c>
      <c r="H77" s="48"/>
      <c r="I77" s="21"/>
      <c r="J77" s="21"/>
      <c r="K77" s="21"/>
      <c r="L77" s="21"/>
      <c r="M77" s="21"/>
      <c r="N77" s="93"/>
      <c r="O77" s="21"/>
      <c r="P77" s="21"/>
      <c r="Q77" s="21"/>
    </row>
    <row r="78" ht="18.0" hidden="1" customHeight="1" outlineLevel="1">
      <c r="A78" s="21"/>
      <c r="B78" s="46"/>
      <c r="C78" s="49" t="s">
        <v>41</v>
      </c>
      <c r="D78" s="50">
        <v>3364.0</v>
      </c>
      <c r="E78" s="50">
        <v>8649.0</v>
      </c>
      <c r="F78" s="50">
        <v>0.0</v>
      </c>
      <c r="G78" s="50">
        <v>12013.0</v>
      </c>
      <c r="H78" s="50">
        <v>0.0</v>
      </c>
      <c r="I78" s="21"/>
      <c r="J78" s="21">
        <v>-6636.0</v>
      </c>
      <c r="K78" s="21">
        <v>3649.0</v>
      </c>
      <c r="L78" s="21">
        <v>-5000.0</v>
      </c>
      <c r="M78" s="21">
        <v>-7987.0</v>
      </c>
      <c r="N78" s="93"/>
      <c r="O78" s="21"/>
      <c r="P78" s="21"/>
      <c r="Q78" s="21"/>
    </row>
    <row r="79" ht="18.0" hidden="1" customHeight="1" outlineLevel="1">
      <c r="A79" s="21"/>
      <c r="B79" s="46" t="s">
        <v>68</v>
      </c>
      <c r="C79" s="47" t="s">
        <v>46</v>
      </c>
      <c r="D79" s="48">
        <v>0.0</v>
      </c>
      <c r="E79" s="48">
        <v>0.0</v>
      </c>
      <c r="F79" s="48">
        <v>0.0</v>
      </c>
      <c r="G79" s="48">
        <v>0.0</v>
      </c>
      <c r="H79" s="48"/>
      <c r="I79" s="21"/>
      <c r="J79" s="21"/>
      <c r="K79" s="21"/>
      <c r="L79" s="21"/>
      <c r="M79" s="21"/>
      <c r="N79" s="93"/>
      <c r="O79" s="21"/>
      <c r="P79" s="21"/>
      <c r="Q79" s="21"/>
    </row>
    <row r="80" ht="18.0" hidden="1" customHeight="1" outlineLevel="1">
      <c r="A80" s="21"/>
      <c r="B80" s="46"/>
      <c r="C80" s="49" t="s">
        <v>41</v>
      </c>
      <c r="D80" s="50">
        <v>0.0</v>
      </c>
      <c r="E80" s="50">
        <v>0.0</v>
      </c>
      <c r="F80" s="50">
        <v>523.0</v>
      </c>
      <c r="G80" s="50">
        <v>523.0</v>
      </c>
      <c r="H80" s="50">
        <v>0.0</v>
      </c>
      <c r="I80" s="21"/>
      <c r="J80" s="21">
        <v>0.0</v>
      </c>
      <c r="K80" s="21">
        <v>0.0</v>
      </c>
      <c r="L80" s="21">
        <v>523.0</v>
      </c>
      <c r="M80" s="21">
        <v>523.0</v>
      </c>
      <c r="N80" s="93"/>
      <c r="O80" s="21"/>
      <c r="P80" s="21"/>
      <c r="Q80" s="21"/>
    </row>
    <row r="81" ht="18.0" hidden="1" customHeight="1" outlineLevel="1">
      <c r="A81" s="21"/>
      <c r="B81" s="46" t="s">
        <v>69</v>
      </c>
      <c r="C81" s="47" t="s">
        <v>46</v>
      </c>
      <c r="D81" s="48">
        <v>115000.0</v>
      </c>
      <c r="E81" s="48">
        <v>150000.0</v>
      </c>
      <c r="F81" s="48">
        <v>149920.0</v>
      </c>
      <c r="G81" s="48">
        <v>414920.0</v>
      </c>
      <c r="H81" s="48"/>
      <c r="I81" s="21"/>
      <c r="J81" s="21"/>
      <c r="K81" s="21"/>
      <c r="L81" s="21"/>
      <c r="M81" s="21"/>
      <c r="N81" s="93"/>
      <c r="O81" s="21"/>
      <c r="P81" s="21"/>
      <c r="Q81" s="21"/>
    </row>
    <row r="82" ht="18.0" hidden="1" customHeight="1" outlineLevel="1">
      <c r="A82" s="21"/>
      <c r="B82" s="46"/>
      <c r="C82" s="49" t="s">
        <v>41</v>
      </c>
      <c r="D82" s="50">
        <v>253473.0</v>
      </c>
      <c r="E82" s="50">
        <v>161591.0</v>
      </c>
      <c r="F82" s="50">
        <v>92516.0</v>
      </c>
      <c r="G82" s="50">
        <v>507580.0</v>
      </c>
      <c r="H82" s="50">
        <v>479.0</v>
      </c>
      <c r="I82" s="21"/>
      <c r="J82" s="21">
        <v>138473.0</v>
      </c>
      <c r="K82" s="21">
        <v>11591.0</v>
      </c>
      <c r="L82" s="21">
        <v>-57404.0</v>
      </c>
      <c r="M82" s="21">
        <v>92660.0</v>
      </c>
      <c r="N82" s="93"/>
      <c r="O82" s="21"/>
      <c r="P82" s="21"/>
      <c r="Q82" s="21"/>
    </row>
    <row r="83" ht="18.0" hidden="1" customHeight="1" outlineLevel="1">
      <c r="A83" s="21"/>
      <c r="B83" s="46" t="s">
        <v>70</v>
      </c>
      <c r="C83" s="47" t="s">
        <v>46</v>
      </c>
      <c r="D83" s="48">
        <v>783677.0</v>
      </c>
      <c r="E83" s="48">
        <v>821867.0</v>
      </c>
      <c r="F83" s="48">
        <v>1270642.0</v>
      </c>
      <c r="G83" s="48">
        <v>2876186.0</v>
      </c>
      <c r="H83" s="48"/>
      <c r="I83" s="21"/>
      <c r="J83" s="21"/>
      <c r="K83" s="21"/>
      <c r="L83" s="21"/>
      <c r="M83" s="21"/>
      <c r="N83" s="93"/>
      <c r="O83" s="21"/>
      <c r="P83" s="21"/>
      <c r="Q83" s="21"/>
    </row>
    <row r="84" ht="18.0" hidden="1" customHeight="1" outlineLevel="1">
      <c r="A84" s="21"/>
      <c r="B84" s="46"/>
      <c r="C84" s="49" t="s">
        <v>41</v>
      </c>
      <c r="D84" s="50">
        <v>680383.0</v>
      </c>
      <c r="E84" s="50">
        <v>845394.0</v>
      </c>
      <c r="F84" s="50">
        <v>1216477.0</v>
      </c>
      <c r="G84" s="50">
        <v>2742254.0</v>
      </c>
      <c r="H84" s="50">
        <v>0.0</v>
      </c>
      <c r="I84" s="21"/>
      <c r="J84" s="21">
        <v>-103294.0</v>
      </c>
      <c r="K84" s="21">
        <v>23527.0</v>
      </c>
      <c r="L84" s="21">
        <v>-54165.0</v>
      </c>
      <c r="M84" s="21">
        <v>-133932.0</v>
      </c>
      <c r="N84" s="93"/>
      <c r="O84" s="21"/>
      <c r="P84" s="21"/>
      <c r="Q84" s="21"/>
    </row>
    <row r="85" ht="18.0" hidden="1" customHeight="1" outlineLevel="1">
      <c r="A85" s="21"/>
      <c r="B85" s="46" t="s">
        <v>71</v>
      </c>
      <c r="C85" s="47" t="s">
        <v>46</v>
      </c>
      <c r="D85" s="48">
        <v>10000.0</v>
      </c>
      <c r="E85" s="48">
        <v>10000.0</v>
      </c>
      <c r="F85" s="48">
        <v>105000.0</v>
      </c>
      <c r="G85" s="48">
        <v>125000.0</v>
      </c>
      <c r="H85" s="48"/>
      <c r="I85" s="21"/>
      <c r="J85" s="21"/>
      <c r="K85" s="21"/>
      <c r="L85" s="21"/>
      <c r="M85" s="21"/>
      <c r="N85" s="93"/>
      <c r="O85" s="21"/>
      <c r="P85" s="21"/>
      <c r="Q85" s="21"/>
    </row>
    <row r="86" ht="18.0" hidden="1" customHeight="1" outlineLevel="1">
      <c r="A86" s="21"/>
      <c r="B86" s="46"/>
      <c r="C86" s="49" t="s">
        <v>41</v>
      </c>
      <c r="D86" s="50">
        <v>16934.0</v>
      </c>
      <c r="E86" s="50">
        <v>113490.0</v>
      </c>
      <c r="F86" s="50">
        <v>46924.0</v>
      </c>
      <c r="G86" s="50">
        <v>177348.0</v>
      </c>
      <c r="H86" s="50">
        <v>0.0</v>
      </c>
      <c r="I86" s="21"/>
      <c r="J86" s="21">
        <v>6934.0</v>
      </c>
      <c r="K86" s="21">
        <v>103490.0</v>
      </c>
      <c r="L86" s="21">
        <v>-58076.0</v>
      </c>
      <c r="M86" s="21">
        <v>52348.0</v>
      </c>
      <c r="N86" s="93"/>
      <c r="O86" s="21"/>
      <c r="P86" s="21"/>
      <c r="Q86" s="21"/>
    </row>
    <row r="87" ht="18.0" hidden="1" customHeight="1" outlineLevel="1">
      <c r="A87" s="21"/>
      <c r="B87" s="46" t="s">
        <v>72</v>
      </c>
      <c r="C87" s="47" t="s">
        <v>46</v>
      </c>
      <c r="D87" s="48">
        <v>550000.0</v>
      </c>
      <c r="E87" s="48">
        <v>550000.0</v>
      </c>
      <c r="F87" s="48">
        <v>500000.0</v>
      </c>
      <c r="G87" s="48">
        <v>1600000.0</v>
      </c>
      <c r="H87" s="48"/>
      <c r="I87" s="21"/>
      <c r="J87" s="21"/>
      <c r="K87" s="21"/>
      <c r="L87" s="21"/>
      <c r="M87" s="21"/>
      <c r="N87" s="93"/>
      <c r="O87" s="21"/>
      <c r="P87" s="21"/>
      <c r="Q87" s="21"/>
    </row>
    <row r="88" ht="18.0" hidden="1" customHeight="1" outlineLevel="1">
      <c r="A88" s="21"/>
      <c r="B88" s="46"/>
      <c r="C88" s="49" t="s">
        <v>41</v>
      </c>
      <c r="D88" s="50">
        <v>-21664.0</v>
      </c>
      <c r="E88" s="50">
        <v>368926.0</v>
      </c>
      <c r="F88" s="50">
        <v>461466.0</v>
      </c>
      <c r="G88" s="50">
        <v>808728.0</v>
      </c>
      <c r="H88" s="50">
        <v>180834.0</v>
      </c>
      <c r="I88" s="21"/>
      <c r="J88" s="21">
        <v>-571664.0</v>
      </c>
      <c r="K88" s="21">
        <v>-181074.0</v>
      </c>
      <c r="L88" s="21">
        <v>-38534.0</v>
      </c>
      <c r="M88" s="21">
        <v>-791272.0</v>
      </c>
      <c r="N88" s="93"/>
      <c r="O88" s="21"/>
      <c r="P88" s="21"/>
      <c r="Q88" s="21"/>
    </row>
    <row r="89" ht="18.0" hidden="1" customHeight="1" outlineLevel="1">
      <c r="A89" s="21"/>
      <c r="B89" s="46" t="s">
        <v>73</v>
      </c>
      <c r="C89" s="47" t="s">
        <v>46</v>
      </c>
      <c r="D89" s="48">
        <v>94696.0</v>
      </c>
      <c r="E89" s="48">
        <v>70310.0</v>
      </c>
      <c r="F89" s="48">
        <v>101170.0</v>
      </c>
      <c r="G89" s="48">
        <v>266176.0</v>
      </c>
      <c r="H89" s="48"/>
      <c r="I89" s="21"/>
      <c r="J89" s="21"/>
      <c r="K89" s="21"/>
      <c r="L89" s="21"/>
      <c r="M89" s="21"/>
      <c r="N89" s="93"/>
      <c r="O89" s="21"/>
      <c r="P89" s="21"/>
      <c r="Q89" s="21"/>
    </row>
    <row r="90" ht="18.0" hidden="1" customHeight="1" outlineLevel="1">
      <c r="A90" s="21"/>
      <c r="B90" s="46"/>
      <c r="C90" s="49" t="s">
        <v>41</v>
      </c>
      <c r="D90" s="50">
        <v>105569.0</v>
      </c>
      <c r="E90" s="50">
        <v>173643.0</v>
      </c>
      <c r="F90" s="50">
        <v>202993.0</v>
      </c>
      <c r="G90" s="50">
        <v>482205.0</v>
      </c>
      <c r="H90" s="50">
        <v>0.0</v>
      </c>
      <c r="I90" s="21"/>
      <c r="J90" s="21">
        <v>10873.0</v>
      </c>
      <c r="K90" s="21">
        <v>103333.0</v>
      </c>
      <c r="L90" s="21">
        <v>101823.0</v>
      </c>
      <c r="M90" s="21">
        <v>216029.0</v>
      </c>
      <c r="N90" s="93"/>
      <c r="O90" s="21"/>
      <c r="P90" s="21"/>
      <c r="Q90" s="21"/>
    </row>
    <row r="91" ht="18.0" hidden="1" customHeight="1" outlineLevel="1">
      <c r="A91" s="21"/>
      <c r="B91" s="46" t="s">
        <v>74</v>
      </c>
      <c r="C91" s="47" t="s">
        <v>46</v>
      </c>
      <c r="D91" s="48">
        <v>220800.0</v>
      </c>
      <c r="E91" s="48">
        <v>40000.0</v>
      </c>
      <c r="F91" s="48">
        <v>0.0</v>
      </c>
      <c r="G91" s="48">
        <v>260800.0</v>
      </c>
      <c r="H91" s="48"/>
      <c r="I91" s="21"/>
      <c r="J91" s="21"/>
      <c r="K91" s="21"/>
      <c r="L91" s="21"/>
      <c r="M91" s="21"/>
      <c r="N91" s="93"/>
      <c r="O91" s="21"/>
      <c r="P91" s="21"/>
      <c r="Q91" s="21"/>
    </row>
    <row r="92" ht="18.0" hidden="1" customHeight="1" outlineLevel="1">
      <c r="A92" s="21"/>
      <c r="B92" s="46"/>
      <c r="C92" s="49" t="s">
        <v>41</v>
      </c>
      <c r="D92" s="50">
        <v>263600.0</v>
      </c>
      <c r="E92" s="50">
        <v>40000.0</v>
      </c>
      <c r="F92" s="50">
        <v>0.0</v>
      </c>
      <c r="G92" s="50">
        <v>303600.0</v>
      </c>
      <c r="H92" s="50">
        <v>0.0</v>
      </c>
      <c r="I92" s="21"/>
      <c r="J92" s="21">
        <v>42800.0</v>
      </c>
      <c r="K92" s="21">
        <v>0.0</v>
      </c>
      <c r="L92" s="21">
        <v>0.0</v>
      </c>
      <c r="M92" s="21">
        <v>42800.0</v>
      </c>
      <c r="N92" s="93"/>
      <c r="O92" s="21"/>
      <c r="P92" s="21"/>
      <c r="Q92" s="21"/>
    </row>
    <row r="93" ht="18.0" hidden="1" customHeight="1" outlineLevel="1">
      <c r="A93" s="21"/>
      <c r="B93" s="46" t="s">
        <v>109</v>
      </c>
      <c r="C93" s="47" t="s">
        <v>46</v>
      </c>
      <c r="D93" s="48">
        <v>7223.0</v>
      </c>
      <c r="E93" s="48">
        <v>5275.0</v>
      </c>
      <c r="F93" s="48">
        <v>21704.0</v>
      </c>
      <c r="G93" s="48">
        <v>34202.0</v>
      </c>
      <c r="H93" s="48"/>
      <c r="I93" s="21"/>
      <c r="J93" s="21"/>
      <c r="K93" s="21"/>
      <c r="L93" s="21"/>
      <c r="M93" s="21"/>
      <c r="N93" s="93"/>
      <c r="O93" s="21"/>
      <c r="P93" s="21"/>
      <c r="Q93" s="21"/>
    </row>
    <row r="94" ht="18.0" hidden="1" customHeight="1" outlineLevel="1">
      <c r="A94" s="21"/>
      <c r="B94" s="46"/>
      <c r="C94" s="49" t="s">
        <v>41</v>
      </c>
      <c r="D94" s="50">
        <v>7223.0</v>
      </c>
      <c r="E94" s="50">
        <v>3704.0</v>
      </c>
      <c r="F94" s="50">
        <v>3704.0</v>
      </c>
      <c r="G94" s="50">
        <v>14631.0</v>
      </c>
      <c r="H94" s="50">
        <v>0.0</v>
      </c>
      <c r="I94" s="21"/>
      <c r="J94" s="21">
        <v>0.0</v>
      </c>
      <c r="K94" s="21">
        <v>-1571.0</v>
      </c>
      <c r="L94" s="21">
        <v>-18000.0</v>
      </c>
      <c r="M94" s="21">
        <v>-19571.0</v>
      </c>
      <c r="N94" s="93"/>
      <c r="O94" s="21"/>
      <c r="P94" s="21"/>
      <c r="Q94" s="21"/>
    </row>
    <row r="95" ht="18.0" hidden="1" customHeight="1" outlineLevel="1">
      <c r="A95" s="21"/>
      <c r="B95" s="46" t="s">
        <v>77</v>
      </c>
      <c r="C95" s="47" t="s">
        <v>46</v>
      </c>
      <c r="D95" s="48">
        <v>10000.0</v>
      </c>
      <c r="E95" s="48">
        <v>50000.0</v>
      </c>
      <c r="F95" s="48">
        <v>50000.0</v>
      </c>
      <c r="G95" s="48">
        <v>110000.0</v>
      </c>
      <c r="H95" s="48"/>
      <c r="I95" s="21"/>
      <c r="J95" s="21"/>
      <c r="K95" s="21"/>
      <c r="L95" s="21"/>
      <c r="M95" s="21"/>
      <c r="N95" s="93"/>
      <c r="O95" s="21"/>
      <c r="P95" s="21"/>
      <c r="Q95" s="21"/>
    </row>
    <row r="96" ht="18.0" hidden="1" customHeight="1" outlineLevel="1">
      <c r="A96" s="21"/>
      <c r="B96" s="46"/>
      <c r="C96" s="49" t="s">
        <v>41</v>
      </c>
      <c r="D96" s="50">
        <v>1000.0</v>
      </c>
      <c r="E96" s="50">
        <v>58564.0</v>
      </c>
      <c r="F96" s="50">
        <v>28336.0</v>
      </c>
      <c r="G96" s="50">
        <v>87900.0</v>
      </c>
      <c r="H96" s="50">
        <v>0.0</v>
      </c>
      <c r="I96" s="21"/>
      <c r="J96" s="21">
        <v>-9000.0</v>
      </c>
      <c r="K96" s="21">
        <v>8564.0</v>
      </c>
      <c r="L96" s="21">
        <v>-21664.0</v>
      </c>
      <c r="M96" s="21">
        <v>-22100.0</v>
      </c>
      <c r="N96" s="93"/>
      <c r="O96" s="21"/>
      <c r="P96" s="21"/>
      <c r="Q96" s="21"/>
    </row>
    <row r="97" ht="18.0" hidden="1" customHeight="1" outlineLevel="1">
      <c r="A97" s="21"/>
      <c r="B97" s="46" t="s">
        <v>110</v>
      </c>
      <c r="C97" s="47" t="s">
        <v>46</v>
      </c>
      <c r="D97" s="48">
        <v>5572000.0</v>
      </c>
      <c r="E97" s="48">
        <v>3425000.0</v>
      </c>
      <c r="F97" s="48">
        <v>2905000.0</v>
      </c>
      <c r="G97" s="48">
        <v>1.1902E7</v>
      </c>
      <c r="H97" s="48"/>
      <c r="I97" s="21"/>
      <c r="J97" s="21"/>
      <c r="K97" s="21"/>
      <c r="L97" s="21"/>
      <c r="M97" s="21"/>
      <c r="N97" s="93"/>
      <c r="O97" s="21"/>
      <c r="P97" s="21"/>
      <c r="Q97" s="21"/>
    </row>
    <row r="98" ht="18.0" hidden="1" customHeight="1" outlineLevel="1">
      <c r="A98" s="21"/>
      <c r="B98" s="46"/>
      <c r="C98" s="49" t="s">
        <v>41</v>
      </c>
      <c r="D98" s="50">
        <v>5968464.0</v>
      </c>
      <c r="E98" s="50">
        <v>4032988.0</v>
      </c>
      <c r="F98" s="50">
        <v>2922011.0</v>
      </c>
      <c r="G98" s="50">
        <v>1.2923463E7</v>
      </c>
      <c r="H98" s="50">
        <v>0.0</v>
      </c>
      <c r="I98" s="21"/>
      <c r="J98" s="21">
        <v>396464.0</v>
      </c>
      <c r="K98" s="21">
        <v>607988.0</v>
      </c>
      <c r="L98" s="21">
        <v>17011.0</v>
      </c>
      <c r="M98" s="21">
        <v>1021463.0</v>
      </c>
      <c r="N98" s="93"/>
      <c r="O98" s="21"/>
      <c r="P98" s="21"/>
      <c r="Q98" s="21"/>
    </row>
    <row r="99" ht="18.0" hidden="1" customHeight="1" outlineLevel="1">
      <c r="A99" s="21"/>
      <c r="B99" s="46" t="s">
        <v>111</v>
      </c>
      <c r="C99" s="47" t="s">
        <v>46</v>
      </c>
      <c r="D99" s="48">
        <v>0.0</v>
      </c>
      <c r="E99" s="48">
        <v>446250.0</v>
      </c>
      <c r="F99" s="48">
        <v>368000.0</v>
      </c>
      <c r="G99" s="48">
        <v>814250.0</v>
      </c>
      <c r="H99" s="48"/>
      <c r="I99" s="21"/>
      <c r="J99" s="21"/>
      <c r="K99" s="21"/>
      <c r="L99" s="21"/>
      <c r="M99" s="21"/>
      <c r="N99" s="93"/>
      <c r="O99" s="21"/>
      <c r="P99" s="21"/>
      <c r="Q99" s="21"/>
    </row>
    <row r="100" ht="18.0" hidden="1" customHeight="1" outlineLevel="1">
      <c r="A100" s="21"/>
      <c r="B100" s="46"/>
      <c r="C100" s="49" t="s">
        <v>41</v>
      </c>
      <c r="D100" s="50">
        <v>47760.0</v>
      </c>
      <c r="E100" s="50">
        <v>222100.0</v>
      </c>
      <c r="F100" s="50">
        <v>307031.0</v>
      </c>
      <c r="G100" s="50">
        <v>576891.0</v>
      </c>
      <c r="H100" s="50">
        <v>0.0</v>
      </c>
      <c r="I100" s="21"/>
      <c r="J100" s="21">
        <v>47760.0</v>
      </c>
      <c r="K100" s="21">
        <v>-224150.0</v>
      </c>
      <c r="L100" s="21">
        <v>-60969.0</v>
      </c>
      <c r="M100" s="21">
        <v>-237359.0</v>
      </c>
      <c r="N100" s="93"/>
      <c r="O100" s="21"/>
      <c r="P100" s="21"/>
      <c r="Q100" s="21"/>
    </row>
    <row r="101" ht="18.0" hidden="1" customHeight="1" outlineLevel="1">
      <c r="A101" s="21"/>
      <c r="B101" s="46" t="s">
        <v>112</v>
      </c>
      <c r="C101" s="47" t="s">
        <v>46</v>
      </c>
      <c r="D101" s="48">
        <v>0.0</v>
      </c>
      <c r="E101" s="48">
        <v>0.0</v>
      </c>
      <c r="F101" s="48">
        <v>0.0</v>
      </c>
      <c r="G101" s="48">
        <v>0.0</v>
      </c>
      <c r="H101" s="48"/>
      <c r="I101" s="21"/>
      <c r="J101" s="21"/>
      <c r="K101" s="21"/>
      <c r="L101" s="21"/>
      <c r="M101" s="21"/>
      <c r="N101" s="93"/>
      <c r="O101" s="21"/>
      <c r="P101" s="21"/>
      <c r="Q101" s="21"/>
    </row>
    <row r="102" ht="18.0" hidden="1" customHeight="1" outlineLevel="1">
      <c r="A102" s="21"/>
      <c r="B102" s="46"/>
      <c r="C102" s="49" t="s">
        <v>41</v>
      </c>
      <c r="D102" s="50">
        <v>0.0</v>
      </c>
      <c r="E102" s="50">
        <v>0.0</v>
      </c>
      <c r="F102" s="50">
        <v>0.0</v>
      </c>
      <c r="G102" s="50">
        <v>0.0</v>
      </c>
      <c r="H102" s="50">
        <v>0.0</v>
      </c>
      <c r="I102" s="21"/>
      <c r="J102" s="21">
        <v>0.0</v>
      </c>
      <c r="K102" s="21">
        <v>0.0</v>
      </c>
      <c r="L102" s="21">
        <v>0.0</v>
      </c>
      <c r="M102" s="21">
        <v>0.0</v>
      </c>
      <c r="N102" s="93"/>
      <c r="O102" s="21"/>
      <c r="P102" s="21"/>
      <c r="Q102" s="21"/>
    </row>
    <row r="103" ht="18.0" hidden="1" customHeight="1" outlineLevel="1">
      <c r="A103" s="21"/>
      <c r="B103" s="46" t="s">
        <v>75</v>
      </c>
      <c r="C103" s="47" t="s">
        <v>46</v>
      </c>
      <c r="D103" s="48">
        <v>0.0</v>
      </c>
      <c r="E103" s="48">
        <v>0.0</v>
      </c>
      <c r="F103" s="48">
        <v>0.0</v>
      </c>
      <c r="G103" s="48">
        <v>0.0</v>
      </c>
      <c r="H103" s="48"/>
      <c r="I103" s="21"/>
      <c r="J103" s="21"/>
      <c r="K103" s="21"/>
      <c r="L103" s="21"/>
      <c r="M103" s="21"/>
      <c r="N103" s="93"/>
      <c r="O103" s="21"/>
      <c r="P103" s="21"/>
      <c r="Q103" s="21"/>
    </row>
    <row r="104" ht="18.0" hidden="1" customHeight="1" outlineLevel="1">
      <c r="A104" s="21"/>
      <c r="B104" s="46"/>
      <c r="C104" s="49" t="s">
        <v>41</v>
      </c>
      <c r="D104" s="50">
        <v>0.0</v>
      </c>
      <c r="E104" s="50">
        <v>0.0</v>
      </c>
      <c r="F104" s="50">
        <v>0.0</v>
      </c>
      <c r="G104" s="50">
        <v>0.0</v>
      </c>
      <c r="H104" s="50">
        <v>0.0</v>
      </c>
      <c r="I104" s="21"/>
      <c r="J104" s="21">
        <v>0.0</v>
      </c>
      <c r="K104" s="21">
        <v>0.0</v>
      </c>
      <c r="L104" s="21">
        <v>0.0</v>
      </c>
      <c r="M104" s="21">
        <v>0.0</v>
      </c>
      <c r="N104" s="93"/>
      <c r="O104" s="21"/>
      <c r="P104" s="21"/>
      <c r="Q104" s="21"/>
    </row>
    <row r="105" ht="18.0" hidden="1" customHeight="1" outlineLevel="1">
      <c r="A105" s="21"/>
      <c r="B105" s="46" t="s">
        <v>80</v>
      </c>
      <c r="C105" s="47" t="s">
        <v>46</v>
      </c>
      <c r="D105" s="48">
        <v>0.0</v>
      </c>
      <c r="E105" s="48">
        <v>0.0</v>
      </c>
      <c r="F105" s="48">
        <v>0.0</v>
      </c>
      <c r="G105" s="48">
        <v>0.0</v>
      </c>
      <c r="H105" s="48"/>
      <c r="I105" s="21"/>
      <c r="J105" s="21"/>
      <c r="K105" s="21"/>
      <c r="L105" s="21"/>
      <c r="M105" s="21"/>
      <c r="N105" s="93"/>
      <c r="O105" s="21"/>
      <c r="P105" s="21"/>
      <c r="Q105" s="21"/>
    </row>
    <row r="106" ht="18.0" hidden="1" customHeight="1" outlineLevel="1">
      <c r="A106" s="21"/>
      <c r="B106" s="46"/>
      <c r="C106" s="49" t="s">
        <v>41</v>
      </c>
      <c r="D106" s="50">
        <v>0.0</v>
      </c>
      <c r="E106" s="50">
        <v>0.0</v>
      </c>
      <c r="F106" s="50">
        <v>0.0</v>
      </c>
      <c r="G106" s="50">
        <v>0.0</v>
      </c>
      <c r="H106" s="50">
        <v>48120.0</v>
      </c>
      <c r="I106" s="21"/>
      <c r="J106" s="21">
        <v>0.0</v>
      </c>
      <c r="K106" s="21">
        <v>0.0</v>
      </c>
      <c r="L106" s="21">
        <v>0.0</v>
      </c>
      <c r="M106" s="21">
        <v>0.0</v>
      </c>
      <c r="N106" s="93"/>
      <c r="O106" s="21"/>
      <c r="P106" s="21"/>
      <c r="Q106" s="21"/>
    </row>
    <row r="107" ht="18.0" hidden="1" customHeight="1" outlineLevel="1">
      <c r="A107" s="21"/>
      <c r="B107" s="46" t="s">
        <v>79</v>
      </c>
      <c r="C107" s="47" t="s">
        <v>46</v>
      </c>
      <c r="D107" s="48">
        <v>0.0</v>
      </c>
      <c r="E107" s="48">
        <v>0.0</v>
      </c>
      <c r="F107" s="48">
        <v>0.0</v>
      </c>
      <c r="G107" s="48">
        <v>0.0</v>
      </c>
      <c r="H107" s="48"/>
      <c r="I107" s="21"/>
      <c r="J107" s="21"/>
      <c r="K107" s="21"/>
      <c r="L107" s="21"/>
      <c r="M107" s="21"/>
      <c r="N107" s="93"/>
      <c r="O107" s="21"/>
      <c r="P107" s="21"/>
      <c r="Q107" s="21"/>
    </row>
    <row r="108" ht="18.0" hidden="1" customHeight="1" outlineLevel="1">
      <c r="A108" s="21"/>
      <c r="B108" s="46"/>
      <c r="C108" s="49" t="s">
        <v>41</v>
      </c>
      <c r="D108" s="50">
        <v>0.0</v>
      </c>
      <c r="E108" s="50">
        <v>491.0</v>
      </c>
      <c r="F108" s="50">
        <v>0.0</v>
      </c>
      <c r="G108" s="50">
        <v>491.0</v>
      </c>
      <c r="H108" s="50">
        <v>3725.0</v>
      </c>
      <c r="I108" s="21"/>
      <c r="J108" s="21">
        <v>0.0</v>
      </c>
      <c r="K108" s="21">
        <v>491.0</v>
      </c>
      <c r="L108" s="21">
        <v>0.0</v>
      </c>
      <c r="M108" s="21">
        <v>491.0</v>
      </c>
      <c r="N108" s="93"/>
      <c r="O108" s="21"/>
      <c r="P108" s="21"/>
      <c r="Q108" s="21"/>
    </row>
    <row r="109" ht="18.0" hidden="1" customHeight="1" outlineLevel="1">
      <c r="A109" s="21"/>
      <c r="B109" s="46" t="s">
        <v>78</v>
      </c>
      <c r="C109" s="47" t="s">
        <v>46</v>
      </c>
      <c r="D109" s="48">
        <v>0.0</v>
      </c>
      <c r="E109" s="48">
        <v>0.0</v>
      </c>
      <c r="F109" s="48">
        <v>0.0</v>
      </c>
      <c r="G109" s="48">
        <v>0.0</v>
      </c>
      <c r="H109" s="50"/>
      <c r="I109" s="21"/>
      <c r="J109" s="21"/>
      <c r="K109" s="21"/>
      <c r="L109" s="21"/>
      <c r="M109" s="21"/>
      <c r="N109" s="93"/>
      <c r="O109" s="21"/>
      <c r="P109" s="21"/>
      <c r="Q109" s="21"/>
    </row>
    <row r="110" ht="18.0" hidden="1" customHeight="1" outlineLevel="1">
      <c r="A110" s="21"/>
      <c r="B110" s="46"/>
      <c r="C110" s="49" t="s">
        <v>41</v>
      </c>
      <c r="D110" s="50">
        <v>0.0</v>
      </c>
      <c r="E110" s="50">
        <v>0.0</v>
      </c>
      <c r="F110" s="50">
        <v>0.0</v>
      </c>
      <c r="G110" s="50">
        <v>0.0</v>
      </c>
      <c r="H110" s="50">
        <v>275000.0</v>
      </c>
      <c r="I110" s="21"/>
      <c r="J110" s="21">
        <v>0.0</v>
      </c>
      <c r="K110" s="21">
        <v>0.0</v>
      </c>
      <c r="L110" s="21">
        <v>0.0</v>
      </c>
      <c r="M110" s="21">
        <v>0.0</v>
      </c>
      <c r="N110" s="93"/>
      <c r="O110" s="21"/>
      <c r="P110" s="21"/>
      <c r="Q110" s="21"/>
    </row>
    <row r="111" ht="18.0" hidden="1" customHeight="1" outlineLevel="1">
      <c r="A111" s="21"/>
      <c r="B111" s="46" t="s">
        <v>113</v>
      </c>
      <c r="C111" s="47" t="s">
        <v>46</v>
      </c>
      <c r="D111" s="48">
        <v>0.0</v>
      </c>
      <c r="E111" s="48">
        <v>0.0</v>
      </c>
      <c r="F111" s="48">
        <v>0.0</v>
      </c>
      <c r="G111" s="48">
        <v>0.0</v>
      </c>
      <c r="H111" s="48"/>
      <c r="I111" s="21"/>
      <c r="J111" s="21"/>
      <c r="K111" s="21"/>
      <c r="L111" s="21"/>
      <c r="M111" s="21"/>
      <c r="N111" s="93"/>
      <c r="O111" s="21"/>
      <c r="P111" s="21"/>
      <c r="Q111" s="21"/>
    </row>
    <row r="112" ht="18.0" hidden="1" customHeight="1" outlineLevel="1">
      <c r="A112" s="21"/>
      <c r="B112" s="46"/>
      <c r="C112" s="49" t="s">
        <v>41</v>
      </c>
      <c r="D112" s="50">
        <v>0.0</v>
      </c>
      <c r="E112" s="50">
        <v>0.0</v>
      </c>
      <c r="F112" s="50">
        <v>0.0</v>
      </c>
      <c r="G112" s="50">
        <v>0.0</v>
      </c>
      <c r="H112" s="50">
        <v>0.0</v>
      </c>
      <c r="I112" s="21"/>
      <c r="J112" s="21">
        <v>0.0</v>
      </c>
      <c r="K112" s="21">
        <v>0.0</v>
      </c>
      <c r="L112" s="21">
        <v>0.0</v>
      </c>
      <c r="M112" s="21">
        <v>0.0</v>
      </c>
      <c r="N112" s="93"/>
      <c r="O112" s="21"/>
      <c r="P112" s="21"/>
      <c r="Q112" s="21"/>
    </row>
    <row r="113" ht="18.0" customHeight="1" collapsed="1">
      <c r="A113" s="21"/>
      <c r="B113" s="21" t="s">
        <v>30</v>
      </c>
      <c r="C113" s="4" t="s">
        <v>46</v>
      </c>
      <c r="D113" s="24">
        <v>4471109.0</v>
      </c>
      <c r="E113" s="24">
        <v>3965417.0</v>
      </c>
      <c r="F113" s="24">
        <v>7227569.0</v>
      </c>
      <c r="G113" s="24">
        <v>1.5664095E7</v>
      </c>
      <c r="H113" s="24">
        <v>0.0</v>
      </c>
      <c r="I113" s="21"/>
      <c r="J113" s="21"/>
      <c r="K113" s="21"/>
      <c r="L113" s="21"/>
      <c r="M113" s="21"/>
      <c r="N113" s="93"/>
      <c r="O113" s="21"/>
      <c r="P113" s="21"/>
      <c r="Q113" s="21"/>
    </row>
    <row r="114" ht="18.0" customHeight="1">
      <c r="A114" s="21"/>
      <c r="B114" s="21"/>
      <c r="C114" s="38" t="s">
        <v>41</v>
      </c>
      <c r="D114" s="39">
        <v>5077668.0</v>
      </c>
      <c r="E114" s="39">
        <v>4157898.0</v>
      </c>
      <c r="F114" s="39">
        <v>7141542.0</v>
      </c>
      <c r="G114" s="39">
        <v>1.6377108E7</v>
      </c>
      <c r="H114" s="39">
        <v>102070.0</v>
      </c>
      <c r="I114" s="21"/>
      <c r="J114" s="21">
        <v>606559.0</v>
      </c>
      <c r="K114" s="21">
        <v>192481.0</v>
      </c>
      <c r="L114" s="21">
        <v>-86027.0</v>
      </c>
      <c r="M114" s="21">
        <v>713013.0</v>
      </c>
      <c r="N114" s="93"/>
      <c r="O114" s="21"/>
      <c r="P114" s="21"/>
      <c r="Q114" s="21"/>
    </row>
    <row r="115" ht="18.0" hidden="1" customHeight="1" outlineLevel="1">
      <c r="A115" s="21"/>
      <c r="B115" s="51" t="s">
        <v>35</v>
      </c>
      <c r="C115" s="52" t="s">
        <v>46</v>
      </c>
      <c r="D115" s="53">
        <v>2084941.0</v>
      </c>
      <c r="E115" s="53">
        <v>2799672.0</v>
      </c>
      <c r="F115" s="53">
        <v>4940560.0</v>
      </c>
      <c r="G115" s="53">
        <v>9825173.0</v>
      </c>
      <c r="H115" s="53"/>
      <c r="I115" s="21"/>
      <c r="J115" s="21"/>
      <c r="K115" s="21"/>
      <c r="L115" s="21"/>
      <c r="M115" s="21"/>
      <c r="N115" s="93"/>
      <c r="O115" s="21"/>
      <c r="P115" s="21"/>
      <c r="Q115" s="21"/>
    </row>
    <row r="116" ht="18.0" hidden="1" customHeight="1" outlineLevel="1">
      <c r="A116" s="21"/>
      <c r="B116" s="51"/>
      <c r="C116" s="54" t="s">
        <v>41</v>
      </c>
      <c r="D116" s="55">
        <v>2296848.0</v>
      </c>
      <c r="E116" s="55">
        <v>2799643.0</v>
      </c>
      <c r="F116" s="55">
        <v>4939288.0</v>
      </c>
      <c r="G116" s="55">
        <v>1.0035779E7</v>
      </c>
      <c r="H116" s="55">
        <v>0.0</v>
      </c>
      <c r="I116" s="21"/>
      <c r="J116" s="21">
        <v>211907.0</v>
      </c>
      <c r="K116" s="21">
        <v>-29.0</v>
      </c>
      <c r="L116" s="21">
        <v>-1272.0</v>
      </c>
      <c r="M116" s="21">
        <v>210606.0</v>
      </c>
      <c r="N116" s="93"/>
      <c r="O116" s="21"/>
      <c r="P116" s="21"/>
      <c r="Q116" s="21"/>
    </row>
    <row r="117" ht="18.0" hidden="1" customHeight="1" outlineLevel="1">
      <c r="A117" s="21"/>
      <c r="B117" s="51" t="s">
        <v>114</v>
      </c>
      <c r="C117" s="52" t="s">
        <v>46</v>
      </c>
      <c r="D117" s="53">
        <v>0.0</v>
      </c>
      <c r="E117" s="53">
        <v>0.0</v>
      </c>
      <c r="F117" s="53">
        <v>391650.0</v>
      </c>
      <c r="G117" s="53">
        <v>391650.0</v>
      </c>
      <c r="H117" s="53"/>
      <c r="I117" s="21"/>
      <c r="J117" s="21"/>
      <c r="K117" s="21"/>
      <c r="L117" s="21"/>
      <c r="M117" s="21"/>
      <c r="N117" s="93"/>
      <c r="O117" s="21"/>
      <c r="P117" s="21"/>
      <c r="Q117" s="21"/>
    </row>
    <row r="118" ht="18.0" hidden="1" customHeight="1" outlineLevel="1">
      <c r="A118" s="21"/>
      <c r="B118" s="51"/>
      <c r="C118" s="54" t="s">
        <v>41</v>
      </c>
      <c r="D118" s="55">
        <v>0.0</v>
      </c>
      <c r="E118" s="55">
        <v>0.0</v>
      </c>
      <c r="F118" s="55">
        <v>391651.0</v>
      </c>
      <c r="G118" s="55">
        <v>391651.0</v>
      </c>
      <c r="H118" s="55">
        <v>0.0</v>
      </c>
      <c r="I118" s="21"/>
      <c r="J118" s="21">
        <v>0.0</v>
      </c>
      <c r="K118" s="21">
        <v>0.0</v>
      </c>
      <c r="L118" s="21">
        <v>1.0</v>
      </c>
      <c r="M118" s="21">
        <v>1.0</v>
      </c>
      <c r="N118" s="93"/>
      <c r="O118" s="21"/>
      <c r="P118" s="21"/>
      <c r="Q118" s="21"/>
    </row>
    <row r="119" ht="18.0" hidden="1" customHeight="1" outlineLevel="1">
      <c r="A119" s="21"/>
      <c r="B119" s="51" t="s">
        <v>82</v>
      </c>
      <c r="C119" s="52" t="s">
        <v>46</v>
      </c>
      <c r="D119" s="53">
        <v>1129238.0</v>
      </c>
      <c r="E119" s="53">
        <v>11136.0</v>
      </c>
      <c r="F119" s="53">
        <v>309812.0</v>
      </c>
      <c r="G119" s="53">
        <v>1450186.0</v>
      </c>
      <c r="H119" s="53"/>
      <c r="I119" s="21"/>
      <c r="J119" s="21"/>
      <c r="K119" s="21"/>
      <c r="L119" s="21"/>
      <c r="M119" s="21"/>
      <c r="N119" s="93"/>
      <c r="O119" s="21"/>
      <c r="P119" s="21"/>
      <c r="Q119" s="21"/>
    </row>
    <row r="120" ht="18.0" hidden="1" customHeight="1" outlineLevel="1">
      <c r="A120" s="21"/>
      <c r="B120" s="51"/>
      <c r="C120" s="54" t="s">
        <v>41</v>
      </c>
      <c r="D120" s="55">
        <v>1140153.0</v>
      </c>
      <c r="E120" s="55">
        <v>11140.0</v>
      </c>
      <c r="F120" s="55">
        <v>307727.0</v>
      </c>
      <c r="G120" s="55">
        <v>1459020.0</v>
      </c>
      <c r="H120" s="55">
        <v>30000.0</v>
      </c>
      <c r="I120" s="21"/>
      <c r="J120" s="21">
        <v>10915.0</v>
      </c>
      <c r="K120" s="21">
        <v>4.0</v>
      </c>
      <c r="L120" s="21">
        <v>-2085.0</v>
      </c>
      <c r="M120" s="21">
        <v>8834.0</v>
      </c>
      <c r="N120" s="93"/>
      <c r="O120" s="21"/>
      <c r="P120" s="21"/>
      <c r="Q120" s="21"/>
    </row>
    <row r="121" ht="18.0" hidden="1" customHeight="1" outlineLevel="1">
      <c r="A121" s="21"/>
      <c r="B121" s="51" t="s">
        <v>83</v>
      </c>
      <c r="C121" s="52" t="s">
        <v>46</v>
      </c>
      <c r="D121" s="53">
        <v>458910.0</v>
      </c>
      <c r="E121" s="53">
        <v>352527.0</v>
      </c>
      <c r="F121" s="53">
        <v>205540.0</v>
      </c>
      <c r="G121" s="53">
        <v>1016977.0</v>
      </c>
      <c r="H121" s="53"/>
      <c r="I121" s="21"/>
      <c r="J121" s="21"/>
      <c r="K121" s="21"/>
      <c r="L121" s="21"/>
      <c r="M121" s="21"/>
      <c r="N121" s="93"/>
      <c r="O121" s="21"/>
      <c r="P121" s="21"/>
      <c r="Q121" s="21"/>
    </row>
    <row r="122" ht="18.0" hidden="1" customHeight="1" outlineLevel="1">
      <c r="A122" s="21"/>
      <c r="B122" s="51"/>
      <c r="C122" s="54" t="s">
        <v>41</v>
      </c>
      <c r="D122" s="55">
        <v>425027.0</v>
      </c>
      <c r="E122" s="55">
        <v>348824.0</v>
      </c>
      <c r="F122" s="55">
        <v>179307.0</v>
      </c>
      <c r="G122" s="55">
        <v>953158.0</v>
      </c>
      <c r="H122" s="55">
        <v>0.0</v>
      </c>
      <c r="I122" s="21"/>
      <c r="J122" s="21">
        <v>-33883.0</v>
      </c>
      <c r="K122" s="21">
        <v>-3703.0</v>
      </c>
      <c r="L122" s="21">
        <v>-26233.0</v>
      </c>
      <c r="M122" s="21">
        <v>-63819.0</v>
      </c>
      <c r="N122" s="93"/>
      <c r="O122" s="21"/>
      <c r="P122" s="21"/>
      <c r="Q122" s="21"/>
    </row>
    <row r="123" ht="18.0" hidden="1" customHeight="1" outlineLevel="1">
      <c r="A123" s="21"/>
      <c r="B123" s="51" t="s">
        <v>84</v>
      </c>
      <c r="C123" s="52" t="s">
        <v>46</v>
      </c>
      <c r="D123" s="53">
        <v>267500.0</v>
      </c>
      <c r="E123" s="53">
        <v>285599.0</v>
      </c>
      <c r="F123" s="53">
        <v>709573.0</v>
      </c>
      <c r="G123" s="53">
        <v>1262672.0</v>
      </c>
      <c r="H123" s="53"/>
      <c r="I123" s="21"/>
      <c r="J123" s="21"/>
      <c r="K123" s="21"/>
      <c r="L123" s="21"/>
      <c r="M123" s="21"/>
      <c r="N123" s="93"/>
      <c r="O123" s="21"/>
      <c r="P123" s="21"/>
      <c r="Q123" s="21"/>
    </row>
    <row r="124" ht="18.0" hidden="1" customHeight="1" outlineLevel="1">
      <c r="A124" s="21"/>
      <c r="B124" s="51"/>
      <c r="C124" s="54" t="s">
        <v>41</v>
      </c>
      <c r="D124" s="55">
        <v>447099.0</v>
      </c>
      <c r="E124" s="55">
        <v>379566.0</v>
      </c>
      <c r="F124" s="55">
        <v>785160.0</v>
      </c>
      <c r="G124" s="55">
        <v>1611825.0</v>
      </c>
      <c r="H124" s="55">
        <v>72070.0</v>
      </c>
      <c r="I124" s="21"/>
      <c r="J124" s="21">
        <v>179599.0</v>
      </c>
      <c r="K124" s="21">
        <v>93967.0</v>
      </c>
      <c r="L124" s="21">
        <v>75587.0</v>
      </c>
      <c r="M124" s="21">
        <v>349153.0</v>
      </c>
      <c r="N124" s="93"/>
      <c r="O124" s="21"/>
      <c r="P124" s="21"/>
      <c r="Q124" s="21"/>
    </row>
    <row r="125" ht="18.0" hidden="1" customHeight="1" outlineLevel="1">
      <c r="A125" s="21"/>
      <c r="B125" s="51" t="s">
        <v>85</v>
      </c>
      <c r="C125" s="52" t="s">
        <v>46</v>
      </c>
      <c r="D125" s="53">
        <v>434300.0</v>
      </c>
      <c r="E125" s="53">
        <v>439775.0</v>
      </c>
      <c r="F125" s="53">
        <v>570433.0</v>
      </c>
      <c r="G125" s="53">
        <v>1444508.0</v>
      </c>
      <c r="H125" s="53"/>
      <c r="I125" s="21"/>
      <c r="J125" s="21"/>
      <c r="K125" s="21"/>
      <c r="L125" s="21"/>
      <c r="M125" s="21"/>
      <c r="N125" s="93"/>
      <c r="O125" s="21"/>
      <c r="P125" s="21"/>
      <c r="Q125" s="21"/>
    </row>
    <row r="126" ht="18.0" hidden="1" customHeight="1" outlineLevel="1">
      <c r="A126" s="21"/>
      <c r="B126" s="51"/>
      <c r="C126" s="54" t="s">
        <v>41</v>
      </c>
      <c r="D126" s="55">
        <v>698668.0</v>
      </c>
      <c r="E126" s="55">
        <v>560035.0</v>
      </c>
      <c r="F126" s="55">
        <v>412116.0</v>
      </c>
      <c r="G126" s="55">
        <v>1670819.0</v>
      </c>
      <c r="H126" s="55">
        <v>0.0</v>
      </c>
      <c r="I126" s="21"/>
      <c r="J126" s="21">
        <v>264368.0</v>
      </c>
      <c r="K126" s="21">
        <v>120260.0</v>
      </c>
      <c r="L126" s="21">
        <v>-158317.0</v>
      </c>
      <c r="M126" s="21">
        <v>226311.0</v>
      </c>
      <c r="N126" s="93"/>
      <c r="O126" s="21"/>
      <c r="P126" s="21"/>
      <c r="Q126" s="21"/>
    </row>
    <row r="127" ht="18.0" hidden="1" customHeight="1" outlineLevel="1">
      <c r="A127" s="21"/>
      <c r="B127" s="51" t="s">
        <v>86</v>
      </c>
      <c r="C127" s="52" t="s">
        <v>46</v>
      </c>
      <c r="D127" s="53">
        <v>96220.0</v>
      </c>
      <c r="E127" s="53">
        <v>76708.0</v>
      </c>
      <c r="F127" s="53">
        <v>100001.0</v>
      </c>
      <c r="G127" s="53">
        <v>272929.0</v>
      </c>
      <c r="H127" s="53"/>
      <c r="I127" s="21"/>
      <c r="J127" s="21"/>
      <c r="K127" s="21"/>
      <c r="L127" s="21"/>
      <c r="M127" s="21"/>
      <c r="N127" s="93"/>
      <c r="O127" s="21"/>
      <c r="P127" s="21"/>
      <c r="Q127" s="21"/>
    </row>
    <row r="128" ht="18.0" hidden="1" customHeight="1" outlineLevel="1">
      <c r="A128" s="21"/>
      <c r="B128" s="51"/>
      <c r="C128" s="54" t="s">
        <v>41</v>
      </c>
      <c r="D128" s="55">
        <v>69873.0</v>
      </c>
      <c r="E128" s="55">
        <v>58690.0</v>
      </c>
      <c r="F128" s="55">
        <v>126293.0</v>
      </c>
      <c r="G128" s="55">
        <v>254856.0</v>
      </c>
      <c r="H128" s="55">
        <v>0.0</v>
      </c>
      <c r="I128" s="21"/>
      <c r="J128" s="21">
        <v>-26347.0</v>
      </c>
      <c r="K128" s="21">
        <v>-18018.0</v>
      </c>
      <c r="L128" s="21">
        <v>26292.0</v>
      </c>
      <c r="M128" s="21">
        <v>-18073.0</v>
      </c>
      <c r="N128" s="93"/>
      <c r="O128" s="21"/>
      <c r="P128" s="21"/>
      <c r="Q128" s="21"/>
    </row>
    <row r="129" ht="18.0" customHeight="1" collapsed="1">
      <c r="A129" s="21"/>
      <c r="B129" s="21" t="s">
        <v>31</v>
      </c>
      <c r="C129" s="21" t="s">
        <v>46</v>
      </c>
      <c r="D129" s="24">
        <v>2975591.0</v>
      </c>
      <c r="E129" s="24">
        <v>2975591.0</v>
      </c>
      <c r="F129" s="24">
        <v>2975591.0</v>
      </c>
      <c r="G129" s="24">
        <v>8926773.0</v>
      </c>
      <c r="H129" s="24">
        <v>0.0</v>
      </c>
      <c r="I129" s="21"/>
      <c r="J129" s="21"/>
      <c r="K129" s="21"/>
      <c r="L129" s="21"/>
      <c r="M129" s="21"/>
      <c r="N129" s="93"/>
      <c r="O129" s="21"/>
      <c r="P129" s="21"/>
      <c r="Q129" s="21"/>
    </row>
    <row r="130" ht="18.0" customHeight="1">
      <c r="A130" s="21"/>
      <c r="B130" s="21"/>
      <c r="C130" s="30" t="s">
        <v>41</v>
      </c>
      <c r="D130" s="39">
        <v>3635041.0</v>
      </c>
      <c r="E130" s="39">
        <v>3635041.0</v>
      </c>
      <c r="F130" s="39">
        <v>3635041.0</v>
      </c>
      <c r="G130" s="39">
        <v>1.0905123E7</v>
      </c>
      <c r="H130" s="39">
        <v>0.0</v>
      </c>
      <c r="I130" s="21"/>
      <c r="J130" s="21">
        <v>659450.0</v>
      </c>
      <c r="K130" s="21">
        <v>659450.0</v>
      </c>
      <c r="L130" s="21">
        <v>659450.0</v>
      </c>
      <c r="M130" s="21">
        <v>1978350.0</v>
      </c>
      <c r="N130" s="93"/>
      <c r="O130" s="21"/>
      <c r="P130" s="21"/>
      <c r="Q130" s="21"/>
    </row>
    <row r="131" ht="18.0" customHeight="1">
      <c r="A131" s="21"/>
      <c r="B131" s="22" t="s">
        <v>32</v>
      </c>
      <c r="C131" s="35" t="s">
        <v>46</v>
      </c>
      <c r="D131" s="37">
        <v>4.3000747E7</v>
      </c>
      <c r="E131" s="37">
        <v>3.5591441E7</v>
      </c>
      <c r="F131" s="37">
        <v>4.4582481E7</v>
      </c>
      <c r="G131" s="37">
        <v>1.23174669E8</v>
      </c>
      <c r="H131" s="37">
        <v>0.0</v>
      </c>
      <c r="I131" s="21"/>
      <c r="J131" s="21"/>
      <c r="K131" s="21"/>
      <c r="L131" s="21"/>
      <c r="M131" s="21"/>
      <c r="N131" s="93"/>
      <c r="O131" s="21"/>
      <c r="P131" s="21"/>
      <c r="Q131" s="21"/>
    </row>
    <row r="132" ht="18.0" customHeight="1">
      <c r="A132" s="21"/>
      <c r="B132" s="22"/>
      <c r="C132" s="15" t="s">
        <v>41</v>
      </c>
      <c r="D132" s="23">
        <v>4.4048413E7</v>
      </c>
      <c r="E132" s="23">
        <v>3.7011857E7</v>
      </c>
      <c r="F132" s="23">
        <v>4.4894216E7</v>
      </c>
      <c r="G132" s="23">
        <v>1.25954486E8</v>
      </c>
      <c r="H132" s="23">
        <v>1.0905123E7</v>
      </c>
      <c r="I132" s="21"/>
      <c r="J132" s="21">
        <v>1047666.0</v>
      </c>
      <c r="K132" s="21">
        <v>1420416.0</v>
      </c>
      <c r="L132" s="21">
        <v>311735.0</v>
      </c>
      <c r="M132" s="21">
        <v>2779817.0</v>
      </c>
      <c r="N132" s="93"/>
      <c r="O132" s="21"/>
      <c r="P132" s="21"/>
      <c r="Q132" s="21"/>
    </row>
    <row r="133" ht="18.0" customHeight="1">
      <c r="A133" s="21"/>
      <c r="B133" s="25" t="s">
        <v>33</v>
      </c>
      <c r="C133" s="57" t="s">
        <v>46</v>
      </c>
      <c r="D133" s="58">
        <v>1.9294473E7</v>
      </c>
      <c r="E133" s="58">
        <v>8544659.0</v>
      </c>
      <c r="F133" s="58">
        <v>1.4946612E7</v>
      </c>
      <c r="G133" s="58">
        <v>4.2785744E7</v>
      </c>
      <c r="H133" s="58">
        <v>0.0</v>
      </c>
      <c r="I133" s="21"/>
      <c r="J133" s="21"/>
      <c r="K133" s="21"/>
      <c r="L133" s="21"/>
      <c r="M133" s="21"/>
      <c r="N133" s="93"/>
      <c r="O133" s="21"/>
      <c r="P133" s="21"/>
      <c r="Q133" s="21"/>
    </row>
    <row r="134" ht="18.0" customHeight="1">
      <c r="A134" s="21"/>
      <c r="B134" s="25"/>
      <c r="C134" s="59" t="s">
        <v>41</v>
      </c>
      <c r="D134" s="26">
        <v>1.7200159E7</v>
      </c>
      <c r="E134" s="26">
        <v>7386090.0</v>
      </c>
      <c r="F134" s="26">
        <v>1.5637221E7</v>
      </c>
      <c r="G134" s="26">
        <v>4.022347E7</v>
      </c>
      <c r="H134" s="26">
        <v>-1.0905123E7</v>
      </c>
      <c r="I134" s="21"/>
      <c r="J134" s="21">
        <v>-2094314.0</v>
      </c>
      <c r="K134" s="21">
        <v>-1158569.0</v>
      </c>
      <c r="L134" s="21">
        <v>690609.0</v>
      </c>
      <c r="M134" s="21">
        <v>-2562274.0</v>
      </c>
      <c r="N134" s="93"/>
      <c r="O134" s="21"/>
      <c r="P134" s="21"/>
      <c r="Q134" s="21"/>
    </row>
    <row r="135" ht="18.0" customHeight="1">
      <c r="A135" s="27"/>
      <c r="B135" s="28" t="s">
        <v>34</v>
      </c>
      <c r="C135" s="28"/>
      <c r="D135" s="29">
        <v>0.25888984904693896</v>
      </c>
      <c r="E135" s="29">
        <v>0.1499177441441911</v>
      </c>
      <c r="F135" s="29">
        <v>0.22842038181000138</v>
      </c>
      <c r="G135" s="29">
        <v>0.2184113412843045</v>
      </c>
      <c r="H135" s="29" t="e">
        <v>#DIV/0!</v>
      </c>
      <c r="I135" s="27"/>
      <c r="J135" s="21"/>
      <c r="K135" s="21"/>
      <c r="L135" s="21"/>
      <c r="M135" s="21"/>
      <c r="N135" s="96"/>
      <c r="O135" s="21"/>
      <c r="P135" s="21"/>
      <c r="Q135" s="21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21"/>
      <c r="K136" s="21"/>
      <c r="L136" s="21"/>
      <c r="M136" s="21"/>
      <c r="N136" s="33"/>
      <c r="O136" s="21"/>
      <c r="P136" s="21"/>
      <c r="Q136" s="21"/>
    </row>
    <row r="137" ht="18.0" customHeight="1">
      <c r="A137" s="4"/>
      <c r="B137" s="25" t="s">
        <v>90</v>
      </c>
      <c r="C137" s="25"/>
      <c r="D137" s="26">
        <v>1.9027708E7</v>
      </c>
      <c r="E137" s="26">
        <v>9175774.0</v>
      </c>
      <c r="F137" s="26">
        <v>1.4352825E7</v>
      </c>
      <c r="G137" s="26">
        <v>4.2556307E7</v>
      </c>
      <c r="H137" s="26"/>
      <c r="I137" s="4"/>
      <c r="J137" s="21"/>
      <c r="K137" s="21"/>
      <c r="L137" s="21"/>
      <c r="M137" s="21"/>
      <c r="N137" s="33"/>
      <c r="O137" s="21"/>
      <c r="P137" s="21"/>
      <c r="Q137" s="21"/>
    </row>
    <row r="138" ht="18.0" customHeight="1">
      <c r="A138" s="4"/>
      <c r="B138" s="25" t="s">
        <v>88</v>
      </c>
      <c r="C138" s="25"/>
      <c r="D138" s="26">
        <v>-1827549.0</v>
      </c>
      <c r="E138" s="26">
        <v>-1789684.0</v>
      </c>
      <c r="F138" s="26">
        <v>1284396.0</v>
      </c>
      <c r="G138" s="26">
        <v>-2332837.0</v>
      </c>
      <c r="H138" s="26"/>
      <c r="I138" s="4"/>
      <c r="J138" s="21"/>
      <c r="K138" s="21"/>
      <c r="L138" s="21"/>
      <c r="M138" s="21"/>
      <c r="N138" s="33"/>
      <c r="O138" s="21"/>
      <c r="P138" s="21"/>
      <c r="Q138" s="21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21"/>
      <c r="L139" s="21"/>
      <c r="M139" s="21"/>
      <c r="N139" s="33"/>
      <c r="O139" s="21"/>
      <c r="P139" s="21"/>
      <c r="Q139" s="21"/>
    </row>
    <row r="140" ht="18.0" hidden="1" customHeight="1" outlineLevel="1">
      <c r="A140" s="4"/>
      <c r="B140" s="74" t="s">
        <v>91</v>
      </c>
      <c r="C140" s="4" t="s">
        <v>40</v>
      </c>
      <c r="D140" s="62">
        <v>0.0</v>
      </c>
      <c r="E140" s="62">
        <v>0.0</v>
      </c>
      <c r="F140" s="62">
        <v>0.0</v>
      </c>
      <c r="G140" s="62">
        <v>0.0</v>
      </c>
      <c r="H140" s="6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8.0" hidden="1" customHeight="1" outlineLevel="1">
      <c r="A141" s="4"/>
      <c r="B141" s="4"/>
      <c r="C141" s="75" t="s">
        <v>92</v>
      </c>
      <c r="D141" s="62">
        <v>0.0</v>
      </c>
      <c r="E141" s="62">
        <v>0.0</v>
      </c>
      <c r="F141" s="62">
        <v>0.0</v>
      </c>
      <c r="G141" s="62">
        <v>0.0</v>
      </c>
      <c r="H141" s="6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8.0" hidden="1" customHeight="1" outlineLevel="1">
      <c r="A142" s="4"/>
      <c r="B142" s="4"/>
      <c r="C142" s="75" t="s">
        <v>93</v>
      </c>
      <c r="D142" s="62"/>
      <c r="E142" s="62"/>
      <c r="F142" s="62"/>
      <c r="G142" s="62">
        <v>0.0</v>
      </c>
      <c r="H142" s="6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8.0" hidden="1" customHeight="1" outlineLevel="1">
      <c r="A143" s="4"/>
      <c r="B143" s="4"/>
      <c r="C143" s="75" t="s">
        <v>94</v>
      </c>
      <c r="D143" s="62"/>
      <c r="E143" s="62"/>
      <c r="F143" s="62"/>
      <c r="G143" s="62">
        <v>0.0</v>
      </c>
      <c r="H143" s="6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8.0" hidden="1" customHeight="1" outlineLevel="1">
      <c r="A144" s="4"/>
      <c r="B144" s="4"/>
      <c r="C144" s="75" t="s">
        <v>95</v>
      </c>
      <c r="D144" s="62">
        <v>0.0</v>
      </c>
      <c r="E144" s="62">
        <v>0.0</v>
      </c>
      <c r="F144" s="62">
        <v>0.0</v>
      </c>
      <c r="G144" s="62">
        <v>0.0</v>
      </c>
      <c r="H144" s="6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8.0" hidden="1" customHeight="1" outlineLevel="1">
      <c r="A145" s="74"/>
      <c r="C145" s="74" t="s">
        <v>41</v>
      </c>
      <c r="D145" s="62">
        <v>0.0</v>
      </c>
      <c r="E145" s="62">
        <v>0.0</v>
      </c>
      <c r="F145" s="62">
        <v>0.0</v>
      </c>
      <c r="G145" s="62">
        <v>0.0</v>
      </c>
      <c r="H145" s="62"/>
      <c r="I145" s="62"/>
      <c r="J145" s="62"/>
      <c r="K145" s="62"/>
      <c r="L145" s="62"/>
      <c r="M145" s="62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</row>
    <row r="146" ht="18.0" hidden="1" customHeight="1" outlineLevel="1">
      <c r="A146" s="74"/>
      <c r="B146" s="74"/>
      <c r="C146" s="75" t="s">
        <v>92</v>
      </c>
      <c r="D146" s="62">
        <v>0.0</v>
      </c>
      <c r="E146" s="62">
        <v>0.0</v>
      </c>
      <c r="F146" s="62">
        <v>0.0</v>
      </c>
      <c r="G146" s="62">
        <v>0.0</v>
      </c>
      <c r="H146" s="62"/>
      <c r="I146" s="62"/>
      <c r="J146" s="62"/>
      <c r="K146" s="62"/>
      <c r="L146" s="62"/>
      <c r="M146" s="62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</row>
    <row r="147" ht="18.0" hidden="1" customHeight="1" outlineLevel="1">
      <c r="A147" s="74"/>
      <c r="B147" s="74"/>
      <c r="C147" s="75" t="s">
        <v>93</v>
      </c>
      <c r="D147" s="62"/>
      <c r="E147" s="62"/>
      <c r="F147" s="62"/>
      <c r="G147" s="62">
        <v>0.0</v>
      </c>
      <c r="H147" s="62"/>
      <c r="I147" s="62"/>
      <c r="J147" s="62"/>
      <c r="K147" s="62"/>
      <c r="L147" s="62"/>
      <c r="M147" s="62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</row>
    <row r="148" ht="18.0" hidden="1" customHeight="1" outlineLevel="1">
      <c r="A148" s="74"/>
      <c r="B148" s="74"/>
      <c r="C148" s="75" t="s">
        <v>94</v>
      </c>
      <c r="D148" s="62"/>
      <c r="E148" s="62"/>
      <c r="F148" s="62"/>
      <c r="G148" s="62">
        <v>0.0</v>
      </c>
      <c r="H148" s="62"/>
      <c r="I148" s="62"/>
      <c r="J148" s="62"/>
      <c r="K148" s="62"/>
      <c r="L148" s="62"/>
      <c r="M148" s="62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</row>
    <row r="149" ht="18.0" hidden="1" customHeight="1" outlineLevel="1">
      <c r="A149" s="74"/>
      <c r="B149" s="74"/>
      <c r="C149" s="75" t="s">
        <v>95</v>
      </c>
      <c r="D149" s="62">
        <v>0.0</v>
      </c>
      <c r="E149" s="62">
        <v>0.0</v>
      </c>
      <c r="F149" s="62">
        <v>0.0</v>
      </c>
      <c r="G149" s="62">
        <v>0.0</v>
      </c>
      <c r="H149" s="62"/>
      <c r="I149" s="62"/>
      <c r="J149" s="62"/>
      <c r="K149" s="62"/>
      <c r="L149" s="62"/>
      <c r="M149" s="62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</row>
    <row r="150" ht="18.0" customHeight="1" collapsed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21"/>
      <c r="L150" s="21"/>
      <c r="M150" s="21"/>
      <c r="N150" s="33"/>
      <c r="O150" s="21"/>
      <c r="P150" s="21"/>
      <c r="Q150" s="21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21"/>
      <c r="L151" s="21"/>
      <c r="M151" s="21"/>
      <c r="N151" s="33"/>
      <c r="O151" s="21"/>
      <c r="P151" s="21"/>
      <c r="Q151" s="21"/>
    </row>
    <row r="152" ht="18.0" customHeight="1">
      <c r="A152" s="4"/>
      <c r="B152" s="4"/>
      <c r="C152" s="4"/>
      <c r="D152" s="4" t="s">
        <v>115</v>
      </c>
      <c r="E152" s="4"/>
      <c r="F152" s="4"/>
      <c r="G152" s="4"/>
      <c r="H152" s="4"/>
      <c r="I152" s="4"/>
      <c r="J152" s="4"/>
      <c r="K152" s="21"/>
      <c r="L152" s="21"/>
      <c r="M152" s="21"/>
      <c r="N152" s="33"/>
      <c r="O152" s="21"/>
      <c r="P152" s="21"/>
      <c r="Q152" s="21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21"/>
      <c r="L153" s="21"/>
      <c r="M153" s="21"/>
      <c r="N153" s="33"/>
      <c r="O153" s="21"/>
      <c r="P153" s="21"/>
      <c r="Q153" s="21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21"/>
      <c r="L154" s="21"/>
      <c r="M154" s="21"/>
      <c r="N154" s="33"/>
      <c r="O154" s="4"/>
      <c r="P154" s="76"/>
      <c r="Q154" s="76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21"/>
      <c r="L155" s="21"/>
      <c r="M155" s="21"/>
      <c r="N155" s="33"/>
      <c r="O155" s="4"/>
      <c r="P155" s="76"/>
      <c r="Q155" s="76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21"/>
      <c r="L156" s="21"/>
      <c r="M156" s="21"/>
      <c r="N156" s="33"/>
      <c r="O156" s="4"/>
      <c r="P156" s="76"/>
      <c r="Q156" s="76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21"/>
      <c r="L157" s="21"/>
      <c r="M157" s="21"/>
      <c r="N157" s="33"/>
      <c r="O157" s="4"/>
      <c r="P157" s="76"/>
      <c r="Q157" s="76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21"/>
      <c r="L158" s="21"/>
      <c r="M158" s="21"/>
      <c r="N158" s="33"/>
      <c r="O158" s="4"/>
      <c r="P158" s="76"/>
      <c r="Q158" s="76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21"/>
      <c r="L159" s="21"/>
      <c r="M159" s="21"/>
      <c r="N159" s="33"/>
      <c r="O159" s="4"/>
      <c r="P159" s="76"/>
      <c r="Q159" s="76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21"/>
      <c r="L160" s="21"/>
      <c r="M160" s="21"/>
      <c r="N160" s="33"/>
      <c r="O160" s="4"/>
      <c r="P160" s="76"/>
      <c r="Q160" s="76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21"/>
      <c r="L161" s="21"/>
      <c r="M161" s="21"/>
      <c r="N161" s="33"/>
      <c r="O161" s="4"/>
      <c r="P161" s="76"/>
      <c r="Q161" s="76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21"/>
      <c r="L162" s="21"/>
      <c r="M162" s="21"/>
      <c r="N162" s="33"/>
      <c r="O162" s="4"/>
      <c r="P162" s="76"/>
      <c r="Q162" s="76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21"/>
      <c r="L163" s="21"/>
      <c r="M163" s="21"/>
      <c r="N163" s="33"/>
      <c r="O163" s="4"/>
      <c r="P163" s="76"/>
      <c r="Q163" s="76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21"/>
      <c r="L164" s="21"/>
      <c r="M164" s="21"/>
      <c r="N164" s="33"/>
      <c r="O164" s="4"/>
      <c r="P164" s="76"/>
      <c r="Q164" s="76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21"/>
      <c r="L165" s="21"/>
      <c r="M165" s="21"/>
      <c r="N165" s="33"/>
      <c r="O165" s="4"/>
      <c r="P165" s="76"/>
      <c r="Q165" s="76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21"/>
      <c r="L166" s="21"/>
      <c r="M166" s="21"/>
      <c r="N166" s="33"/>
      <c r="O166" s="4"/>
      <c r="P166" s="76"/>
      <c r="Q166" s="76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21"/>
      <c r="L167" s="21"/>
      <c r="M167" s="21"/>
      <c r="N167" s="33"/>
      <c r="O167" s="4"/>
      <c r="P167" s="76"/>
      <c r="Q167" s="76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21"/>
      <c r="L168" s="21"/>
      <c r="M168" s="21"/>
      <c r="N168" s="33"/>
      <c r="O168" s="4"/>
      <c r="P168" s="76"/>
      <c r="Q168" s="76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21"/>
      <c r="L169" s="21"/>
      <c r="M169" s="21"/>
      <c r="N169" s="33"/>
      <c r="O169" s="4"/>
      <c r="P169" s="76"/>
      <c r="Q169" s="76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21"/>
      <c r="L170" s="21"/>
      <c r="M170" s="21"/>
      <c r="N170" s="33"/>
      <c r="O170" s="4"/>
      <c r="P170" s="76"/>
      <c r="Q170" s="76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21"/>
      <c r="L171" s="21"/>
      <c r="M171" s="21"/>
      <c r="N171" s="33"/>
      <c r="O171" s="4"/>
      <c r="P171" s="76"/>
      <c r="Q171" s="76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21"/>
      <c r="L172" s="21"/>
      <c r="M172" s="21"/>
      <c r="N172" s="33"/>
      <c r="O172" s="4"/>
      <c r="P172" s="76"/>
      <c r="Q172" s="76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21"/>
      <c r="L173" s="21"/>
      <c r="M173" s="21"/>
      <c r="N173" s="33"/>
      <c r="O173" s="4"/>
      <c r="P173" s="76"/>
      <c r="Q173" s="76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21"/>
      <c r="L174" s="21"/>
      <c r="M174" s="21"/>
      <c r="N174" s="33"/>
      <c r="O174" s="4"/>
      <c r="P174" s="76"/>
      <c r="Q174" s="76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21"/>
      <c r="L175" s="21"/>
      <c r="M175" s="21"/>
      <c r="N175" s="33"/>
      <c r="O175" s="4"/>
      <c r="P175" s="76"/>
      <c r="Q175" s="76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21"/>
      <c r="L176" s="21"/>
      <c r="M176" s="21"/>
      <c r="N176" s="33"/>
      <c r="O176" s="4"/>
      <c r="P176" s="76"/>
      <c r="Q176" s="76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21"/>
      <c r="L177" s="21"/>
      <c r="M177" s="21"/>
      <c r="N177" s="33"/>
      <c r="O177" s="4"/>
      <c r="P177" s="76"/>
      <c r="Q177" s="76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21"/>
      <c r="L178" s="21"/>
      <c r="M178" s="21"/>
      <c r="N178" s="33"/>
      <c r="O178" s="4"/>
      <c r="P178" s="76"/>
      <c r="Q178" s="76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21"/>
      <c r="L179" s="21"/>
      <c r="M179" s="21"/>
      <c r="N179" s="33"/>
      <c r="O179" s="4"/>
      <c r="P179" s="76"/>
      <c r="Q179" s="76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21"/>
      <c r="L180" s="21"/>
      <c r="M180" s="21"/>
      <c r="N180" s="33"/>
      <c r="O180" s="4"/>
      <c r="P180" s="76"/>
      <c r="Q180" s="76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21"/>
      <c r="L181" s="21"/>
      <c r="M181" s="21"/>
      <c r="N181" s="33"/>
      <c r="O181" s="4"/>
      <c r="P181" s="76"/>
      <c r="Q181" s="76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21"/>
      <c r="L182" s="21"/>
      <c r="M182" s="21"/>
      <c r="N182" s="33"/>
      <c r="O182" s="4"/>
      <c r="P182" s="76"/>
      <c r="Q182" s="76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21"/>
      <c r="L183" s="21"/>
      <c r="M183" s="21"/>
      <c r="N183" s="33"/>
      <c r="O183" s="4"/>
      <c r="P183" s="76"/>
      <c r="Q183" s="76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21"/>
      <c r="L184" s="21"/>
      <c r="M184" s="21"/>
      <c r="N184" s="33"/>
      <c r="O184" s="4"/>
      <c r="P184" s="76"/>
      <c r="Q184" s="76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21"/>
      <c r="L185" s="21"/>
      <c r="M185" s="21"/>
      <c r="N185" s="33"/>
      <c r="O185" s="4"/>
      <c r="P185" s="76"/>
      <c r="Q185" s="76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21"/>
      <c r="L186" s="21"/>
      <c r="M186" s="21"/>
      <c r="N186" s="33"/>
      <c r="O186" s="4"/>
      <c r="P186" s="76"/>
      <c r="Q186" s="76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21"/>
      <c r="L187" s="21"/>
      <c r="M187" s="21"/>
      <c r="N187" s="33"/>
      <c r="O187" s="4"/>
      <c r="P187" s="76"/>
      <c r="Q187" s="76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21"/>
      <c r="L188" s="21"/>
      <c r="M188" s="21"/>
      <c r="N188" s="33"/>
      <c r="O188" s="4"/>
      <c r="P188" s="76"/>
      <c r="Q188" s="76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21"/>
      <c r="L189" s="21"/>
      <c r="M189" s="21"/>
      <c r="N189" s="33"/>
      <c r="O189" s="4"/>
      <c r="P189" s="76"/>
      <c r="Q189" s="76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21"/>
      <c r="L190" s="21"/>
      <c r="M190" s="21"/>
      <c r="N190" s="33"/>
      <c r="O190" s="4"/>
      <c r="P190" s="76"/>
      <c r="Q190" s="76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21"/>
      <c r="L191" s="21"/>
      <c r="M191" s="21"/>
      <c r="N191" s="33"/>
      <c r="O191" s="4"/>
      <c r="P191" s="76"/>
      <c r="Q191" s="76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21"/>
      <c r="L192" s="21"/>
      <c r="M192" s="21"/>
      <c r="N192" s="33"/>
      <c r="O192" s="4"/>
      <c r="P192" s="76"/>
      <c r="Q192" s="76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21"/>
      <c r="L193" s="21"/>
      <c r="M193" s="21"/>
      <c r="N193" s="33"/>
      <c r="O193" s="4"/>
      <c r="P193" s="76"/>
      <c r="Q193" s="76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21"/>
      <c r="L194" s="21"/>
      <c r="M194" s="21"/>
      <c r="N194" s="33"/>
      <c r="O194" s="4"/>
      <c r="P194" s="76"/>
      <c r="Q194" s="76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21"/>
      <c r="L195" s="21"/>
      <c r="M195" s="21"/>
      <c r="N195" s="33"/>
      <c r="O195" s="4"/>
      <c r="P195" s="76"/>
      <c r="Q195" s="76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21"/>
      <c r="L196" s="21"/>
      <c r="M196" s="21"/>
      <c r="N196" s="33"/>
      <c r="O196" s="4"/>
      <c r="P196" s="76"/>
      <c r="Q196" s="76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21"/>
      <c r="L197" s="21"/>
      <c r="M197" s="21"/>
      <c r="N197" s="33"/>
      <c r="O197" s="4"/>
      <c r="P197" s="76"/>
      <c r="Q197" s="76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21"/>
      <c r="L198" s="21"/>
      <c r="M198" s="21"/>
      <c r="N198" s="33"/>
      <c r="O198" s="4"/>
      <c r="P198" s="76"/>
      <c r="Q198" s="76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21"/>
      <c r="L199" s="21"/>
      <c r="M199" s="21"/>
      <c r="N199" s="33"/>
      <c r="O199" s="4"/>
      <c r="P199" s="76"/>
      <c r="Q199" s="76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21"/>
      <c r="L200" s="21"/>
      <c r="M200" s="21"/>
      <c r="N200" s="33"/>
      <c r="O200" s="4"/>
      <c r="P200" s="76"/>
      <c r="Q200" s="76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21"/>
      <c r="L201" s="21"/>
      <c r="M201" s="21"/>
      <c r="N201" s="33"/>
      <c r="O201" s="4"/>
      <c r="P201" s="76"/>
      <c r="Q201" s="76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21"/>
      <c r="L202" s="21"/>
      <c r="M202" s="21"/>
      <c r="N202" s="33"/>
      <c r="O202" s="4"/>
      <c r="P202" s="76"/>
      <c r="Q202" s="76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21"/>
      <c r="L203" s="21"/>
      <c r="M203" s="21"/>
      <c r="N203" s="33"/>
      <c r="O203" s="4"/>
      <c r="P203" s="76"/>
      <c r="Q203" s="76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21"/>
      <c r="L204" s="21"/>
      <c r="M204" s="21"/>
      <c r="N204" s="33"/>
      <c r="O204" s="4"/>
      <c r="P204" s="76"/>
      <c r="Q204" s="76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21"/>
      <c r="L205" s="21"/>
      <c r="M205" s="21"/>
      <c r="N205" s="33"/>
      <c r="O205" s="4"/>
      <c r="P205" s="76"/>
      <c r="Q205" s="76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21"/>
      <c r="L206" s="21"/>
      <c r="M206" s="21"/>
      <c r="N206" s="33"/>
      <c r="O206" s="4"/>
      <c r="P206" s="76"/>
      <c r="Q206" s="76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21"/>
      <c r="L207" s="21"/>
      <c r="M207" s="21"/>
      <c r="N207" s="33"/>
      <c r="O207" s="4"/>
      <c r="P207" s="76"/>
      <c r="Q207" s="76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21"/>
      <c r="L208" s="21"/>
      <c r="M208" s="21"/>
      <c r="N208" s="33"/>
      <c r="O208" s="4"/>
      <c r="P208" s="76"/>
      <c r="Q208" s="76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21"/>
      <c r="L209" s="21"/>
      <c r="M209" s="21"/>
      <c r="N209" s="33"/>
      <c r="O209" s="4"/>
      <c r="P209" s="76"/>
      <c r="Q209" s="76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21"/>
      <c r="L210" s="21"/>
      <c r="M210" s="21"/>
      <c r="N210" s="33"/>
      <c r="O210" s="4"/>
      <c r="P210" s="76"/>
      <c r="Q210" s="76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21"/>
      <c r="L211" s="21"/>
      <c r="M211" s="21"/>
      <c r="N211" s="33"/>
      <c r="O211" s="4"/>
      <c r="P211" s="76"/>
      <c r="Q211" s="76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21"/>
      <c r="L212" s="21"/>
      <c r="M212" s="21"/>
      <c r="N212" s="33"/>
      <c r="O212" s="4"/>
      <c r="P212" s="76"/>
      <c r="Q212" s="76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21"/>
      <c r="L213" s="21"/>
      <c r="M213" s="21"/>
      <c r="N213" s="33"/>
      <c r="O213" s="4"/>
      <c r="P213" s="76"/>
      <c r="Q213" s="76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21"/>
      <c r="L214" s="21"/>
      <c r="M214" s="21"/>
      <c r="N214" s="33"/>
      <c r="O214" s="4"/>
      <c r="P214" s="76"/>
      <c r="Q214" s="76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21"/>
      <c r="L215" s="21"/>
      <c r="M215" s="21"/>
      <c r="N215" s="33"/>
      <c r="O215" s="4"/>
      <c r="P215" s="76"/>
      <c r="Q215" s="76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21"/>
      <c r="L216" s="21"/>
      <c r="M216" s="21"/>
      <c r="N216" s="33"/>
      <c r="O216" s="4"/>
      <c r="P216" s="76"/>
      <c r="Q216" s="76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21"/>
      <c r="L217" s="21"/>
      <c r="M217" s="21"/>
      <c r="N217" s="33"/>
      <c r="O217" s="4"/>
      <c r="P217" s="76"/>
      <c r="Q217" s="76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21"/>
      <c r="L218" s="21"/>
      <c r="M218" s="21"/>
      <c r="N218" s="33"/>
      <c r="O218" s="4"/>
      <c r="P218" s="76"/>
      <c r="Q218" s="76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21"/>
      <c r="L219" s="21"/>
      <c r="M219" s="21"/>
      <c r="N219" s="33"/>
      <c r="O219" s="4"/>
      <c r="P219" s="76"/>
      <c r="Q219" s="76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21"/>
      <c r="L220" s="21"/>
      <c r="M220" s="21"/>
      <c r="N220" s="33"/>
      <c r="O220" s="4"/>
      <c r="P220" s="76"/>
      <c r="Q220" s="76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21"/>
      <c r="L221" s="21"/>
      <c r="M221" s="21"/>
      <c r="N221" s="33"/>
      <c r="O221" s="4"/>
      <c r="P221" s="76"/>
      <c r="Q221" s="76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21"/>
      <c r="L222" s="21"/>
      <c r="M222" s="21"/>
      <c r="N222" s="33"/>
      <c r="O222" s="4"/>
      <c r="P222" s="76"/>
      <c r="Q222" s="76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21"/>
      <c r="L223" s="21"/>
      <c r="M223" s="21"/>
      <c r="N223" s="33"/>
      <c r="O223" s="4"/>
      <c r="P223" s="76"/>
      <c r="Q223" s="76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21"/>
      <c r="L224" s="21"/>
      <c r="M224" s="21"/>
      <c r="N224" s="33"/>
      <c r="O224" s="4"/>
      <c r="P224" s="76"/>
      <c r="Q224" s="76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21"/>
      <c r="L225" s="21"/>
      <c r="M225" s="21"/>
      <c r="N225" s="33"/>
      <c r="O225" s="4"/>
      <c r="P225" s="76"/>
      <c r="Q225" s="76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21"/>
      <c r="L226" s="21"/>
      <c r="M226" s="21"/>
      <c r="N226" s="33"/>
      <c r="O226" s="4"/>
      <c r="P226" s="76"/>
      <c r="Q226" s="76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21"/>
      <c r="L227" s="21"/>
      <c r="M227" s="21"/>
      <c r="N227" s="33"/>
      <c r="O227" s="4"/>
      <c r="P227" s="76"/>
      <c r="Q227" s="76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21"/>
      <c r="L228" s="21"/>
      <c r="M228" s="21"/>
      <c r="N228" s="33"/>
      <c r="O228" s="4"/>
      <c r="P228" s="76"/>
      <c r="Q228" s="76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21"/>
      <c r="L229" s="21"/>
      <c r="M229" s="21"/>
      <c r="N229" s="33"/>
      <c r="O229" s="4"/>
      <c r="P229" s="76"/>
      <c r="Q229" s="76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21"/>
      <c r="L230" s="21"/>
      <c r="M230" s="21"/>
      <c r="N230" s="33"/>
      <c r="O230" s="4"/>
      <c r="P230" s="76"/>
      <c r="Q230" s="76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21"/>
      <c r="L231" s="21"/>
      <c r="M231" s="21"/>
      <c r="N231" s="33"/>
      <c r="O231" s="4"/>
      <c r="P231" s="76"/>
      <c r="Q231" s="76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21"/>
      <c r="L232" s="21"/>
      <c r="M232" s="21"/>
      <c r="N232" s="33"/>
      <c r="O232" s="4"/>
      <c r="P232" s="76"/>
      <c r="Q232" s="76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21"/>
      <c r="L233" s="21"/>
      <c r="M233" s="21"/>
      <c r="N233" s="33"/>
      <c r="O233" s="4"/>
      <c r="P233" s="76"/>
      <c r="Q233" s="76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21"/>
      <c r="L234" s="21"/>
      <c r="M234" s="21"/>
      <c r="N234" s="33"/>
      <c r="O234" s="4"/>
      <c r="P234" s="76"/>
      <c r="Q234" s="76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21"/>
      <c r="L235" s="21"/>
      <c r="M235" s="21"/>
      <c r="N235" s="33"/>
      <c r="O235" s="4"/>
      <c r="P235" s="76"/>
      <c r="Q235" s="76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21"/>
      <c r="L236" s="21"/>
      <c r="M236" s="21"/>
      <c r="N236" s="33"/>
      <c r="O236" s="4"/>
      <c r="P236" s="76"/>
      <c r="Q236" s="76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21"/>
      <c r="L237" s="21"/>
      <c r="M237" s="21"/>
      <c r="N237" s="33"/>
      <c r="O237" s="4"/>
      <c r="P237" s="76"/>
      <c r="Q237" s="76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21"/>
      <c r="L238" s="21"/>
      <c r="M238" s="21"/>
      <c r="N238" s="33"/>
      <c r="O238" s="4"/>
      <c r="P238" s="76"/>
      <c r="Q238" s="76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21"/>
      <c r="L239" s="21"/>
      <c r="M239" s="21"/>
      <c r="N239" s="33"/>
      <c r="O239" s="4"/>
      <c r="P239" s="76"/>
      <c r="Q239" s="76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21"/>
      <c r="L240" s="21"/>
      <c r="M240" s="21"/>
      <c r="N240" s="33"/>
      <c r="O240" s="4"/>
      <c r="P240" s="76"/>
      <c r="Q240" s="76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21"/>
      <c r="L241" s="21"/>
      <c r="M241" s="21"/>
      <c r="N241" s="33"/>
      <c r="O241" s="4"/>
      <c r="P241" s="76"/>
      <c r="Q241" s="76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21"/>
      <c r="L242" s="21"/>
      <c r="M242" s="21"/>
      <c r="N242" s="33"/>
      <c r="O242" s="4"/>
      <c r="P242" s="76"/>
      <c r="Q242" s="76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21"/>
      <c r="L243" s="21"/>
      <c r="M243" s="21"/>
      <c r="N243" s="33"/>
      <c r="O243" s="4"/>
      <c r="P243" s="76"/>
      <c r="Q243" s="76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21"/>
      <c r="L244" s="21"/>
      <c r="M244" s="21"/>
      <c r="N244" s="33"/>
      <c r="O244" s="4"/>
      <c r="P244" s="76"/>
      <c r="Q244" s="76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21"/>
      <c r="L245" s="21"/>
      <c r="M245" s="21"/>
      <c r="N245" s="33"/>
      <c r="O245" s="4"/>
      <c r="P245" s="76"/>
      <c r="Q245" s="76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21"/>
      <c r="L246" s="21"/>
      <c r="M246" s="21"/>
      <c r="N246" s="33"/>
      <c r="O246" s="4"/>
      <c r="P246" s="76"/>
      <c r="Q246" s="76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21"/>
      <c r="L247" s="21"/>
      <c r="M247" s="21"/>
      <c r="N247" s="33"/>
      <c r="O247" s="4"/>
      <c r="P247" s="76"/>
      <c r="Q247" s="76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21"/>
      <c r="L248" s="21"/>
      <c r="M248" s="21"/>
      <c r="N248" s="33"/>
      <c r="O248" s="4"/>
      <c r="P248" s="76"/>
      <c r="Q248" s="76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21"/>
      <c r="L249" s="21"/>
      <c r="M249" s="21"/>
      <c r="N249" s="33"/>
      <c r="O249" s="4"/>
      <c r="P249" s="76"/>
      <c r="Q249" s="76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21"/>
      <c r="L250" s="21"/>
      <c r="M250" s="21"/>
      <c r="N250" s="33"/>
      <c r="O250" s="4"/>
      <c r="P250" s="76"/>
      <c r="Q250" s="76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21"/>
      <c r="L251" s="21"/>
      <c r="M251" s="21"/>
      <c r="N251" s="33"/>
      <c r="O251" s="4"/>
      <c r="P251" s="76"/>
      <c r="Q251" s="76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21"/>
      <c r="L252" s="21"/>
      <c r="M252" s="21"/>
      <c r="N252" s="33"/>
      <c r="O252" s="4"/>
      <c r="P252" s="76"/>
      <c r="Q252" s="76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21"/>
      <c r="L253" s="21"/>
      <c r="M253" s="21"/>
      <c r="N253" s="33"/>
      <c r="O253" s="4"/>
      <c r="P253" s="76"/>
      <c r="Q253" s="76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21"/>
      <c r="L254" s="21"/>
      <c r="M254" s="21"/>
      <c r="N254" s="33"/>
      <c r="O254" s="4"/>
      <c r="P254" s="76"/>
      <c r="Q254" s="76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21"/>
      <c r="L255" s="21"/>
      <c r="M255" s="21"/>
      <c r="N255" s="33"/>
      <c r="O255" s="4"/>
      <c r="P255" s="76"/>
      <c r="Q255" s="76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21"/>
      <c r="L256" s="21"/>
      <c r="M256" s="21"/>
      <c r="N256" s="33"/>
      <c r="O256" s="4"/>
      <c r="P256" s="76"/>
      <c r="Q256" s="76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21"/>
      <c r="L257" s="21"/>
      <c r="M257" s="21"/>
      <c r="N257" s="33"/>
      <c r="O257" s="4"/>
      <c r="P257" s="76"/>
      <c r="Q257" s="76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21"/>
      <c r="L258" s="21"/>
      <c r="M258" s="21"/>
      <c r="N258" s="33"/>
      <c r="O258" s="4"/>
      <c r="P258" s="76"/>
      <c r="Q258" s="76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21"/>
      <c r="L259" s="21"/>
      <c r="M259" s="21"/>
      <c r="N259" s="33"/>
      <c r="O259" s="4"/>
      <c r="P259" s="76"/>
      <c r="Q259" s="76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21"/>
      <c r="L260" s="21"/>
      <c r="M260" s="21"/>
      <c r="N260" s="33"/>
      <c r="O260" s="4"/>
      <c r="P260" s="76"/>
      <c r="Q260" s="76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21"/>
      <c r="L261" s="21"/>
      <c r="M261" s="21"/>
      <c r="N261" s="33"/>
      <c r="O261" s="4"/>
      <c r="P261" s="76"/>
      <c r="Q261" s="76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21"/>
      <c r="L262" s="21"/>
      <c r="M262" s="21"/>
      <c r="N262" s="33"/>
      <c r="O262" s="4"/>
      <c r="P262" s="76"/>
      <c r="Q262" s="76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21"/>
      <c r="L263" s="21"/>
      <c r="M263" s="21"/>
      <c r="N263" s="33"/>
      <c r="O263" s="4"/>
      <c r="P263" s="76"/>
      <c r="Q263" s="76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21"/>
      <c r="L264" s="21"/>
      <c r="M264" s="21"/>
      <c r="N264" s="33"/>
      <c r="O264" s="4"/>
      <c r="P264" s="76"/>
      <c r="Q264" s="76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21"/>
      <c r="L265" s="21"/>
      <c r="M265" s="21"/>
      <c r="N265" s="33"/>
      <c r="O265" s="4"/>
      <c r="P265" s="76"/>
      <c r="Q265" s="76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21"/>
      <c r="L266" s="21"/>
      <c r="M266" s="21"/>
      <c r="N266" s="33"/>
      <c r="O266" s="4"/>
      <c r="P266" s="76"/>
      <c r="Q266" s="76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21"/>
      <c r="L267" s="21"/>
      <c r="M267" s="21"/>
      <c r="N267" s="33"/>
      <c r="O267" s="4"/>
      <c r="P267" s="76"/>
      <c r="Q267" s="76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21"/>
      <c r="L268" s="21"/>
      <c r="M268" s="21"/>
      <c r="N268" s="33"/>
      <c r="O268" s="4"/>
      <c r="P268" s="76"/>
      <c r="Q268" s="76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21"/>
      <c r="L269" s="21"/>
      <c r="M269" s="21"/>
      <c r="N269" s="33"/>
      <c r="O269" s="4"/>
      <c r="P269" s="76"/>
      <c r="Q269" s="76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21"/>
      <c r="L270" s="21"/>
      <c r="M270" s="21"/>
      <c r="N270" s="33"/>
      <c r="O270" s="4"/>
      <c r="P270" s="76"/>
      <c r="Q270" s="76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21"/>
      <c r="L271" s="21"/>
      <c r="M271" s="21"/>
      <c r="N271" s="33"/>
      <c r="O271" s="4"/>
      <c r="P271" s="76"/>
      <c r="Q271" s="76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21"/>
      <c r="L272" s="21"/>
      <c r="M272" s="21"/>
      <c r="N272" s="33"/>
      <c r="O272" s="4"/>
      <c r="P272" s="76"/>
      <c r="Q272" s="76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21"/>
      <c r="L273" s="21"/>
      <c r="M273" s="21"/>
      <c r="N273" s="33"/>
      <c r="O273" s="4"/>
      <c r="P273" s="76"/>
      <c r="Q273" s="76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21"/>
      <c r="L274" s="21"/>
      <c r="M274" s="21"/>
      <c r="N274" s="33"/>
      <c r="O274" s="4"/>
      <c r="P274" s="76"/>
      <c r="Q274" s="76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21"/>
      <c r="L275" s="21"/>
      <c r="M275" s="21"/>
      <c r="N275" s="33"/>
      <c r="O275" s="4"/>
      <c r="P275" s="76"/>
      <c r="Q275" s="76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21"/>
      <c r="L276" s="21"/>
      <c r="M276" s="21"/>
      <c r="N276" s="33"/>
      <c r="O276" s="4"/>
      <c r="P276" s="76"/>
      <c r="Q276" s="76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21"/>
      <c r="L277" s="21"/>
      <c r="M277" s="21"/>
      <c r="N277" s="33"/>
      <c r="O277" s="4"/>
      <c r="P277" s="76"/>
      <c r="Q277" s="76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21"/>
      <c r="L278" s="21"/>
      <c r="M278" s="21"/>
      <c r="N278" s="33"/>
      <c r="O278" s="4"/>
      <c r="P278" s="76"/>
      <c r="Q278" s="76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21"/>
      <c r="L279" s="21"/>
      <c r="M279" s="21"/>
      <c r="N279" s="33"/>
      <c r="O279" s="4"/>
      <c r="P279" s="76"/>
      <c r="Q279" s="76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21"/>
      <c r="L280" s="21"/>
      <c r="M280" s="21"/>
      <c r="N280" s="33"/>
      <c r="O280" s="4"/>
      <c r="P280" s="76"/>
      <c r="Q280" s="76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21"/>
      <c r="L281" s="21"/>
      <c r="M281" s="21"/>
      <c r="N281" s="33"/>
      <c r="O281" s="4"/>
      <c r="P281" s="76"/>
      <c r="Q281" s="76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21"/>
      <c r="L282" s="21"/>
      <c r="M282" s="21"/>
      <c r="N282" s="33"/>
      <c r="O282" s="4"/>
      <c r="P282" s="76"/>
      <c r="Q282" s="76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21"/>
      <c r="L283" s="21"/>
      <c r="M283" s="21"/>
      <c r="N283" s="33"/>
      <c r="O283" s="4"/>
      <c r="P283" s="76"/>
      <c r="Q283" s="76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21"/>
      <c r="L284" s="21"/>
      <c r="M284" s="21"/>
      <c r="N284" s="33"/>
      <c r="O284" s="4"/>
      <c r="P284" s="76"/>
      <c r="Q284" s="76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21"/>
      <c r="L285" s="21"/>
      <c r="M285" s="21"/>
      <c r="N285" s="33"/>
      <c r="O285" s="4"/>
      <c r="P285" s="76"/>
      <c r="Q285" s="76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21"/>
      <c r="L286" s="21"/>
      <c r="M286" s="21"/>
      <c r="N286" s="33"/>
      <c r="O286" s="4"/>
      <c r="P286" s="76"/>
      <c r="Q286" s="76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21"/>
      <c r="L287" s="21"/>
      <c r="M287" s="21"/>
      <c r="N287" s="33"/>
      <c r="O287" s="4"/>
      <c r="P287" s="76"/>
      <c r="Q287" s="76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21"/>
      <c r="L288" s="21"/>
      <c r="M288" s="21"/>
      <c r="N288" s="33"/>
      <c r="O288" s="4"/>
      <c r="P288" s="76"/>
      <c r="Q288" s="76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21"/>
      <c r="L289" s="21"/>
      <c r="M289" s="21"/>
      <c r="N289" s="33"/>
      <c r="O289" s="4"/>
      <c r="P289" s="76"/>
      <c r="Q289" s="76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21"/>
      <c r="L290" s="21"/>
      <c r="M290" s="21"/>
      <c r="N290" s="33"/>
      <c r="O290" s="4"/>
      <c r="P290" s="76"/>
      <c r="Q290" s="76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21"/>
      <c r="L291" s="21"/>
      <c r="M291" s="21"/>
      <c r="N291" s="33"/>
      <c r="O291" s="4"/>
      <c r="P291" s="76"/>
      <c r="Q291" s="76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21"/>
      <c r="L292" s="21"/>
      <c r="M292" s="21"/>
      <c r="N292" s="33"/>
      <c r="O292" s="4"/>
      <c r="P292" s="76"/>
      <c r="Q292" s="76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21"/>
      <c r="L293" s="21"/>
      <c r="M293" s="21"/>
      <c r="N293" s="33"/>
      <c r="O293" s="4"/>
      <c r="P293" s="76"/>
      <c r="Q293" s="76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21"/>
      <c r="L294" s="21"/>
      <c r="M294" s="21"/>
      <c r="N294" s="33"/>
      <c r="O294" s="4"/>
      <c r="P294" s="76"/>
      <c r="Q294" s="76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21"/>
      <c r="L295" s="21"/>
      <c r="M295" s="21"/>
      <c r="N295" s="33"/>
      <c r="O295" s="4"/>
      <c r="P295" s="76"/>
      <c r="Q295" s="76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21"/>
      <c r="L296" s="21"/>
      <c r="M296" s="21"/>
      <c r="N296" s="33"/>
      <c r="O296" s="4"/>
      <c r="P296" s="76"/>
      <c r="Q296" s="76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21"/>
      <c r="L297" s="21"/>
      <c r="M297" s="21"/>
      <c r="N297" s="33"/>
      <c r="O297" s="4"/>
      <c r="P297" s="76"/>
      <c r="Q297" s="76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21"/>
      <c r="L298" s="21"/>
      <c r="M298" s="21"/>
      <c r="N298" s="33"/>
      <c r="O298" s="4"/>
      <c r="P298" s="76"/>
      <c r="Q298" s="76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21"/>
      <c r="L299" s="21"/>
      <c r="M299" s="21"/>
      <c r="N299" s="33"/>
      <c r="O299" s="4"/>
      <c r="P299" s="76"/>
      <c r="Q299" s="76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21"/>
      <c r="L300" s="21"/>
      <c r="M300" s="21"/>
      <c r="N300" s="33"/>
      <c r="O300" s="4"/>
      <c r="P300" s="76"/>
      <c r="Q300" s="76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21"/>
      <c r="L301" s="21"/>
      <c r="M301" s="21"/>
      <c r="N301" s="33"/>
      <c r="O301" s="4"/>
      <c r="P301" s="76"/>
      <c r="Q301" s="76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21"/>
      <c r="L302" s="21"/>
      <c r="M302" s="21"/>
      <c r="N302" s="33"/>
      <c r="O302" s="4"/>
      <c r="P302" s="76"/>
      <c r="Q302" s="76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21"/>
      <c r="L303" s="21"/>
      <c r="M303" s="21"/>
      <c r="N303" s="33"/>
      <c r="O303" s="4"/>
      <c r="P303" s="76"/>
      <c r="Q303" s="76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21"/>
      <c r="L304" s="21"/>
      <c r="M304" s="21"/>
      <c r="N304" s="33"/>
      <c r="O304" s="4"/>
      <c r="P304" s="76"/>
      <c r="Q304" s="76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21"/>
      <c r="L305" s="21"/>
      <c r="M305" s="21"/>
      <c r="N305" s="33"/>
      <c r="O305" s="4"/>
      <c r="P305" s="76"/>
      <c r="Q305" s="76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21"/>
      <c r="L306" s="21"/>
      <c r="M306" s="21"/>
      <c r="N306" s="33"/>
      <c r="O306" s="4"/>
      <c r="P306" s="76"/>
      <c r="Q306" s="76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21"/>
      <c r="L307" s="21"/>
      <c r="M307" s="21"/>
      <c r="N307" s="33"/>
      <c r="O307" s="4"/>
      <c r="P307" s="76"/>
      <c r="Q307" s="76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21"/>
      <c r="L308" s="21"/>
      <c r="M308" s="21"/>
      <c r="N308" s="33"/>
      <c r="O308" s="4"/>
      <c r="P308" s="76"/>
      <c r="Q308" s="76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21"/>
      <c r="L309" s="21"/>
      <c r="M309" s="21"/>
      <c r="N309" s="33"/>
      <c r="O309" s="4"/>
      <c r="P309" s="76"/>
      <c r="Q309" s="76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21"/>
      <c r="L310" s="21"/>
      <c r="M310" s="21"/>
      <c r="N310" s="33"/>
      <c r="O310" s="4"/>
      <c r="P310" s="76"/>
      <c r="Q310" s="76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21"/>
      <c r="L311" s="21"/>
      <c r="M311" s="21"/>
      <c r="N311" s="33"/>
      <c r="O311" s="4"/>
      <c r="P311" s="76"/>
      <c r="Q311" s="76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21"/>
      <c r="L312" s="21"/>
      <c r="M312" s="21"/>
      <c r="N312" s="33"/>
      <c r="O312" s="4"/>
      <c r="P312" s="76"/>
      <c r="Q312" s="76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21"/>
      <c r="L313" s="21"/>
      <c r="M313" s="21"/>
      <c r="N313" s="33"/>
      <c r="O313" s="4"/>
      <c r="P313" s="76"/>
      <c r="Q313" s="76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21"/>
      <c r="L314" s="21"/>
      <c r="M314" s="21"/>
      <c r="N314" s="33"/>
      <c r="O314" s="4"/>
      <c r="P314" s="76"/>
      <c r="Q314" s="76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21"/>
      <c r="L315" s="21"/>
      <c r="M315" s="21"/>
      <c r="N315" s="33"/>
      <c r="O315" s="4"/>
      <c r="P315" s="76"/>
      <c r="Q315" s="76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21"/>
      <c r="L316" s="21"/>
      <c r="M316" s="21"/>
      <c r="N316" s="33"/>
      <c r="O316" s="4"/>
      <c r="P316" s="76"/>
      <c r="Q316" s="76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21"/>
      <c r="L317" s="21"/>
      <c r="M317" s="21"/>
      <c r="N317" s="33"/>
      <c r="O317" s="4"/>
      <c r="P317" s="76"/>
      <c r="Q317" s="76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21"/>
      <c r="L318" s="21"/>
      <c r="M318" s="21"/>
      <c r="N318" s="33"/>
      <c r="O318" s="4"/>
      <c r="P318" s="76"/>
      <c r="Q318" s="76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21"/>
      <c r="L319" s="21"/>
      <c r="M319" s="21"/>
      <c r="N319" s="33"/>
      <c r="O319" s="4"/>
      <c r="P319" s="76"/>
      <c r="Q319" s="76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21"/>
      <c r="L320" s="21"/>
      <c r="M320" s="21"/>
      <c r="N320" s="33"/>
      <c r="O320" s="4"/>
      <c r="P320" s="76"/>
      <c r="Q320" s="76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21"/>
      <c r="L321" s="21"/>
      <c r="M321" s="21"/>
      <c r="N321" s="33"/>
      <c r="O321" s="4"/>
      <c r="P321" s="76"/>
      <c r="Q321" s="76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21"/>
      <c r="L322" s="21"/>
      <c r="M322" s="21"/>
      <c r="N322" s="33"/>
      <c r="O322" s="4"/>
      <c r="P322" s="76"/>
      <c r="Q322" s="76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21"/>
      <c r="L323" s="21"/>
      <c r="M323" s="21"/>
      <c r="N323" s="33"/>
      <c r="O323" s="4"/>
      <c r="P323" s="76"/>
      <c r="Q323" s="76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21"/>
      <c r="L324" s="21"/>
      <c r="M324" s="21"/>
      <c r="N324" s="33"/>
      <c r="O324" s="4"/>
      <c r="P324" s="76"/>
      <c r="Q324" s="76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21"/>
      <c r="L325" s="21"/>
      <c r="M325" s="21"/>
      <c r="N325" s="33"/>
      <c r="O325" s="4"/>
      <c r="P325" s="76"/>
      <c r="Q325" s="76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21"/>
      <c r="L326" s="21"/>
      <c r="M326" s="21"/>
      <c r="N326" s="33"/>
      <c r="O326" s="4"/>
      <c r="P326" s="76"/>
      <c r="Q326" s="76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21"/>
      <c r="L327" s="21"/>
      <c r="M327" s="21"/>
      <c r="N327" s="33"/>
      <c r="O327" s="4"/>
      <c r="P327" s="76"/>
      <c r="Q327" s="76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21"/>
      <c r="L328" s="21"/>
      <c r="M328" s="21"/>
      <c r="N328" s="33"/>
      <c r="O328" s="4"/>
      <c r="P328" s="76"/>
      <c r="Q328" s="76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21"/>
      <c r="L329" s="21"/>
      <c r="M329" s="21"/>
      <c r="N329" s="33"/>
      <c r="O329" s="4"/>
      <c r="P329" s="76"/>
      <c r="Q329" s="76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21"/>
      <c r="L330" s="21"/>
      <c r="M330" s="21"/>
      <c r="N330" s="33"/>
      <c r="O330" s="4"/>
      <c r="P330" s="76"/>
      <c r="Q330" s="76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21"/>
      <c r="L331" s="21"/>
      <c r="M331" s="21"/>
      <c r="N331" s="33"/>
      <c r="O331" s="4"/>
      <c r="P331" s="76"/>
      <c r="Q331" s="76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21"/>
      <c r="L332" s="21"/>
      <c r="M332" s="21"/>
      <c r="N332" s="33"/>
      <c r="O332" s="4"/>
      <c r="P332" s="76"/>
      <c r="Q332" s="76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21"/>
      <c r="L333" s="21"/>
      <c r="M333" s="21"/>
      <c r="N333" s="33"/>
      <c r="O333" s="4"/>
      <c r="P333" s="76"/>
      <c r="Q333" s="76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21"/>
      <c r="L334" s="21"/>
      <c r="M334" s="21"/>
      <c r="N334" s="33"/>
      <c r="O334" s="4"/>
      <c r="P334" s="76"/>
      <c r="Q334" s="76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21"/>
      <c r="L335" s="21"/>
      <c r="M335" s="21"/>
      <c r="N335" s="33"/>
      <c r="O335" s="4"/>
      <c r="P335" s="76"/>
      <c r="Q335" s="76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21"/>
      <c r="L336" s="21"/>
      <c r="M336" s="21"/>
      <c r="N336" s="33"/>
      <c r="O336" s="4"/>
      <c r="P336" s="76"/>
      <c r="Q336" s="76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21"/>
      <c r="L337" s="21"/>
      <c r="M337" s="21"/>
      <c r="N337" s="33"/>
      <c r="O337" s="4"/>
      <c r="P337" s="76"/>
      <c r="Q337" s="76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21"/>
      <c r="L338" s="21"/>
      <c r="M338" s="21"/>
      <c r="N338" s="33"/>
      <c r="O338" s="4"/>
      <c r="P338" s="76"/>
      <c r="Q338" s="76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21"/>
      <c r="L339" s="21"/>
      <c r="M339" s="21"/>
      <c r="N339" s="33"/>
      <c r="O339" s="4"/>
      <c r="P339" s="76"/>
      <c r="Q339" s="76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21"/>
      <c r="L340" s="21"/>
      <c r="M340" s="21"/>
      <c r="N340" s="33"/>
      <c r="O340" s="4"/>
      <c r="P340" s="76"/>
      <c r="Q340" s="76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21"/>
      <c r="L341" s="21"/>
      <c r="M341" s="21"/>
      <c r="N341" s="33"/>
      <c r="O341" s="4"/>
      <c r="P341" s="76"/>
      <c r="Q341" s="76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21"/>
      <c r="L342" s="21"/>
      <c r="M342" s="21"/>
      <c r="N342" s="33"/>
      <c r="O342" s="4"/>
      <c r="P342" s="76"/>
      <c r="Q342" s="76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21"/>
      <c r="L343" s="21"/>
      <c r="M343" s="21"/>
      <c r="N343" s="33"/>
      <c r="O343" s="4"/>
      <c r="P343" s="76"/>
      <c r="Q343" s="76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21"/>
      <c r="L344" s="21"/>
      <c r="M344" s="21"/>
      <c r="N344" s="33"/>
      <c r="O344" s="4"/>
      <c r="P344" s="76"/>
      <c r="Q344" s="76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21"/>
      <c r="L345" s="21"/>
      <c r="M345" s="21"/>
      <c r="N345" s="33"/>
      <c r="O345" s="4"/>
      <c r="P345" s="76"/>
      <c r="Q345" s="76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21"/>
      <c r="L346" s="21"/>
      <c r="M346" s="21"/>
      <c r="N346" s="33"/>
      <c r="O346" s="4"/>
      <c r="P346" s="76"/>
      <c r="Q346" s="76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21"/>
      <c r="L347" s="21"/>
      <c r="M347" s="21"/>
      <c r="N347" s="33"/>
      <c r="O347" s="4"/>
      <c r="P347" s="76"/>
      <c r="Q347" s="76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21"/>
      <c r="L348" s="21"/>
      <c r="M348" s="21"/>
      <c r="N348" s="33"/>
      <c r="O348" s="4"/>
      <c r="P348" s="76"/>
      <c r="Q348" s="76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21"/>
      <c r="L349" s="21"/>
      <c r="M349" s="21"/>
      <c r="N349" s="33"/>
      <c r="O349" s="4"/>
      <c r="P349" s="76"/>
      <c r="Q349" s="76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21"/>
      <c r="L350" s="21"/>
      <c r="M350" s="21"/>
      <c r="N350" s="33"/>
      <c r="O350" s="4"/>
      <c r="P350" s="76"/>
      <c r="Q350" s="76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21"/>
      <c r="L351" s="21"/>
      <c r="M351" s="21"/>
      <c r="N351" s="33"/>
      <c r="O351" s="4"/>
      <c r="P351" s="76"/>
      <c r="Q351" s="76"/>
    </row>
    <row r="352" ht="15.75" customHeight="1">
      <c r="K352" s="21"/>
      <c r="L352" s="21"/>
      <c r="M352" s="21"/>
      <c r="N352" s="97"/>
      <c r="O352" s="76"/>
      <c r="P352" s="76"/>
      <c r="Q352" s="76"/>
    </row>
    <row r="353" ht="15.75" customHeight="1">
      <c r="K353" s="21"/>
      <c r="L353" s="21"/>
      <c r="M353" s="21"/>
      <c r="N353" s="97"/>
      <c r="O353" s="76"/>
      <c r="P353" s="76"/>
      <c r="Q353" s="76"/>
    </row>
    <row r="354" ht="15.75" customHeight="1">
      <c r="K354" s="21"/>
      <c r="L354" s="21"/>
      <c r="M354" s="21"/>
      <c r="N354" s="97"/>
      <c r="O354" s="76"/>
      <c r="P354" s="76"/>
      <c r="Q354" s="76"/>
    </row>
    <row r="355" ht="15.75" customHeight="1">
      <c r="K355" s="21"/>
      <c r="L355" s="21"/>
      <c r="M355" s="21"/>
      <c r="N355" s="97"/>
      <c r="O355" s="76"/>
      <c r="P355" s="76"/>
      <c r="Q355" s="76"/>
    </row>
    <row r="356" ht="15.75" customHeight="1">
      <c r="K356" s="21"/>
      <c r="L356" s="21"/>
      <c r="M356" s="21"/>
      <c r="N356" s="97"/>
      <c r="O356" s="76"/>
      <c r="P356" s="76"/>
      <c r="Q356" s="76"/>
    </row>
    <row r="357" ht="15.75" customHeight="1">
      <c r="K357" s="21"/>
      <c r="L357" s="21"/>
      <c r="M357" s="21"/>
      <c r="N357" s="97"/>
      <c r="O357" s="76"/>
      <c r="P357" s="76"/>
      <c r="Q357" s="76"/>
    </row>
    <row r="358" ht="15.75" customHeight="1">
      <c r="K358" s="21"/>
      <c r="L358" s="21"/>
      <c r="M358" s="21"/>
      <c r="N358" s="97"/>
      <c r="O358" s="76"/>
      <c r="P358" s="76"/>
      <c r="Q358" s="76"/>
    </row>
    <row r="359" ht="15.75" customHeight="1">
      <c r="K359" s="21"/>
      <c r="L359" s="21"/>
      <c r="M359" s="21"/>
      <c r="N359" s="97"/>
      <c r="O359" s="76"/>
      <c r="P359" s="76"/>
      <c r="Q359" s="76"/>
    </row>
    <row r="360" ht="15.75" customHeight="1">
      <c r="K360" s="21"/>
      <c r="L360" s="21"/>
      <c r="M360" s="21"/>
      <c r="N360" s="97"/>
      <c r="O360" s="76"/>
      <c r="P360" s="76"/>
      <c r="Q360" s="76"/>
    </row>
    <row r="361" ht="15.75" customHeight="1">
      <c r="K361" s="21"/>
      <c r="L361" s="21"/>
      <c r="M361" s="21"/>
      <c r="N361" s="97"/>
      <c r="O361" s="76"/>
      <c r="P361" s="76"/>
      <c r="Q361" s="76"/>
    </row>
    <row r="362" ht="15.75" customHeight="1">
      <c r="K362" s="21"/>
      <c r="L362" s="21"/>
      <c r="M362" s="21"/>
      <c r="N362" s="97"/>
      <c r="O362" s="76"/>
      <c r="P362" s="76"/>
      <c r="Q362" s="76"/>
    </row>
    <row r="363" ht="15.75" customHeight="1">
      <c r="K363" s="21"/>
      <c r="L363" s="21"/>
      <c r="M363" s="21"/>
      <c r="N363" s="97"/>
      <c r="O363" s="76"/>
      <c r="P363" s="76"/>
      <c r="Q363" s="76"/>
    </row>
    <row r="364" ht="15.75" customHeight="1">
      <c r="K364" s="21"/>
      <c r="L364" s="21"/>
      <c r="M364" s="21"/>
      <c r="N364" s="97"/>
      <c r="O364" s="76"/>
      <c r="P364" s="76"/>
      <c r="Q364" s="76"/>
    </row>
    <row r="365" ht="15.75" customHeight="1">
      <c r="K365" s="21"/>
      <c r="L365" s="21"/>
      <c r="M365" s="21"/>
      <c r="N365" s="97"/>
      <c r="O365" s="76"/>
      <c r="P365" s="76"/>
      <c r="Q365" s="76"/>
    </row>
    <row r="366" ht="15.75" customHeight="1">
      <c r="K366" s="21"/>
      <c r="L366" s="21"/>
      <c r="M366" s="21"/>
      <c r="N366" s="97"/>
      <c r="O366" s="76"/>
      <c r="P366" s="76"/>
      <c r="Q366" s="76"/>
    </row>
    <row r="367" ht="15.75" customHeight="1">
      <c r="K367" s="21"/>
      <c r="L367" s="21"/>
      <c r="M367" s="21"/>
      <c r="N367" s="97"/>
      <c r="O367" s="76"/>
      <c r="P367" s="76"/>
      <c r="Q367" s="76"/>
    </row>
    <row r="368" ht="15.75" customHeight="1">
      <c r="K368" s="21"/>
      <c r="L368" s="21"/>
      <c r="M368" s="21"/>
      <c r="N368" s="97"/>
      <c r="O368" s="76"/>
      <c r="P368" s="76"/>
      <c r="Q368" s="76"/>
    </row>
    <row r="369" ht="15.75" customHeight="1">
      <c r="K369" s="21"/>
      <c r="L369" s="21"/>
      <c r="M369" s="21"/>
      <c r="N369" s="97"/>
      <c r="O369" s="76"/>
      <c r="P369" s="76"/>
      <c r="Q369" s="76"/>
    </row>
    <row r="370" ht="15.75" customHeight="1">
      <c r="K370" s="21"/>
      <c r="L370" s="21"/>
      <c r="M370" s="21"/>
      <c r="N370" s="97"/>
      <c r="O370" s="76"/>
      <c r="P370" s="76"/>
      <c r="Q370" s="76"/>
    </row>
    <row r="371" ht="15.75" customHeight="1">
      <c r="K371" s="21"/>
      <c r="L371" s="21"/>
      <c r="M371" s="21"/>
      <c r="N371" s="97"/>
      <c r="O371" s="76"/>
      <c r="P371" s="76"/>
      <c r="Q371" s="76"/>
    </row>
    <row r="372" ht="15.75" customHeight="1">
      <c r="K372" s="21"/>
      <c r="L372" s="21"/>
      <c r="M372" s="21"/>
      <c r="N372" s="97"/>
      <c r="O372" s="76"/>
      <c r="P372" s="76"/>
      <c r="Q372" s="76"/>
    </row>
    <row r="373" ht="15.75" customHeight="1">
      <c r="K373" s="21"/>
      <c r="L373" s="21"/>
      <c r="M373" s="21"/>
      <c r="N373" s="97"/>
      <c r="O373" s="76"/>
      <c r="P373" s="76"/>
      <c r="Q373" s="76"/>
    </row>
    <row r="374" ht="15.75" customHeight="1">
      <c r="K374" s="21"/>
      <c r="L374" s="21"/>
      <c r="M374" s="21"/>
      <c r="N374" s="97"/>
      <c r="O374" s="76"/>
      <c r="P374" s="76"/>
      <c r="Q374" s="76"/>
    </row>
    <row r="375" ht="15.75" customHeight="1">
      <c r="K375" s="21"/>
      <c r="L375" s="21"/>
      <c r="M375" s="21"/>
      <c r="N375" s="97"/>
      <c r="O375" s="76"/>
      <c r="P375" s="76"/>
      <c r="Q375" s="76"/>
    </row>
    <row r="376" ht="15.75" customHeight="1">
      <c r="K376" s="21"/>
      <c r="L376" s="21"/>
      <c r="M376" s="21"/>
      <c r="N376" s="97"/>
      <c r="O376" s="76"/>
      <c r="P376" s="76"/>
      <c r="Q376" s="76"/>
    </row>
    <row r="377" ht="15.75" customHeight="1">
      <c r="K377" s="21"/>
      <c r="L377" s="21"/>
      <c r="M377" s="21"/>
      <c r="N377" s="97"/>
      <c r="O377" s="76"/>
      <c r="P377" s="76"/>
      <c r="Q377" s="76"/>
    </row>
    <row r="378" ht="15.75" customHeight="1">
      <c r="K378" s="21"/>
      <c r="L378" s="21"/>
      <c r="M378" s="21"/>
      <c r="N378" s="97"/>
      <c r="O378" s="76"/>
      <c r="P378" s="76"/>
      <c r="Q378" s="76"/>
    </row>
    <row r="379" ht="15.75" customHeight="1">
      <c r="K379" s="21"/>
      <c r="L379" s="21"/>
      <c r="M379" s="21"/>
      <c r="N379" s="97"/>
      <c r="O379" s="76"/>
      <c r="P379" s="76"/>
      <c r="Q379" s="76"/>
    </row>
    <row r="380" ht="15.75" customHeight="1">
      <c r="K380" s="21"/>
      <c r="L380" s="21"/>
      <c r="M380" s="21"/>
      <c r="N380" s="97"/>
      <c r="O380" s="76"/>
      <c r="P380" s="76"/>
      <c r="Q380" s="76"/>
    </row>
    <row r="381" ht="15.75" customHeight="1">
      <c r="K381" s="21"/>
      <c r="L381" s="21"/>
      <c r="M381" s="21"/>
      <c r="N381" s="97"/>
      <c r="O381" s="76"/>
      <c r="P381" s="76"/>
      <c r="Q381" s="76"/>
    </row>
    <row r="382" ht="15.75" customHeight="1">
      <c r="K382" s="21"/>
      <c r="L382" s="21"/>
      <c r="M382" s="21"/>
      <c r="N382" s="97"/>
      <c r="O382" s="76"/>
      <c r="P382" s="76"/>
      <c r="Q382" s="76"/>
    </row>
    <row r="383" ht="15.75" customHeight="1">
      <c r="K383" s="21"/>
      <c r="L383" s="21"/>
      <c r="M383" s="21"/>
      <c r="N383" s="97"/>
      <c r="O383" s="76"/>
      <c r="P383" s="76"/>
      <c r="Q383" s="76"/>
    </row>
    <row r="384" ht="15.75" customHeight="1">
      <c r="K384" s="21"/>
      <c r="L384" s="21"/>
      <c r="M384" s="21"/>
      <c r="N384" s="97"/>
      <c r="O384" s="76"/>
      <c r="P384" s="76"/>
      <c r="Q384" s="76"/>
    </row>
    <row r="385" ht="15.75" customHeight="1">
      <c r="K385" s="21"/>
      <c r="L385" s="21"/>
      <c r="M385" s="21"/>
      <c r="N385" s="97"/>
      <c r="O385" s="76"/>
      <c r="P385" s="76"/>
      <c r="Q385" s="76"/>
    </row>
    <row r="386" ht="15.75" customHeight="1">
      <c r="K386" s="21"/>
      <c r="L386" s="21"/>
      <c r="M386" s="21"/>
      <c r="N386" s="97"/>
      <c r="O386" s="76"/>
      <c r="P386" s="76"/>
      <c r="Q386" s="76"/>
    </row>
    <row r="387" ht="15.75" customHeight="1">
      <c r="K387" s="21"/>
      <c r="L387" s="21"/>
      <c r="M387" s="21"/>
      <c r="N387" s="97"/>
      <c r="O387" s="76"/>
      <c r="P387" s="76"/>
      <c r="Q387" s="76"/>
    </row>
    <row r="388" ht="15.75" customHeight="1">
      <c r="K388" s="21"/>
      <c r="L388" s="21"/>
      <c r="M388" s="21"/>
      <c r="N388" s="97"/>
      <c r="O388" s="76"/>
      <c r="P388" s="76"/>
      <c r="Q388" s="76"/>
    </row>
    <row r="389" ht="15.75" customHeight="1">
      <c r="K389" s="21"/>
      <c r="L389" s="21"/>
      <c r="M389" s="21"/>
      <c r="N389" s="97"/>
      <c r="O389" s="76"/>
      <c r="P389" s="76"/>
      <c r="Q389" s="76"/>
    </row>
    <row r="390" ht="15.75" customHeight="1">
      <c r="K390" s="21"/>
      <c r="L390" s="21"/>
      <c r="M390" s="21"/>
      <c r="N390" s="97"/>
      <c r="O390" s="76"/>
      <c r="P390" s="76"/>
      <c r="Q390" s="76"/>
    </row>
    <row r="391" ht="15.75" customHeight="1">
      <c r="K391" s="21"/>
      <c r="L391" s="21"/>
      <c r="M391" s="21"/>
      <c r="N391" s="97"/>
      <c r="O391" s="76"/>
      <c r="P391" s="76"/>
      <c r="Q391" s="76"/>
    </row>
    <row r="392" ht="15.75" customHeight="1">
      <c r="K392" s="21"/>
      <c r="L392" s="21"/>
      <c r="M392" s="21"/>
      <c r="N392" s="97"/>
      <c r="O392" s="76"/>
      <c r="P392" s="76"/>
      <c r="Q392" s="76"/>
    </row>
    <row r="393" ht="15.75" customHeight="1">
      <c r="K393" s="21"/>
      <c r="L393" s="21"/>
      <c r="M393" s="21"/>
      <c r="N393" s="97"/>
      <c r="O393" s="76"/>
      <c r="P393" s="76"/>
      <c r="Q393" s="76"/>
    </row>
    <row r="394" ht="15.75" customHeight="1">
      <c r="K394" s="21"/>
      <c r="L394" s="21"/>
      <c r="M394" s="21"/>
      <c r="N394" s="97"/>
      <c r="O394" s="76"/>
      <c r="P394" s="76"/>
      <c r="Q394" s="76"/>
    </row>
    <row r="395" ht="15.75" customHeight="1">
      <c r="K395" s="21"/>
      <c r="L395" s="21"/>
      <c r="M395" s="21"/>
      <c r="N395" s="97"/>
      <c r="O395" s="76"/>
      <c r="P395" s="76"/>
      <c r="Q395" s="76"/>
    </row>
    <row r="396" ht="15.75" customHeight="1">
      <c r="K396" s="21"/>
      <c r="L396" s="21"/>
      <c r="M396" s="21"/>
      <c r="N396" s="97"/>
      <c r="O396" s="76"/>
      <c r="P396" s="76"/>
      <c r="Q396" s="76"/>
    </row>
    <row r="397" ht="15.75" customHeight="1">
      <c r="K397" s="21"/>
      <c r="L397" s="21"/>
      <c r="M397" s="21"/>
      <c r="N397" s="97"/>
      <c r="O397" s="76"/>
      <c r="P397" s="76"/>
      <c r="Q397" s="76"/>
    </row>
    <row r="398" ht="15.75" customHeight="1">
      <c r="K398" s="21"/>
      <c r="L398" s="21"/>
      <c r="M398" s="21"/>
      <c r="N398" s="97"/>
      <c r="O398" s="76"/>
      <c r="P398" s="76"/>
      <c r="Q398" s="76"/>
    </row>
    <row r="399" ht="15.75" customHeight="1">
      <c r="K399" s="21"/>
      <c r="L399" s="21"/>
      <c r="M399" s="21"/>
      <c r="N399" s="97"/>
      <c r="O399" s="76"/>
      <c r="P399" s="76"/>
      <c r="Q399" s="76"/>
    </row>
    <row r="400" ht="15.75" customHeight="1">
      <c r="K400" s="21"/>
      <c r="L400" s="21"/>
      <c r="M400" s="21"/>
      <c r="N400" s="97"/>
      <c r="O400" s="76"/>
      <c r="P400" s="76"/>
      <c r="Q400" s="76"/>
    </row>
    <row r="401" ht="15.75" customHeight="1">
      <c r="K401" s="21"/>
      <c r="L401" s="21"/>
      <c r="M401" s="21"/>
      <c r="N401" s="97"/>
      <c r="O401" s="76"/>
      <c r="P401" s="76"/>
      <c r="Q401" s="76"/>
    </row>
    <row r="402" ht="15.75" customHeight="1">
      <c r="K402" s="21"/>
      <c r="L402" s="21"/>
      <c r="M402" s="21"/>
      <c r="N402" s="97"/>
      <c r="O402" s="76"/>
      <c r="P402" s="76"/>
      <c r="Q402" s="76"/>
    </row>
    <row r="403" ht="15.75" customHeight="1">
      <c r="K403" s="21"/>
      <c r="L403" s="21"/>
      <c r="M403" s="21"/>
      <c r="N403" s="97"/>
      <c r="O403" s="76"/>
      <c r="P403" s="76"/>
      <c r="Q403" s="76"/>
    </row>
    <row r="404" ht="15.75" customHeight="1">
      <c r="K404" s="21"/>
      <c r="L404" s="21"/>
      <c r="M404" s="21"/>
      <c r="N404" s="97"/>
      <c r="O404" s="76"/>
      <c r="P404" s="76"/>
      <c r="Q404" s="76"/>
    </row>
    <row r="405" ht="15.75" customHeight="1">
      <c r="K405" s="21"/>
      <c r="L405" s="21"/>
      <c r="M405" s="21"/>
      <c r="N405" s="97"/>
      <c r="O405" s="76"/>
      <c r="P405" s="76"/>
      <c r="Q405" s="76"/>
    </row>
    <row r="406" ht="15.75" customHeight="1">
      <c r="K406" s="21"/>
      <c r="L406" s="21"/>
      <c r="M406" s="21"/>
      <c r="N406" s="97"/>
      <c r="O406" s="76"/>
      <c r="P406" s="76"/>
      <c r="Q406" s="76"/>
    </row>
    <row r="407" ht="15.75" customHeight="1">
      <c r="K407" s="21"/>
      <c r="L407" s="21"/>
      <c r="M407" s="21"/>
      <c r="N407" s="97"/>
      <c r="O407" s="76"/>
      <c r="P407" s="76"/>
      <c r="Q407" s="76"/>
    </row>
    <row r="408" ht="15.75" customHeight="1">
      <c r="K408" s="21"/>
      <c r="L408" s="21"/>
      <c r="M408" s="21"/>
      <c r="N408" s="97"/>
      <c r="O408" s="76"/>
      <c r="P408" s="76"/>
      <c r="Q408" s="76"/>
    </row>
    <row r="409" ht="15.75" customHeight="1">
      <c r="K409" s="21"/>
      <c r="L409" s="21"/>
      <c r="M409" s="21"/>
      <c r="N409" s="97"/>
      <c r="O409" s="76"/>
      <c r="P409" s="76"/>
      <c r="Q409" s="76"/>
    </row>
    <row r="410" ht="15.75" customHeight="1">
      <c r="K410" s="21"/>
      <c r="L410" s="21"/>
      <c r="M410" s="21"/>
      <c r="N410" s="97"/>
      <c r="O410" s="76"/>
      <c r="P410" s="76"/>
      <c r="Q410" s="76"/>
    </row>
    <row r="411" ht="15.75" customHeight="1">
      <c r="K411" s="21"/>
      <c r="L411" s="21"/>
      <c r="M411" s="21"/>
      <c r="N411" s="97"/>
      <c r="O411" s="76"/>
      <c r="P411" s="76"/>
      <c r="Q411" s="76"/>
    </row>
    <row r="412" ht="15.75" customHeight="1">
      <c r="K412" s="21"/>
      <c r="L412" s="21"/>
      <c r="M412" s="21"/>
      <c r="N412" s="97"/>
      <c r="O412" s="76"/>
      <c r="P412" s="76"/>
      <c r="Q412" s="76"/>
    </row>
    <row r="413" ht="15.75" customHeight="1">
      <c r="K413" s="21"/>
      <c r="L413" s="21"/>
      <c r="M413" s="21"/>
      <c r="N413" s="97"/>
      <c r="O413" s="76"/>
      <c r="P413" s="76"/>
      <c r="Q413" s="76"/>
    </row>
    <row r="414" ht="15.75" customHeight="1">
      <c r="K414" s="21"/>
      <c r="L414" s="21"/>
      <c r="M414" s="21"/>
      <c r="N414" s="97"/>
      <c r="O414" s="76"/>
      <c r="P414" s="76"/>
      <c r="Q414" s="76"/>
    </row>
    <row r="415" ht="15.75" customHeight="1">
      <c r="K415" s="21"/>
      <c r="L415" s="21"/>
      <c r="M415" s="21"/>
      <c r="N415" s="97"/>
      <c r="O415" s="76"/>
      <c r="P415" s="76"/>
      <c r="Q415" s="76"/>
    </row>
    <row r="416" ht="15.75" customHeight="1">
      <c r="K416" s="21"/>
      <c r="L416" s="21"/>
      <c r="M416" s="21"/>
      <c r="N416" s="97"/>
      <c r="O416" s="76"/>
      <c r="P416" s="76"/>
      <c r="Q416" s="76"/>
    </row>
    <row r="417" ht="15.75" customHeight="1">
      <c r="K417" s="21"/>
      <c r="L417" s="21"/>
      <c r="M417" s="21"/>
      <c r="N417" s="97"/>
      <c r="O417" s="76"/>
      <c r="P417" s="76"/>
      <c r="Q417" s="76"/>
    </row>
    <row r="418" ht="15.75" customHeight="1">
      <c r="K418" s="21"/>
      <c r="L418" s="21"/>
      <c r="M418" s="21"/>
      <c r="N418" s="97"/>
      <c r="O418" s="76"/>
      <c r="P418" s="76"/>
      <c r="Q418" s="76"/>
    </row>
    <row r="419" ht="15.75" customHeight="1">
      <c r="K419" s="21"/>
      <c r="L419" s="21"/>
      <c r="M419" s="21"/>
      <c r="N419" s="97"/>
      <c r="O419" s="76"/>
      <c r="P419" s="76"/>
      <c r="Q419" s="76"/>
    </row>
    <row r="420" ht="15.75" customHeight="1">
      <c r="K420" s="21"/>
      <c r="L420" s="21"/>
      <c r="M420" s="21"/>
      <c r="N420" s="97"/>
      <c r="O420" s="76"/>
      <c r="P420" s="76"/>
      <c r="Q420" s="76"/>
    </row>
    <row r="421" ht="15.75" customHeight="1">
      <c r="K421" s="21"/>
      <c r="L421" s="21"/>
      <c r="M421" s="21"/>
      <c r="N421" s="97"/>
      <c r="O421" s="76"/>
      <c r="P421" s="76"/>
      <c r="Q421" s="76"/>
    </row>
    <row r="422" ht="15.75" customHeight="1">
      <c r="K422" s="21"/>
      <c r="L422" s="21"/>
      <c r="M422" s="21"/>
      <c r="N422" s="97"/>
      <c r="O422" s="76"/>
      <c r="P422" s="76"/>
      <c r="Q422" s="76"/>
    </row>
    <row r="423" ht="15.75" customHeight="1">
      <c r="K423" s="21"/>
      <c r="L423" s="21"/>
      <c r="M423" s="21"/>
      <c r="N423" s="97"/>
      <c r="O423" s="76"/>
      <c r="P423" s="76"/>
      <c r="Q423" s="76"/>
    </row>
    <row r="424" ht="15.75" customHeight="1">
      <c r="K424" s="21"/>
      <c r="L424" s="21"/>
      <c r="M424" s="21"/>
      <c r="N424" s="97"/>
      <c r="O424" s="76"/>
      <c r="P424" s="76"/>
      <c r="Q424" s="76"/>
    </row>
    <row r="425" ht="15.75" customHeight="1">
      <c r="K425" s="21"/>
      <c r="L425" s="21"/>
      <c r="M425" s="21"/>
      <c r="N425" s="97"/>
      <c r="O425" s="76"/>
      <c r="P425" s="76"/>
      <c r="Q425" s="76"/>
    </row>
    <row r="426" ht="15.75" customHeight="1">
      <c r="K426" s="21"/>
      <c r="L426" s="21"/>
      <c r="M426" s="21"/>
      <c r="N426" s="97"/>
      <c r="O426" s="76"/>
      <c r="P426" s="76"/>
      <c r="Q426" s="76"/>
    </row>
    <row r="427" ht="15.75" customHeight="1">
      <c r="K427" s="21"/>
      <c r="L427" s="21"/>
      <c r="M427" s="21"/>
      <c r="N427" s="97"/>
      <c r="O427" s="76"/>
      <c r="P427" s="76"/>
      <c r="Q427" s="76"/>
    </row>
    <row r="428" ht="15.75" customHeight="1">
      <c r="K428" s="21"/>
      <c r="L428" s="21"/>
      <c r="M428" s="21"/>
      <c r="N428" s="97"/>
      <c r="O428" s="76"/>
      <c r="P428" s="76"/>
      <c r="Q428" s="76"/>
    </row>
    <row r="429" ht="15.75" customHeight="1">
      <c r="K429" s="21"/>
      <c r="L429" s="21"/>
      <c r="M429" s="21"/>
      <c r="N429" s="97"/>
      <c r="O429" s="76"/>
      <c r="P429" s="76"/>
      <c r="Q429" s="76"/>
    </row>
    <row r="430" ht="15.75" customHeight="1">
      <c r="K430" s="21"/>
      <c r="L430" s="21"/>
      <c r="M430" s="21"/>
      <c r="N430" s="97"/>
      <c r="O430" s="76"/>
      <c r="P430" s="76"/>
      <c r="Q430" s="76"/>
    </row>
    <row r="431" ht="15.75" customHeight="1">
      <c r="K431" s="21"/>
      <c r="L431" s="21"/>
      <c r="M431" s="21"/>
      <c r="N431" s="97"/>
      <c r="O431" s="76"/>
      <c r="P431" s="76"/>
      <c r="Q431" s="76"/>
    </row>
    <row r="432" ht="15.75" customHeight="1">
      <c r="K432" s="21"/>
      <c r="L432" s="21"/>
      <c r="M432" s="21"/>
      <c r="N432" s="97"/>
      <c r="O432" s="76"/>
      <c r="P432" s="76"/>
      <c r="Q432" s="76"/>
    </row>
    <row r="433" ht="15.75" customHeight="1">
      <c r="K433" s="21"/>
      <c r="L433" s="21"/>
      <c r="M433" s="21"/>
      <c r="N433" s="97"/>
      <c r="O433" s="76"/>
      <c r="P433" s="76"/>
      <c r="Q433" s="76"/>
    </row>
    <row r="434" ht="15.75" customHeight="1">
      <c r="K434" s="21"/>
      <c r="L434" s="21"/>
      <c r="M434" s="21"/>
      <c r="N434" s="97"/>
      <c r="O434" s="76"/>
      <c r="P434" s="76"/>
      <c r="Q434" s="76"/>
    </row>
    <row r="435" ht="15.75" customHeight="1">
      <c r="K435" s="21"/>
      <c r="L435" s="21"/>
      <c r="M435" s="21"/>
      <c r="N435" s="97"/>
      <c r="O435" s="76"/>
      <c r="P435" s="76"/>
      <c r="Q435" s="76"/>
    </row>
    <row r="436" ht="15.75" customHeight="1">
      <c r="K436" s="21"/>
      <c r="L436" s="21"/>
      <c r="M436" s="21"/>
      <c r="N436" s="97"/>
      <c r="O436" s="76"/>
      <c r="P436" s="76"/>
      <c r="Q436" s="76"/>
    </row>
    <row r="437" ht="15.75" customHeight="1">
      <c r="K437" s="21"/>
      <c r="L437" s="21"/>
      <c r="M437" s="21"/>
      <c r="N437" s="97"/>
      <c r="O437" s="76"/>
      <c r="P437" s="76"/>
      <c r="Q437" s="76"/>
    </row>
    <row r="438" ht="15.75" customHeight="1">
      <c r="K438" s="21"/>
      <c r="L438" s="21"/>
      <c r="M438" s="21"/>
      <c r="N438" s="97"/>
      <c r="O438" s="76"/>
      <c r="P438" s="76"/>
      <c r="Q438" s="76"/>
    </row>
    <row r="439" ht="15.75" customHeight="1">
      <c r="K439" s="21"/>
      <c r="L439" s="21"/>
      <c r="M439" s="21"/>
      <c r="N439" s="97"/>
      <c r="O439" s="76"/>
      <c r="P439" s="76"/>
      <c r="Q439" s="76"/>
    </row>
    <row r="440" ht="15.75" customHeight="1">
      <c r="K440" s="21"/>
      <c r="L440" s="21"/>
      <c r="M440" s="21"/>
      <c r="N440" s="97"/>
      <c r="O440" s="76"/>
      <c r="P440" s="76"/>
      <c r="Q440" s="76"/>
    </row>
    <row r="441" ht="15.75" customHeight="1">
      <c r="K441" s="21"/>
      <c r="L441" s="21"/>
      <c r="M441" s="21"/>
      <c r="N441" s="97"/>
      <c r="O441" s="76"/>
      <c r="P441" s="76"/>
      <c r="Q441" s="76"/>
    </row>
    <row r="442" ht="15.75" customHeight="1">
      <c r="K442" s="21"/>
      <c r="L442" s="21"/>
      <c r="M442" s="21"/>
      <c r="N442" s="97"/>
      <c r="O442" s="76"/>
      <c r="P442" s="76"/>
      <c r="Q442" s="76"/>
    </row>
    <row r="443" ht="15.75" customHeight="1">
      <c r="K443" s="21"/>
      <c r="L443" s="21"/>
      <c r="M443" s="21"/>
      <c r="N443" s="97"/>
      <c r="O443" s="76"/>
      <c r="P443" s="76"/>
      <c r="Q443" s="76"/>
    </row>
    <row r="444" ht="15.75" customHeight="1">
      <c r="K444" s="21"/>
      <c r="L444" s="21"/>
      <c r="M444" s="21"/>
      <c r="N444" s="97"/>
      <c r="O444" s="76"/>
      <c r="P444" s="76"/>
      <c r="Q444" s="76"/>
    </row>
    <row r="445" ht="15.75" customHeight="1">
      <c r="K445" s="21"/>
      <c r="L445" s="21"/>
      <c r="M445" s="21"/>
      <c r="N445" s="97"/>
      <c r="O445" s="76"/>
      <c r="P445" s="76"/>
      <c r="Q445" s="76"/>
    </row>
    <row r="446" ht="15.75" customHeight="1">
      <c r="K446" s="21"/>
      <c r="L446" s="21"/>
      <c r="M446" s="21"/>
      <c r="N446" s="97"/>
      <c r="O446" s="76"/>
      <c r="P446" s="76"/>
      <c r="Q446" s="76"/>
    </row>
    <row r="447" ht="15.75" customHeight="1">
      <c r="K447" s="21"/>
      <c r="L447" s="21"/>
      <c r="M447" s="21"/>
      <c r="N447" s="97"/>
      <c r="O447" s="76"/>
      <c r="P447" s="76"/>
      <c r="Q447" s="76"/>
    </row>
    <row r="448" ht="15.75" customHeight="1">
      <c r="K448" s="21"/>
      <c r="L448" s="21"/>
      <c r="M448" s="21"/>
      <c r="N448" s="97"/>
      <c r="O448" s="76"/>
      <c r="P448" s="76"/>
      <c r="Q448" s="76"/>
    </row>
    <row r="449" ht="15.75" customHeight="1">
      <c r="K449" s="21"/>
      <c r="L449" s="21"/>
      <c r="M449" s="21"/>
      <c r="N449" s="97"/>
      <c r="O449" s="76"/>
      <c r="P449" s="76"/>
      <c r="Q449" s="76"/>
    </row>
    <row r="450" ht="15.75" customHeight="1">
      <c r="K450" s="21"/>
      <c r="L450" s="21"/>
      <c r="M450" s="21"/>
      <c r="N450" s="97"/>
      <c r="O450" s="76"/>
      <c r="P450" s="76"/>
      <c r="Q450" s="76"/>
    </row>
    <row r="451" ht="15.75" customHeight="1">
      <c r="K451" s="21"/>
      <c r="L451" s="21"/>
      <c r="M451" s="21"/>
      <c r="N451" s="97"/>
      <c r="O451" s="76"/>
      <c r="P451" s="76"/>
      <c r="Q451" s="76"/>
    </row>
    <row r="452" ht="15.75" customHeight="1">
      <c r="K452" s="21"/>
      <c r="L452" s="21"/>
      <c r="M452" s="21"/>
      <c r="N452" s="97"/>
      <c r="O452" s="76"/>
      <c r="P452" s="76"/>
      <c r="Q452" s="76"/>
    </row>
    <row r="453" ht="15.75" customHeight="1">
      <c r="K453" s="21"/>
      <c r="L453" s="21"/>
      <c r="M453" s="21"/>
      <c r="N453" s="97"/>
      <c r="O453" s="76"/>
      <c r="P453" s="76"/>
      <c r="Q453" s="76"/>
    </row>
    <row r="454" ht="15.75" customHeight="1">
      <c r="K454" s="21"/>
      <c r="L454" s="21"/>
      <c r="M454" s="21"/>
      <c r="N454" s="97"/>
      <c r="O454" s="76"/>
      <c r="P454" s="76"/>
      <c r="Q454" s="76"/>
    </row>
    <row r="455" ht="15.75" customHeight="1">
      <c r="K455" s="21"/>
      <c r="L455" s="21"/>
      <c r="M455" s="21"/>
      <c r="N455" s="97"/>
      <c r="O455" s="76"/>
      <c r="P455" s="76"/>
      <c r="Q455" s="76"/>
    </row>
    <row r="456" ht="15.75" customHeight="1">
      <c r="K456" s="21"/>
      <c r="L456" s="21"/>
      <c r="M456" s="21"/>
      <c r="N456" s="97"/>
      <c r="O456" s="76"/>
      <c r="P456" s="76"/>
      <c r="Q456" s="76"/>
    </row>
    <row r="457" ht="15.75" customHeight="1">
      <c r="K457" s="21"/>
      <c r="L457" s="21"/>
      <c r="M457" s="21"/>
      <c r="N457" s="97"/>
      <c r="O457" s="76"/>
      <c r="P457" s="76"/>
      <c r="Q457" s="76"/>
    </row>
    <row r="458" ht="15.75" customHeight="1">
      <c r="K458" s="21"/>
      <c r="L458" s="21"/>
      <c r="M458" s="21"/>
      <c r="N458" s="97"/>
      <c r="O458" s="76"/>
      <c r="P458" s="76"/>
      <c r="Q458" s="76"/>
    </row>
    <row r="459" ht="15.75" customHeight="1">
      <c r="K459" s="21"/>
      <c r="L459" s="21"/>
      <c r="M459" s="21"/>
      <c r="N459" s="97"/>
      <c r="O459" s="76"/>
      <c r="P459" s="76"/>
      <c r="Q459" s="76"/>
    </row>
    <row r="460" ht="15.75" customHeight="1">
      <c r="K460" s="21"/>
      <c r="L460" s="21"/>
      <c r="M460" s="21"/>
      <c r="N460" s="97"/>
      <c r="O460" s="76"/>
      <c r="P460" s="76"/>
      <c r="Q460" s="76"/>
    </row>
    <row r="461" ht="15.75" customHeight="1">
      <c r="K461" s="21"/>
      <c r="L461" s="21"/>
      <c r="M461" s="21"/>
      <c r="N461" s="97"/>
      <c r="O461" s="76"/>
      <c r="P461" s="76"/>
      <c r="Q461" s="76"/>
    </row>
    <row r="462" ht="15.75" customHeight="1">
      <c r="K462" s="21"/>
      <c r="L462" s="21"/>
      <c r="M462" s="21"/>
      <c r="N462" s="97"/>
      <c r="O462" s="76"/>
      <c r="P462" s="76"/>
      <c r="Q462" s="76"/>
    </row>
    <row r="463" ht="15.75" customHeight="1">
      <c r="K463" s="21"/>
      <c r="L463" s="21"/>
      <c r="M463" s="21"/>
      <c r="N463" s="97"/>
      <c r="O463" s="76"/>
      <c r="P463" s="76"/>
      <c r="Q463" s="76"/>
    </row>
    <row r="464" ht="15.75" customHeight="1">
      <c r="K464" s="21"/>
      <c r="L464" s="21"/>
      <c r="M464" s="21"/>
      <c r="N464" s="97"/>
      <c r="O464" s="76"/>
      <c r="P464" s="76"/>
      <c r="Q464" s="76"/>
    </row>
    <row r="465" ht="15.75" customHeight="1">
      <c r="K465" s="21"/>
      <c r="L465" s="21"/>
      <c r="M465" s="21"/>
      <c r="N465" s="97"/>
      <c r="O465" s="76"/>
      <c r="P465" s="76"/>
      <c r="Q465" s="76"/>
    </row>
    <row r="466" ht="15.75" customHeight="1">
      <c r="K466" s="21"/>
      <c r="L466" s="21"/>
      <c r="M466" s="21"/>
      <c r="N466" s="97"/>
      <c r="O466" s="76"/>
      <c r="P466" s="76"/>
      <c r="Q466" s="76"/>
    </row>
    <row r="467" ht="15.75" customHeight="1">
      <c r="K467" s="21"/>
      <c r="L467" s="21"/>
      <c r="M467" s="21"/>
      <c r="N467" s="97"/>
      <c r="O467" s="76"/>
      <c r="P467" s="76"/>
      <c r="Q467" s="76"/>
    </row>
    <row r="468" ht="15.75" customHeight="1">
      <c r="K468" s="21"/>
      <c r="L468" s="21"/>
      <c r="M468" s="21"/>
      <c r="N468" s="97"/>
      <c r="O468" s="76"/>
      <c r="P468" s="76"/>
      <c r="Q468" s="76"/>
    </row>
    <row r="469" ht="15.75" customHeight="1">
      <c r="K469" s="21"/>
      <c r="L469" s="21"/>
      <c r="M469" s="21"/>
      <c r="N469" s="97"/>
      <c r="O469" s="76"/>
      <c r="P469" s="76"/>
      <c r="Q469" s="76"/>
    </row>
    <row r="470" ht="15.75" customHeight="1">
      <c r="K470" s="21"/>
      <c r="L470" s="21"/>
      <c r="M470" s="21"/>
      <c r="N470" s="97"/>
      <c r="O470" s="76"/>
      <c r="P470" s="76"/>
      <c r="Q470" s="76"/>
    </row>
    <row r="471" ht="15.75" customHeight="1">
      <c r="K471" s="21"/>
      <c r="L471" s="21"/>
      <c r="M471" s="21"/>
      <c r="N471" s="97"/>
      <c r="O471" s="76"/>
      <c r="P471" s="76"/>
      <c r="Q471" s="76"/>
    </row>
    <row r="472" ht="15.75" customHeight="1">
      <c r="K472" s="21"/>
      <c r="L472" s="21"/>
      <c r="M472" s="21"/>
      <c r="N472" s="97"/>
      <c r="O472" s="76"/>
      <c r="P472" s="76"/>
      <c r="Q472" s="76"/>
    </row>
    <row r="473" ht="15.75" customHeight="1">
      <c r="K473" s="21"/>
      <c r="L473" s="21"/>
      <c r="M473" s="21"/>
      <c r="N473" s="97"/>
      <c r="O473" s="76"/>
      <c r="P473" s="76"/>
      <c r="Q473" s="76"/>
    </row>
    <row r="474" ht="15.75" customHeight="1">
      <c r="K474" s="21"/>
      <c r="L474" s="21"/>
      <c r="M474" s="21"/>
      <c r="N474" s="97"/>
      <c r="O474" s="76"/>
      <c r="P474" s="76"/>
      <c r="Q474" s="76"/>
    </row>
    <row r="475" ht="15.75" customHeight="1">
      <c r="K475" s="21"/>
      <c r="L475" s="21"/>
      <c r="M475" s="21"/>
      <c r="N475" s="97"/>
      <c r="O475" s="76"/>
      <c r="P475" s="76"/>
      <c r="Q475" s="76"/>
    </row>
    <row r="476" ht="15.75" customHeight="1">
      <c r="K476" s="21"/>
      <c r="L476" s="21"/>
      <c r="M476" s="21"/>
      <c r="N476" s="97"/>
      <c r="O476" s="76"/>
      <c r="P476" s="76"/>
      <c r="Q476" s="76"/>
    </row>
    <row r="477" ht="15.75" customHeight="1">
      <c r="K477" s="21"/>
      <c r="L477" s="21"/>
      <c r="M477" s="21"/>
      <c r="N477" s="97"/>
      <c r="O477" s="76"/>
      <c r="P477" s="76"/>
      <c r="Q477" s="76"/>
    </row>
    <row r="478" ht="15.75" customHeight="1">
      <c r="K478" s="21"/>
      <c r="L478" s="21"/>
      <c r="M478" s="21"/>
      <c r="N478" s="97"/>
      <c r="O478" s="76"/>
      <c r="P478" s="76"/>
      <c r="Q478" s="76"/>
    </row>
    <row r="479" ht="15.75" customHeight="1">
      <c r="K479" s="21"/>
      <c r="L479" s="21"/>
      <c r="M479" s="21"/>
      <c r="N479" s="97"/>
      <c r="O479" s="76"/>
      <c r="P479" s="76"/>
      <c r="Q479" s="76"/>
    </row>
    <row r="480" ht="15.75" customHeight="1">
      <c r="K480" s="21"/>
      <c r="L480" s="21"/>
      <c r="M480" s="21"/>
      <c r="N480" s="97"/>
      <c r="O480" s="76"/>
      <c r="P480" s="76"/>
      <c r="Q480" s="76"/>
    </row>
    <row r="481" ht="15.75" customHeight="1">
      <c r="K481" s="21"/>
      <c r="L481" s="21"/>
      <c r="M481" s="21"/>
      <c r="N481" s="97"/>
      <c r="O481" s="76"/>
      <c r="P481" s="76"/>
      <c r="Q481" s="76"/>
    </row>
    <row r="482" ht="15.75" customHeight="1">
      <c r="K482" s="21"/>
      <c r="L482" s="21"/>
      <c r="M482" s="21"/>
      <c r="N482" s="97"/>
      <c r="O482" s="76"/>
      <c r="P482" s="76"/>
      <c r="Q482" s="76"/>
    </row>
    <row r="483" ht="15.75" customHeight="1">
      <c r="K483" s="21"/>
      <c r="L483" s="21"/>
      <c r="M483" s="21"/>
      <c r="N483" s="97"/>
      <c r="O483" s="76"/>
      <c r="P483" s="76"/>
      <c r="Q483" s="76"/>
    </row>
    <row r="484" ht="15.75" customHeight="1">
      <c r="K484" s="21"/>
      <c r="L484" s="21"/>
      <c r="M484" s="21"/>
      <c r="N484" s="97"/>
      <c r="O484" s="76"/>
      <c r="P484" s="76"/>
      <c r="Q484" s="76"/>
    </row>
    <row r="485" ht="15.75" customHeight="1">
      <c r="K485" s="21"/>
      <c r="L485" s="21"/>
      <c r="M485" s="21"/>
      <c r="N485" s="97"/>
      <c r="O485" s="76"/>
      <c r="P485" s="76"/>
      <c r="Q485" s="76"/>
    </row>
    <row r="486" ht="15.75" customHeight="1">
      <c r="K486" s="21"/>
      <c r="L486" s="21"/>
      <c r="M486" s="21"/>
      <c r="N486" s="97"/>
      <c r="O486" s="76"/>
      <c r="P486" s="76"/>
      <c r="Q486" s="76"/>
    </row>
    <row r="487" ht="15.75" customHeight="1">
      <c r="K487" s="21"/>
      <c r="L487" s="21"/>
      <c r="M487" s="21"/>
      <c r="N487" s="97"/>
      <c r="O487" s="76"/>
      <c r="P487" s="76"/>
      <c r="Q487" s="76"/>
    </row>
    <row r="488" ht="15.75" customHeight="1">
      <c r="K488" s="21"/>
      <c r="L488" s="21"/>
      <c r="M488" s="21"/>
      <c r="N488" s="97"/>
      <c r="O488" s="76"/>
      <c r="P488" s="76"/>
      <c r="Q488" s="76"/>
    </row>
    <row r="489" ht="15.75" customHeight="1">
      <c r="K489" s="21"/>
      <c r="L489" s="21"/>
      <c r="M489" s="21"/>
      <c r="N489" s="97"/>
      <c r="O489" s="76"/>
      <c r="P489" s="76"/>
      <c r="Q489" s="76"/>
    </row>
    <row r="490" ht="15.75" customHeight="1">
      <c r="K490" s="21"/>
      <c r="L490" s="21"/>
      <c r="M490" s="21"/>
      <c r="N490" s="97"/>
      <c r="O490" s="76"/>
      <c r="P490" s="76"/>
      <c r="Q490" s="76"/>
    </row>
    <row r="491" ht="15.75" customHeight="1">
      <c r="K491" s="21"/>
      <c r="L491" s="21"/>
      <c r="M491" s="21"/>
      <c r="N491" s="97"/>
      <c r="O491" s="76"/>
      <c r="P491" s="76"/>
      <c r="Q491" s="76"/>
    </row>
    <row r="492" ht="15.75" customHeight="1">
      <c r="K492" s="21"/>
      <c r="L492" s="21"/>
      <c r="M492" s="21"/>
      <c r="N492" s="97"/>
      <c r="O492" s="76"/>
      <c r="P492" s="76"/>
      <c r="Q492" s="76"/>
    </row>
    <row r="493" ht="15.75" customHeight="1">
      <c r="K493" s="21"/>
      <c r="L493" s="21"/>
      <c r="M493" s="21"/>
      <c r="N493" s="97"/>
      <c r="O493" s="76"/>
      <c r="P493" s="76"/>
      <c r="Q493" s="76"/>
    </row>
    <row r="494" ht="15.75" customHeight="1">
      <c r="K494" s="21"/>
      <c r="L494" s="21"/>
      <c r="M494" s="21"/>
      <c r="N494" s="97"/>
      <c r="O494" s="76"/>
      <c r="P494" s="76"/>
      <c r="Q494" s="76"/>
    </row>
    <row r="495" ht="15.75" customHeight="1">
      <c r="K495" s="21"/>
      <c r="L495" s="21"/>
      <c r="M495" s="21"/>
      <c r="N495" s="97"/>
      <c r="O495" s="76"/>
      <c r="P495" s="76"/>
      <c r="Q495" s="76"/>
    </row>
    <row r="496" ht="15.75" customHeight="1">
      <c r="K496" s="21"/>
      <c r="L496" s="21"/>
      <c r="M496" s="21"/>
      <c r="N496" s="97"/>
      <c r="O496" s="76"/>
      <c r="P496" s="76"/>
      <c r="Q496" s="76"/>
    </row>
    <row r="497" ht="15.75" customHeight="1">
      <c r="K497" s="21"/>
      <c r="L497" s="21"/>
      <c r="M497" s="21"/>
      <c r="N497" s="97"/>
      <c r="O497" s="76"/>
      <c r="P497" s="76"/>
      <c r="Q497" s="76"/>
    </row>
    <row r="498" ht="15.75" customHeight="1">
      <c r="K498" s="21"/>
      <c r="L498" s="21"/>
      <c r="M498" s="21"/>
      <c r="N498" s="97"/>
      <c r="O498" s="76"/>
      <c r="P498" s="76"/>
      <c r="Q498" s="76"/>
    </row>
    <row r="499" ht="15.75" customHeight="1">
      <c r="K499" s="21"/>
      <c r="L499" s="21"/>
      <c r="M499" s="21"/>
      <c r="N499" s="97"/>
      <c r="O499" s="76"/>
      <c r="P499" s="76"/>
      <c r="Q499" s="76"/>
    </row>
    <row r="500" ht="15.75" customHeight="1">
      <c r="K500" s="21"/>
      <c r="L500" s="21"/>
      <c r="M500" s="21"/>
      <c r="N500" s="97"/>
      <c r="O500" s="76"/>
      <c r="P500" s="76"/>
      <c r="Q500" s="76"/>
    </row>
    <row r="501" ht="15.75" customHeight="1">
      <c r="K501" s="21"/>
      <c r="L501" s="21"/>
      <c r="M501" s="21"/>
      <c r="N501" s="97"/>
      <c r="O501" s="76"/>
      <c r="P501" s="76"/>
      <c r="Q501" s="76"/>
    </row>
    <row r="502" ht="15.75" customHeight="1">
      <c r="K502" s="21"/>
      <c r="L502" s="21"/>
      <c r="M502" s="21"/>
      <c r="N502" s="97"/>
      <c r="O502" s="76"/>
      <c r="P502" s="76"/>
      <c r="Q502" s="76"/>
    </row>
    <row r="503" ht="15.75" customHeight="1">
      <c r="K503" s="21"/>
      <c r="L503" s="21"/>
      <c r="M503" s="21"/>
      <c r="N503" s="97"/>
      <c r="O503" s="76"/>
      <c r="P503" s="76"/>
      <c r="Q503" s="76"/>
    </row>
    <row r="504" ht="15.75" customHeight="1">
      <c r="K504" s="21"/>
      <c r="L504" s="21"/>
      <c r="M504" s="21"/>
      <c r="N504" s="97"/>
      <c r="O504" s="76"/>
      <c r="P504" s="76"/>
      <c r="Q504" s="76"/>
    </row>
    <row r="505" ht="15.75" customHeight="1">
      <c r="K505" s="21"/>
      <c r="L505" s="21"/>
      <c r="M505" s="21"/>
      <c r="N505" s="97"/>
      <c r="O505" s="76"/>
      <c r="P505" s="76"/>
      <c r="Q505" s="76"/>
    </row>
    <row r="506" ht="15.75" customHeight="1">
      <c r="K506" s="21"/>
      <c r="L506" s="21"/>
      <c r="M506" s="21"/>
      <c r="N506" s="97"/>
      <c r="O506" s="76"/>
      <c r="P506" s="76"/>
      <c r="Q506" s="76"/>
    </row>
    <row r="507" ht="15.75" customHeight="1">
      <c r="K507" s="21"/>
      <c r="L507" s="21"/>
      <c r="M507" s="21"/>
      <c r="N507" s="97"/>
      <c r="O507" s="76"/>
      <c r="P507" s="76"/>
      <c r="Q507" s="76"/>
    </row>
    <row r="508" ht="15.75" customHeight="1">
      <c r="K508" s="21"/>
      <c r="L508" s="21"/>
      <c r="M508" s="21"/>
      <c r="N508" s="97"/>
      <c r="O508" s="76"/>
      <c r="P508" s="76"/>
      <c r="Q508" s="76"/>
    </row>
    <row r="509" ht="15.75" customHeight="1">
      <c r="K509" s="21"/>
      <c r="L509" s="21"/>
      <c r="M509" s="21"/>
      <c r="N509" s="97"/>
      <c r="O509" s="76"/>
      <c r="P509" s="76"/>
      <c r="Q509" s="76"/>
    </row>
    <row r="510" ht="15.75" customHeight="1">
      <c r="K510" s="21"/>
      <c r="L510" s="21"/>
      <c r="M510" s="21"/>
      <c r="N510" s="97"/>
      <c r="O510" s="76"/>
      <c r="P510" s="76"/>
      <c r="Q510" s="76"/>
    </row>
    <row r="511" ht="15.75" customHeight="1">
      <c r="K511" s="21"/>
      <c r="L511" s="21"/>
      <c r="M511" s="21"/>
      <c r="N511" s="97"/>
      <c r="O511" s="76"/>
      <c r="P511" s="76"/>
      <c r="Q511" s="76"/>
    </row>
    <row r="512" ht="15.75" customHeight="1">
      <c r="K512" s="21"/>
      <c r="L512" s="21"/>
      <c r="M512" s="21"/>
      <c r="N512" s="97"/>
      <c r="O512" s="76"/>
      <c r="P512" s="76"/>
      <c r="Q512" s="76"/>
    </row>
    <row r="513" ht="15.75" customHeight="1">
      <c r="K513" s="21"/>
      <c r="L513" s="21"/>
      <c r="M513" s="21"/>
      <c r="N513" s="97"/>
      <c r="O513" s="76"/>
      <c r="P513" s="76"/>
      <c r="Q513" s="76"/>
    </row>
    <row r="514" ht="15.75" customHeight="1">
      <c r="K514" s="21"/>
      <c r="L514" s="21"/>
      <c r="M514" s="21"/>
      <c r="N514" s="97"/>
      <c r="O514" s="76"/>
      <c r="P514" s="76"/>
      <c r="Q514" s="76"/>
    </row>
    <row r="515" ht="15.75" customHeight="1">
      <c r="K515" s="21"/>
      <c r="L515" s="21"/>
      <c r="M515" s="21"/>
      <c r="N515" s="97"/>
      <c r="O515" s="76"/>
      <c r="P515" s="76"/>
      <c r="Q515" s="76"/>
    </row>
    <row r="516" ht="15.75" customHeight="1">
      <c r="K516" s="21"/>
      <c r="L516" s="21"/>
      <c r="M516" s="21"/>
      <c r="N516" s="97"/>
      <c r="O516" s="76"/>
      <c r="P516" s="76"/>
      <c r="Q516" s="76"/>
    </row>
    <row r="517" ht="15.75" customHeight="1">
      <c r="K517" s="21"/>
      <c r="L517" s="21"/>
      <c r="M517" s="21"/>
      <c r="N517" s="97"/>
      <c r="O517" s="76"/>
      <c r="P517" s="76"/>
      <c r="Q517" s="76"/>
    </row>
    <row r="518" ht="15.75" customHeight="1">
      <c r="K518" s="21"/>
      <c r="L518" s="21"/>
      <c r="M518" s="21"/>
      <c r="N518" s="97"/>
      <c r="O518" s="76"/>
      <c r="P518" s="76"/>
      <c r="Q518" s="76"/>
    </row>
    <row r="519" ht="15.75" customHeight="1">
      <c r="K519" s="21"/>
      <c r="L519" s="21"/>
      <c r="M519" s="21"/>
      <c r="N519" s="97"/>
      <c r="O519" s="76"/>
      <c r="P519" s="76"/>
      <c r="Q519" s="76"/>
    </row>
    <row r="520" ht="15.75" customHeight="1">
      <c r="K520" s="21"/>
      <c r="L520" s="21"/>
      <c r="M520" s="21"/>
      <c r="N520" s="97"/>
      <c r="O520" s="76"/>
      <c r="P520" s="76"/>
      <c r="Q520" s="76"/>
    </row>
    <row r="521" ht="15.75" customHeight="1">
      <c r="K521" s="21"/>
      <c r="L521" s="21"/>
      <c r="M521" s="21"/>
      <c r="N521" s="97"/>
      <c r="O521" s="76"/>
      <c r="P521" s="76"/>
      <c r="Q521" s="76"/>
    </row>
    <row r="522" ht="15.75" customHeight="1">
      <c r="K522" s="21"/>
      <c r="L522" s="21"/>
      <c r="M522" s="21"/>
      <c r="N522" s="97"/>
      <c r="O522" s="76"/>
      <c r="P522" s="76"/>
      <c r="Q522" s="76"/>
    </row>
    <row r="523" ht="15.75" customHeight="1">
      <c r="K523" s="21"/>
      <c r="L523" s="21"/>
      <c r="M523" s="21"/>
      <c r="N523" s="97"/>
      <c r="O523" s="76"/>
      <c r="P523" s="76"/>
      <c r="Q523" s="76"/>
    </row>
    <row r="524" ht="15.75" customHeight="1">
      <c r="K524" s="21"/>
      <c r="L524" s="21"/>
      <c r="M524" s="21"/>
      <c r="N524" s="97"/>
      <c r="O524" s="76"/>
      <c r="P524" s="76"/>
      <c r="Q524" s="76"/>
    </row>
    <row r="525" ht="15.75" customHeight="1">
      <c r="K525" s="21"/>
      <c r="L525" s="21"/>
      <c r="M525" s="21"/>
      <c r="N525" s="97"/>
      <c r="O525" s="76"/>
      <c r="P525" s="76"/>
      <c r="Q525" s="76"/>
    </row>
    <row r="526" ht="15.75" customHeight="1">
      <c r="K526" s="21"/>
      <c r="L526" s="21"/>
      <c r="M526" s="21"/>
      <c r="N526" s="97"/>
      <c r="O526" s="76"/>
      <c r="P526" s="76"/>
      <c r="Q526" s="76"/>
    </row>
    <row r="527" ht="15.75" customHeight="1">
      <c r="K527" s="21"/>
      <c r="L527" s="21"/>
      <c r="M527" s="21"/>
      <c r="N527" s="97"/>
      <c r="O527" s="76"/>
      <c r="P527" s="76"/>
      <c r="Q527" s="76"/>
    </row>
    <row r="528" ht="15.75" customHeight="1">
      <c r="K528" s="21"/>
      <c r="L528" s="21"/>
      <c r="M528" s="21"/>
      <c r="N528" s="97"/>
      <c r="O528" s="76"/>
      <c r="P528" s="76"/>
      <c r="Q528" s="76"/>
    </row>
    <row r="529" ht="15.75" customHeight="1">
      <c r="K529" s="21"/>
      <c r="L529" s="21"/>
      <c r="M529" s="21"/>
      <c r="N529" s="97"/>
      <c r="O529" s="76"/>
      <c r="P529" s="76"/>
      <c r="Q529" s="76"/>
    </row>
    <row r="530" ht="15.75" customHeight="1">
      <c r="K530" s="21"/>
      <c r="L530" s="21"/>
      <c r="M530" s="21"/>
      <c r="N530" s="97"/>
      <c r="O530" s="76"/>
      <c r="P530" s="76"/>
      <c r="Q530" s="76"/>
    </row>
    <row r="531" ht="15.75" customHeight="1">
      <c r="K531" s="21"/>
      <c r="L531" s="21"/>
      <c r="M531" s="21"/>
      <c r="N531" s="97"/>
      <c r="O531" s="76"/>
      <c r="P531" s="76"/>
      <c r="Q531" s="76"/>
    </row>
    <row r="532" ht="15.75" customHeight="1">
      <c r="K532" s="21"/>
      <c r="L532" s="21"/>
      <c r="M532" s="21"/>
      <c r="N532" s="97"/>
      <c r="O532" s="76"/>
      <c r="P532" s="76"/>
      <c r="Q532" s="76"/>
    </row>
    <row r="533" ht="15.75" customHeight="1">
      <c r="K533" s="21"/>
      <c r="L533" s="21"/>
      <c r="M533" s="21"/>
      <c r="N533" s="97"/>
      <c r="O533" s="76"/>
      <c r="P533" s="76"/>
      <c r="Q533" s="76"/>
    </row>
    <row r="534" ht="15.75" customHeight="1">
      <c r="K534" s="21"/>
      <c r="L534" s="21"/>
      <c r="M534" s="21"/>
      <c r="N534" s="97"/>
      <c r="O534" s="76"/>
      <c r="P534" s="76"/>
      <c r="Q534" s="76"/>
    </row>
    <row r="535" ht="15.75" customHeight="1">
      <c r="K535" s="21"/>
      <c r="L535" s="21"/>
      <c r="M535" s="21"/>
      <c r="N535" s="97"/>
      <c r="O535" s="76"/>
      <c r="P535" s="76"/>
      <c r="Q535" s="76"/>
    </row>
    <row r="536" ht="15.75" customHeight="1">
      <c r="K536" s="21"/>
      <c r="L536" s="21"/>
      <c r="M536" s="21"/>
      <c r="N536" s="97"/>
      <c r="O536" s="76"/>
      <c r="P536" s="76"/>
      <c r="Q536" s="76"/>
    </row>
    <row r="537" ht="15.75" customHeight="1">
      <c r="K537" s="21"/>
      <c r="L537" s="21"/>
      <c r="M537" s="21"/>
      <c r="N537" s="97"/>
      <c r="O537" s="76"/>
      <c r="P537" s="76"/>
      <c r="Q537" s="76"/>
    </row>
    <row r="538" ht="15.75" customHeight="1">
      <c r="K538" s="21"/>
      <c r="L538" s="21"/>
      <c r="M538" s="21"/>
      <c r="N538" s="97"/>
      <c r="O538" s="76"/>
      <c r="P538" s="76"/>
      <c r="Q538" s="76"/>
    </row>
    <row r="539" ht="15.75" customHeight="1">
      <c r="K539" s="21"/>
      <c r="L539" s="21"/>
      <c r="M539" s="21"/>
      <c r="N539" s="97"/>
      <c r="O539" s="76"/>
      <c r="P539" s="76"/>
      <c r="Q539" s="76"/>
    </row>
    <row r="540" ht="15.75" customHeight="1">
      <c r="K540" s="21"/>
      <c r="L540" s="21"/>
      <c r="M540" s="21"/>
      <c r="N540" s="97"/>
      <c r="O540" s="76"/>
      <c r="P540" s="76"/>
      <c r="Q540" s="76"/>
    </row>
    <row r="541" ht="15.75" customHeight="1">
      <c r="K541" s="21"/>
      <c r="L541" s="21"/>
      <c r="M541" s="21"/>
      <c r="N541" s="97"/>
      <c r="O541" s="76"/>
      <c r="P541" s="76"/>
      <c r="Q541" s="76"/>
    </row>
    <row r="542" ht="15.75" customHeight="1">
      <c r="K542" s="21"/>
      <c r="L542" s="21"/>
      <c r="M542" s="21"/>
      <c r="N542" s="97"/>
      <c r="O542" s="76"/>
      <c r="P542" s="76"/>
      <c r="Q542" s="76"/>
    </row>
    <row r="543" ht="15.75" customHeight="1">
      <c r="K543" s="21"/>
      <c r="L543" s="21"/>
      <c r="M543" s="21"/>
      <c r="N543" s="97"/>
      <c r="O543" s="76"/>
      <c r="P543" s="76"/>
      <c r="Q543" s="76"/>
    </row>
    <row r="544" ht="15.75" customHeight="1">
      <c r="K544" s="21"/>
      <c r="L544" s="21"/>
      <c r="M544" s="21"/>
      <c r="N544" s="97"/>
      <c r="O544" s="76"/>
      <c r="P544" s="76"/>
      <c r="Q544" s="76"/>
    </row>
    <row r="545" ht="15.75" customHeight="1">
      <c r="K545" s="21"/>
      <c r="L545" s="21"/>
      <c r="M545" s="21"/>
      <c r="N545" s="97"/>
      <c r="O545" s="76"/>
      <c r="P545" s="76"/>
      <c r="Q545" s="76"/>
    </row>
    <row r="546" ht="15.75" customHeight="1">
      <c r="K546" s="21"/>
      <c r="L546" s="21"/>
      <c r="M546" s="21"/>
      <c r="N546" s="97"/>
      <c r="O546" s="76"/>
      <c r="P546" s="76"/>
      <c r="Q546" s="76"/>
    </row>
    <row r="547" ht="15.75" customHeight="1">
      <c r="K547" s="21"/>
      <c r="L547" s="21"/>
      <c r="M547" s="21"/>
      <c r="N547" s="97"/>
      <c r="O547" s="76"/>
      <c r="P547" s="76"/>
      <c r="Q547" s="76"/>
    </row>
    <row r="548" ht="15.75" customHeight="1">
      <c r="K548" s="21"/>
      <c r="L548" s="21"/>
      <c r="M548" s="21"/>
      <c r="N548" s="97"/>
      <c r="O548" s="76"/>
      <c r="P548" s="76"/>
      <c r="Q548" s="76"/>
    </row>
    <row r="549" ht="15.75" customHeight="1">
      <c r="K549" s="21"/>
      <c r="L549" s="21"/>
      <c r="M549" s="21"/>
      <c r="N549" s="97"/>
      <c r="O549" s="76"/>
      <c r="P549" s="76"/>
      <c r="Q549" s="76"/>
    </row>
    <row r="550" ht="15.75" customHeight="1">
      <c r="K550" s="21"/>
      <c r="L550" s="21"/>
      <c r="M550" s="21"/>
      <c r="N550" s="97"/>
      <c r="O550" s="76"/>
      <c r="P550" s="76"/>
      <c r="Q550" s="76"/>
    </row>
    <row r="551" ht="15.75" customHeight="1">
      <c r="K551" s="21"/>
      <c r="L551" s="21"/>
      <c r="M551" s="21"/>
      <c r="N551" s="97"/>
      <c r="O551" s="76"/>
      <c r="P551" s="76"/>
      <c r="Q551" s="76"/>
    </row>
    <row r="552" ht="15.75" customHeight="1">
      <c r="K552" s="21"/>
      <c r="L552" s="21"/>
      <c r="M552" s="21"/>
      <c r="N552" s="97"/>
      <c r="O552" s="76"/>
      <c r="P552" s="76"/>
      <c r="Q552" s="76"/>
    </row>
    <row r="553" ht="15.75" customHeight="1">
      <c r="K553" s="21"/>
      <c r="L553" s="21"/>
      <c r="M553" s="21"/>
      <c r="N553" s="97"/>
      <c r="O553" s="76"/>
      <c r="P553" s="76"/>
      <c r="Q553" s="76"/>
    </row>
    <row r="554" ht="15.75" customHeight="1">
      <c r="K554" s="21"/>
      <c r="L554" s="21"/>
      <c r="M554" s="21"/>
      <c r="N554" s="97"/>
      <c r="O554" s="76"/>
      <c r="P554" s="76"/>
      <c r="Q554" s="76"/>
    </row>
    <row r="555" ht="15.75" customHeight="1">
      <c r="K555" s="21"/>
      <c r="L555" s="21"/>
      <c r="M555" s="21"/>
      <c r="N555" s="97"/>
      <c r="O555" s="76"/>
      <c r="P555" s="76"/>
      <c r="Q555" s="76"/>
    </row>
    <row r="556" ht="15.75" customHeight="1">
      <c r="K556" s="21"/>
      <c r="L556" s="21"/>
      <c r="M556" s="21"/>
      <c r="N556" s="97"/>
      <c r="O556" s="76"/>
      <c r="P556" s="76"/>
      <c r="Q556" s="76"/>
    </row>
    <row r="557" ht="15.75" customHeight="1">
      <c r="K557" s="21"/>
      <c r="L557" s="21"/>
      <c r="M557" s="21"/>
      <c r="N557" s="97"/>
      <c r="O557" s="76"/>
      <c r="P557" s="76"/>
      <c r="Q557" s="76"/>
    </row>
    <row r="558" ht="15.75" customHeight="1">
      <c r="K558" s="21"/>
      <c r="L558" s="21"/>
      <c r="M558" s="21"/>
      <c r="N558" s="97"/>
      <c r="O558" s="76"/>
      <c r="P558" s="76"/>
      <c r="Q558" s="76"/>
    </row>
    <row r="559" ht="15.75" customHeight="1">
      <c r="K559" s="21"/>
      <c r="L559" s="21"/>
      <c r="M559" s="21"/>
      <c r="N559" s="97"/>
      <c r="O559" s="76"/>
      <c r="P559" s="76"/>
      <c r="Q559" s="76"/>
    </row>
    <row r="560" ht="15.75" customHeight="1">
      <c r="K560" s="21"/>
      <c r="L560" s="21"/>
      <c r="M560" s="21"/>
      <c r="N560" s="97"/>
      <c r="O560" s="76"/>
      <c r="P560" s="76"/>
      <c r="Q560" s="76"/>
    </row>
    <row r="561" ht="15.75" customHeight="1">
      <c r="K561" s="21"/>
      <c r="L561" s="21"/>
      <c r="M561" s="21"/>
      <c r="N561" s="97"/>
      <c r="O561" s="76"/>
      <c r="P561" s="76"/>
      <c r="Q561" s="76"/>
    </row>
    <row r="562" ht="15.75" customHeight="1">
      <c r="K562" s="21"/>
      <c r="L562" s="21"/>
      <c r="M562" s="21"/>
      <c r="N562" s="97"/>
      <c r="O562" s="76"/>
      <c r="P562" s="76"/>
      <c r="Q562" s="76"/>
    </row>
    <row r="563" ht="15.75" customHeight="1">
      <c r="K563" s="21"/>
      <c r="L563" s="21"/>
      <c r="M563" s="21"/>
      <c r="N563" s="97"/>
      <c r="O563" s="76"/>
      <c r="P563" s="76"/>
      <c r="Q563" s="76"/>
    </row>
    <row r="564" ht="15.75" customHeight="1">
      <c r="K564" s="21"/>
      <c r="L564" s="21"/>
      <c r="M564" s="21"/>
      <c r="N564" s="97"/>
      <c r="O564" s="76"/>
      <c r="P564" s="76"/>
      <c r="Q564" s="76"/>
    </row>
    <row r="565" ht="15.75" customHeight="1">
      <c r="K565" s="21"/>
      <c r="L565" s="21"/>
      <c r="M565" s="21"/>
      <c r="N565" s="97"/>
      <c r="O565" s="76"/>
      <c r="P565" s="76"/>
      <c r="Q565" s="76"/>
    </row>
    <row r="566" ht="15.75" customHeight="1">
      <c r="K566" s="21"/>
      <c r="L566" s="21"/>
      <c r="M566" s="21"/>
      <c r="N566" s="97"/>
      <c r="O566" s="76"/>
      <c r="P566" s="76"/>
      <c r="Q566" s="76"/>
    </row>
    <row r="567" ht="15.75" customHeight="1">
      <c r="K567" s="21"/>
      <c r="L567" s="21"/>
      <c r="M567" s="21"/>
      <c r="N567" s="97"/>
      <c r="O567" s="76"/>
      <c r="P567" s="76"/>
      <c r="Q567" s="76"/>
    </row>
    <row r="568" ht="15.75" customHeight="1">
      <c r="K568" s="21"/>
      <c r="L568" s="21"/>
      <c r="M568" s="21"/>
      <c r="N568" s="97"/>
      <c r="O568" s="76"/>
      <c r="P568" s="76"/>
      <c r="Q568" s="76"/>
    </row>
    <row r="569" ht="15.75" customHeight="1">
      <c r="K569" s="21"/>
      <c r="L569" s="21"/>
      <c r="M569" s="21"/>
      <c r="N569" s="97"/>
      <c r="O569" s="76"/>
      <c r="P569" s="76"/>
      <c r="Q569" s="76"/>
    </row>
    <row r="570" ht="15.75" customHeight="1">
      <c r="K570" s="21"/>
      <c r="L570" s="21"/>
      <c r="M570" s="21"/>
      <c r="N570" s="97"/>
      <c r="O570" s="76"/>
      <c r="P570" s="76"/>
      <c r="Q570" s="76"/>
    </row>
    <row r="571" ht="15.75" customHeight="1">
      <c r="K571" s="21"/>
      <c r="L571" s="21"/>
      <c r="M571" s="21"/>
      <c r="N571" s="97"/>
      <c r="O571" s="76"/>
      <c r="P571" s="76"/>
      <c r="Q571" s="76"/>
    </row>
    <row r="572" ht="15.75" customHeight="1">
      <c r="K572" s="21"/>
      <c r="L572" s="21"/>
      <c r="M572" s="21"/>
      <c r="N572" s="97"/>
      <c r="O572" s="76"/>
      <c r="P572" s="76"/>
      <c r="Q572" s="76"/>
    </row>
    <row r="573" ht="15.75" customHeight="1">
      <c r="K573" s="21"/>
      <c r="L573" s="21"/>
      <c r="M573" s="21"/>
      <c r="N573" s="97"/>
      <c r="O573" s="76"/>
      <c r="P573" s="76"/>
      <c r="Q573" s="76"/>
    </row>
    <row r="574" ht="15.75" customHeight="1">
      <c r="K574" s="21"/>
      <c r="L574" s="21"/>
      <c r="M574" s="21"/>
      <c r="N574" s="97"/>
      <c r="O574" s="76"/>
      <c r="P574" s="76"/>
      <c r="Q574" s="76"/>
    </row>
    <row r="575" ht="15.75" customHeight="1">
      <c r="K575" s="21"/>
      <c r="L575" s="21"/>
      <c r="M575" s="21"/>
      <c r="N575" s="97"/>
      <c r="O575" s="76"/>
      <c r="P575" s="76"/>
      <c r="Q575" s="76"/>
    </row>
    <row r="576" ht="15.75" customHeight="1">
      <c r="K576" s="21"/>
      <c r="L576" s="21"/>
      <c r="M576" s="21"/>
      <c r="N576" s="97"/>
      <c r="O576" s="76"/>
      <c r="P576" s="76"/>
      <c r="Q576" s="76"/>
    </row>
    <row r="577" ht="15.75" customHeight="1">
      <c r="K577" s="21"/>
      <c r="L577" s="21"/>
      <c r="M577" s="21"/>
      <c r="N577" s="97"/>
      <c r="O577" s="76"/>
      <c r="P577" s="76"/>
      <c r="Q577" s="76"/>
    </row>
    <row r="578" ht="15.75" customHeight="1">
      <c r="K578" s="21"/>
      <c r="L578" s="21"/>
      <c r="M578" s="21"/>
      <c r="N578" s="97"/>
      <c r="O578" s="76"/>
      <c r="P578" s="76"/>
      <c r="Q578" s="76"/>
    </row>
    <row r="579" ht="15.75" customHeight="1">
      <c r="K579" s="21"/>
      <c r="L579" s="21"/>
      <c r="M579" s="21"/>
      <c r="N579" s="97"/>
      <c r="O579" s="76"/>
      <c r="P579" s="76"/>
      <c r="Q579" s="76"/>
    </row>
    <row r="580" ht="15.75" customHeight="1">
      <c r="K580" s="21"/>
      <c r="L580" s="21"/>
      <c r="M580" s="21"/>
      <c r="N580" s="97"/>
      <c r="O580" s="76"/>
      <c r="P580" s="76"/>
      <c r="Q580" s="76"/>
    </row>
    <row r="581" ht="15.75" customHeight="1">
      <c r="K581" s="21"/>
      <c r="L581" s="21"/>
      <c r="M581" s="21"/>
      <c r="N581" s="97"/>
      <c r="O581" s="76"/>
      <c r="P581" s="76"/>
      <c r="Q581" s="76"/>
    </row>
    <row r="582" ht="15.75" customHeight="1">
      <c r="K582" s="21"/>
      <c r="L582" s="21"/>
      <c r="M582" s="21"/>
      <c r="N582" s="97"/>
      <c r="O582" s="76"/>
      <c r="P582" s="76"/>
      <c r="Q582" s="76"/>
    </row>
    <row r="583" ht="15.75" customHeight="1">
      <c r="K583" s="21"/>
      <c r="L583" s="21"/>
      <c r="M583" s="21"/>
      <c r="N583" s="97"/>
      <c r="O583" s="76"/>
      <c r="P583" s="76"/>
      <c r="Q583" s="76"/>
    </row>
    <row r="584" ht="15.75" customHeight="1">
      <c r="K584" s="21"/>
      <c r="L584" s="21"/>
      <c r="M584" s="21"/>
      <c r="N584" s="97"/>
      <c r="O584" s="76"/>
      <c r="P584" s="76"/>
      <c r="Q584" s="76"/>
    </row>
    <row r="585" ht="15.75" customHeight="1">
      <c r="K585" s="21"/>
      <c r="L585" s="21"/>
      <c r="M585" s="21"/>
      <c r="N585" s="97"/>
      <c r="O585" s="76"/>
      <c r="P585" s="76"/>
      <c r="Q585" s="76"/>
    </row>
    <row r="586" ht="15.75" customHeight="1">
      <c r="K586" s="21"/>
      <c r="L586" s="21"/>
      <c r="M586" s="21"/>
      <c r="N586" s="97"/>
      <c r="O586" s="76"/>
      <c r="P586" s="76"/>
      <c r="Q586" s="76"/>
    </row>
    <row r="587" ht="15.75" customHeight="1">
      <c r="K587" s="21"/>
      <c r="L587" s="21"/>
      <c r="M587" s="21"/>
      <c r="N587" s="97"/>
      <c r="O587" s="76"/>
      <c r="P587" s="76"/>
      <c r="Q587" s="76"/>
    </row>
    <row r="588" ht="15.75" customHeight="1">
      <c r="K588" s="21"/>
      <c r="L588" s="21"/>
      <c r="M588" s="21"/>
      <c r="N588" s="97"/>
      <c r="O588" s="76"/>
      <c r="P588" s="76"/>
      <c r="Q588" s="76"/>
    </row>
    <row r="589" ht="15.75" customHeight="1">
      <c r="K589" s="21"/>
      <c r="L589" s="21"/>
      <c r="M589" s="21"/>
      <c r="N589" s="97"/>
      <c r="O589" s="76"/>
      <c r="P589" s="76"/>
      <c r="Q589" s="76"/>
    </row>
    <row r="590" ht="15.75" customHeight="1">
      <c r="K590" s="21"/>
      <c r="L590" s="21"/>
      <c r="M590" s="21"/>
      <c r="N590" s="97"/>
      <c r="O590" s="76"/>
      <c r="P590" s="76"/>
      <c r="Q590" s="76"/>
    </row>
    <row r="591" ht="15.75" customHeight="1">
      <c r="K591" s="21"/>
      <c r="L591" s="21"/>
      <c r="M591" s="21"/>
      <c r="N591" s="97"/>
      <c r="O591" s="76"/>
      <c r="P591" s="76"/>
      <c r="Q591" s="76"/>
    </row>
    <row r="592" ht="15.75" customHeight="1">
      <c r="K592" s="21"/>
      <c r="L592" s="21"/>
      <c r="M592" s="21"/>
      <c r="N592" s="97"/>
      <c r="O592" s="76"/>
      <c r="P592" s="76"/>
      <c r="Q592" s="76"/>
    </row>
    <row r="593" ht="15.75" customHeight="1">
      <c r="K593" s="21"/>
      <c r="L593" s="21"/>
      <c r="M593" s="21"/>
      <c r="N593" s="97"/>
      <c r="O593" s="76"/>
      <c r="P593" s="76"/>
      <c r="Q593" s="76"/>
    </row>
    <row r="594" ht="15.75" customHeight="1">
      <c r="K594" s="21"/>
      <c r="L594" s="21"/>
      <c r="M594" s="21"/>
      <c r="N594" s="97"/>
      <c r="O594" s="76"/>
      <c r="P594" s="76"/>
      <c r="Q594" s="76"/>
    </row>
    <row r="595" ht="15.75" customHeight="1">
      <c r="K595" s="21"/>
      <c r="L595" s="21"/>
      <c r="M595" s="21"/>
      <c r="N595" s="97"/>
      <c r="O595" s="76"/>
      <c r="P595" s="76"/>
      <c r="Q595" s="76"/>
    </row>
    <row r="596" ht="15.75" customHeight="1">
      <c r="K596" s="21"/>
      <c r="L596" s="21"/>
      <c r="M596" s="21"/>
      <c r="N596" s="97"/>
      <c r="O596" s="76"/>
      <c r="P596" s="76"/>
      <c r="Q596" s="76"/>
    </row>
    <row r="597" ht="15.75" customHeight="1">
      <c r="K597" s="21"/>
      <c r="L597" s="21"/>
      <c r="M597" s="21"/>
      <c r="N597" s="97"/>
      <c r="O597" s="76"/>
      <c r="P597" s="76"/>
      <c r="Q597" s="76"/>
    </row>
    <row r="598" ht="15.75" customHeight="1">
      <c r="K598" s="21"/>
      <c r="L598" s="21"/>
      <c r="M598" s="21"/>
      <c r="N598" s="97"/>
      <c r="O598" s="76"/>
      <c r="P598" s="76"/>
      <c r="Q598" s="76"/>
    </row>
    <row r="599" ht="15.75" customHeight="1">
      <c r="K599" s="21"/>
      <c r="L599" s="21"/>
      <c r="M599" s="21"/>
      <c r="N599" s="97"/>
      <c r="O599" s="76"/>
      <c r="P599" s="76"/>
      <c r="Q599" s="76"/>
    </row>
    <row r="600" ht="15.75" customHeight="1">
      <c r="K600" s="21"/>
      <c r="L600" s="21"/>
      <c r="M600" s="21"/>
      <c r="N600" s="97"/>
      <c r="O600" s="76"/>
      <c r="P600" s="76"/>
      <c r="Q600" s="76"/>
    </row>
    <row r="601" ht="15.75" customHeight="1">
      <c r="K601" s="21"/>
      <c r="L601" s="21"/>
      <c r="M601" s="21"/>
      <c r="N601" s="97"/>
      <c r="O601" s="76"/>
      <c r="P601" s="76"/>
      <c r="Q601" s="76"/>
    </row>
    <row r="602" ht="15.75" customHeight="1">
      <c r="K602" s="21"/>
      <c r="L602" s="21"/>
      <c r="M602" s="21"/>
      <c r="N602" s="97"/>
      <c r="O602" s="76"/>
      <c r="P602" s="76"/>
      <c r="Q602" s="76"/>
    </row>
    <row r="603" ht="15.75" customHeight="1">
      <c r="K603" s="21"/>
      <c r="L603" s="21"/>
      <c r="M603" s="21"/>
      <c r="N603" s="97"/>
      <c r="O603" s="76"/>
      <c r="P603" s="76"/>
      <c r="Q603" s="76"/>
    </row>
    <row r="604" ht="15.75" customHeight="1">
      <c r="K604" s="21"/>
      <c r="L604" s="21"/>
      <c r="M604" s="21"/>
      <c r="N604" s="97"/>
      <c r="O604" s="76"/>
      <c r="P604" s="76"/>
      <c r="Q604" s="76"/>
    </row>
    <row r="605" ht="15.75" customHeight="1">
      <c r="K605" s="21"/>
      <c r="L605" s="21"/>
      <c r="M605" s="21"/>
      <c r="N605" s="97"/>
      <c r="O605" s="76"/>
      <c r="P605" s="76"/>
      <c r="Q605" s="76"/>
    </row>
    <row r="606" ht="15.75" customHeight="1">
      <c r="K606" s="21"/>
      <c r="L606" s="21"/>
      <c r="M606" s="21"/>
      <c r="N606" s="97"/>
      <c r="O606" s="76"/>
      <c r="P606" s="76"/>
      <c r="Q606" s="76"/>
    </row>
    <row r="607" ht="15.75" customHeight="1">
      <c r="K607" s="21"/>
      <c r="L607" s="21"/>
      <c r="M607" s="21"/>
      <c r="N607" s="97"/>
      <c r="O607" s="76"/>
      <c r="P607" s="76"/>
      <c r="Q607" s="76"/>
    </row>
    <row r="608" ht="15.75" customHeight="1">
      <c r="K608" s="21"/>
      <c r="L608" s="21"/>
      <c r="M608" s="21"/>
      <c r="N608" s="97"/>
      <c r="O608" s="76"/>
      <c r="P608" s="76"/>
      <c r="Q608" s="76"/>
    </row>
    <row r="609" ht="15.75" customHeight="1">
      <c r="K609" s="21"/>
      <c r="L609" s="21"/>
      <c r="M609" s="21"/>
      <c r="N609" s="97"/>
      <c r="O609" s="76"/>
      <c r="P609" s="76"/>
      <c r="Q609" s="76"/>
    </row>
    <row r="610" ht="15.75" customHeight="1">
      <c r="K610" s="21"/>
      <c r="L610" s="21"/>
      <c r="M610" s="21"/>
      <c r="N610" s="97"/>
      <c r="O610" s="76"/>
      <c r="P610" s="76"/>
      <c r="Q610" s="76"/>
    </row>
    <row r="611" ht="15.75" customHeight="1">
      <c r="K611" s="21"/>
      <c r="L611" s="21"/>
      <c r="M611" s="21"/>
      <c r="N611" s="97"/>
      <c r="O611" s="76"/>
      <c r="P611" s="76"/>
      <c r="Q611" s="76"/>
    </row>
    <row r="612" ht="15.75" customHeight="1">
      <c r="K612" s="21"/>
      <c r="L612" s="21"/>
      <c r="M612" s="21"/>
      <c r="N612" s="97"/>
      <c r="O612" s="76"/>
      <c r="P612" s="76"/>
      <c r="Q612" s="76"/>
    </row>
    <row r="613" ht="15.75" customHeight="1">
      <c r="K613" s="21"/>
      <c r="L613" s="21"/>
      <c r="M613" s="21"/>
      <c r="N613" s="97"/>
      <c r="O613" s="76"/>
      <c r="P613" s="76"/>
      <c r="Q613" s="76"/>
    </row>
    <row r="614" ht="15.75" customHeight="1">
      <c r="K614" s="21"/>
      <c r="L614" s="21"/>
      <c r="M614" s="21"/>
      <c r="N614" s="97"/>
      <c r="O614" s="76"/>
      <c r="P614" s="76"/>
      <c r="Q614" s="76"/>
    </row>
    <row r="615" ht="15.75" customHeight="1">
      <c r="K615" s="21"/>
      <c r="L615" s="21"/>
      <c r="M615" s="21"/>
      <c r="N615" s="97"/>
      <c r="O615" s="76"/>
      <c r="P615" s="76"/>
      <c r="Q615" s="76"/>
    </row>
    <row r="616" ht="15.75" customHeight="1">
      <c r="K616" s="21"/>
      <c r="L616" s="21"/>
      <c r="M616" s="21"/>
      <c r="N616" s="97"/>
      <c r="O616" s="76"/>
      <c r="P616" s="76"/>
      <c r="Q616" s="76"/>
    </row>
    <row r="617" ht="15.75" customHeight="1">
      <c r="K617" s="21"/>
      <c r="L617" s="21"/>
      <c r="M617" s="21"/>
      <c r="N617" s="97"/>
      <c r="O617" s="76"/>
      <c r="P617" s="76"/>
      <c r="Q617" s="76"/>
    </row>
    <row r="618" ht="15.75" customHeight="1">
      <c r="K618" s="21"/>
      <c r="L618" s="21"/>
      <c r="M618" s="21"/>
      <c r="N618" s="97"/>
      <c r="O618" s="76"/>
      <c r="P618" s="76"/>
      <c r="Q618" s="76"/>
    </row>
    <row r="619" ht="15.75" customHeight="1">
      <c r="K619" s="21"/>
      <c r="L619" s="21"/>
      <c r="M619" s="21"/>
      <c r="N619" s="97"/>
      <c r="O619" s="76"/>
      <c r="P619" s="76"/>
      <c r="Q619" s="76"/>
    </row>
    <row r="620" ht="15.75" customHeight="1">
      <c r="K620" s="21"/>
      <c r="L620" s="21"/>
      <c r="M620" s="21"/>
      <c r="N620" s="97"/>
      <c r="O620" s="76"/>
      <c r="P620" s="76"/>
      <c r="Q620" s="76"/>
    </row>
    <row r="621" ht="15.75" customHeight="1">
      <c r="K621" s="21"/>
      <c r="L621" s="21"/>
      <c r="M621" s="21"/>
      <c r="N621" s="97"/>
      <c r="O621" s="76"/>
      <c r="P621" s="76"/>
      <c r="Q621" s="76"/>
    </row>
    <row r="622" ht="15.75" customHeight="1">
      <c r="K622" s="21"/>
      <c r="L622" s="21"/>
      <c r="M622" s="21"/>
      <c r="N622" s="97"/>
      <c r="O622" s="76"/>
      <c r="P622" s="76"/>
      <c r="Q622" s="76"/>
    </row>
    <row r="623" ht="15.75" customHeight="1">
      <c r="K623" s="21"/>
      <c r="L623" s="21"/>
      <c r="M623" s="21"/>
      <c r="N623" s="97"/>
      <c r="O623" s="76"/>
      <c r="P623" s="76"/>
      <c r="Q623" s="76"/>
    </row>
    <row r="624" ht="15.75" customHeight="1">
      <c r="K624" s="21"/>
      <c r="L624" s="21"/>
      <c r="M624" s="21"/>
      <c r="N624" s="97"/>
      <c r="O624" s="76"/>
      <c r="P624" s="76"/>
      <c r="Q624" s="76"/>
    </row>
    <row r="625" ht="15.75" customHeight="1">
      <c r="K625" s="21"/>
      <c r="L625" s="21"/>
      <c r="M625" s="21"/>
      <c r="N625" s="97"/>
      <c r="O625" s="76"/>
      <c r="P625" s="76"/>
      <c r="Q625" s="76"/>
    </row>
    <row r="626" ht="15.75" customHeight="1">
      <c r="K626" s="21"/>
      <c r="L626" s="21"/>
      <c r="M626" s="21"/>
      <c r="N626" s="97"/>
      <c r="O626" s="76"/>
      <c r="P626" s="76"/>
      <c r="Q626" s="76"/>
    </row>
    <row r="627" ht="15.75" customHeight="1">
      <c r="K627" s="21"/>
      <c r="L627" s="21"/>
      <c r="M627" s="21"/>
      <c r="N627" s="97"/>
      <c r="O627" s="76"/>
      <c r="P627" s="76"/>
      <c r="Q627" s="76"/>
    </row>
    <row r="628" ht="15.75" customHeight="1">
      <c r="K628" s="21"/>
      <c r="L628" s="21"/>
      <c r="M628" s="21"/>
      <c r="N628" s="97"/>
      <c r="O628" s="76"/>
      <c r="P628" s="76"/>
      <c r="Q628" s="76"/>
    </row>
    <row r="629" ht="15.75" customHeight="1">
      <c r="K629" s="21"/>
      <c r="L629" s="21"/>
      <c r="M629" s="21"/>
      <c r="N629" s="97"/>
      <c r="O629" s="76"/>
      <c r="P629" s="76"/>
      <c r="Q629" s="76"/>
    </row>
    <row r="630" ht="15.75" customHeight="1">
      <c r="K630" s="21"/>
      <c r="L630" s="21"/>
      <c r="M630" s="21"/>
      <c r="N630" s="97"/>
      <c r="O630" s="76"/>
      <c r="P630" s="76"/>
      <c r="Q630" s="76"/>
    </row>
    <row r="631" ht="15.75" customHeight="1">
      <c r="K631" s="21"/>
      <c r="L631" s="21"/>
      <c r="M631" s="21"/>
      <c r="N631" s="97"/>
      <c r="O631" s="76"/>
      <c r="P631" s="76"/>
      <c r="Q631" s="76"/>
    </row>
    <row r="632" ht="15.75" customHeight="1">
      <c r="K632" s="21"/>
      <c r="L632" s="21"/>
      <c r="M632" s="21"/>
      <c r="N632" s="97"/>
      <c r="O632" s="76"/>
      <c r="P632" s="76"/>
      <c r="Q632" s="76"/>
    </row>
    <row r="633" ht="15.75" customHeight="1">
      <c r="K633" s="21"/>
      <c r="L633" s="21"/>
      <c r="M633" s="21"/>
      <c r="N633" s="97"/>
      <c r="O633" s="76"/>
      <c r="P633" s="76"/>
      <c r="Q633" s="76"/>
    </row>
    <row r="634" ht="15.75" customHeight="1">
      <c r="K634" s="21"/>
      <c r="L634" s="21"/>
      <c r="M634" s="21"/>
      <c r="N634" s="97"/>
      <c r="O634" s="76"/>
      <c r="P634" s="76"/>
      <c r="Q634" s="76"/>
    </row>
    <row r="635" ht="15.75" customHeight="1">
      <c r="K635" s="21"/>
      <c r="L635" s="21"/>
      <c r="M635" s="21"/>
      <c r="N635" s="97"/>
      <c r="O635" s="76"/>
      <c r="P635" s="76"/>
      <c r="Q635" s="76"/>
    </row>
    <row r="636" ht="15.75" customHeight="1">
      <c r="K636" s="21"/>
      <c r="L636" s="21"/>
      <c r="M636" s="21"/>
      <c r="N636" s="97"/>
      <c r="O636" s="76"/>
      <c r="P636" s="76"/>
      <c r="Q636" s="76"/>
    </row>
    <row r="637" ht="15.75" customHeight="1">
      <c r="K637" s="21"/>
      <c r="L637" s="21"/>
      <c r="M637" s="21"/>
      <c r="N637" s="97"/>
      <c r="O637" s="76"/>
      <c r="P637" s="76"/>
      <c r="Q637" s="76"/>
    </row>
    <row r="638" ht="15.75" customHeight="1">
      <c r="K638" s="21"/>
      <c r="L638" s="21"/>
      <c r="M638" s="21"/>
      <c r="N638" s="97"/>
      <c r="O638" s="76"/>
      <c r="P638" s="76"/>
      <c r="Q638" s="76"/>
    </row>
    <row r="639" ht="15.75" customHeight="1">
      <c r="K639" s="21"/>
      <c r="L639" s="21"/>
      <c r="M639" s="21"/>
      <c r="N639" s="97"/>
      <c r="O639" s="76"/>
      <c r="P639" s="76"/>
      <c r="Q639" s="76"/>
    </row>
    <row r="640" ht="15.75" customHeight="1">
      <c r="K640" s="21"/>
      <c r="L640" s="21"/>
      <c r="M640" s="21"/>
      <c r="N640" s="97"/>
      <c r="O640" s="76"/>
      <c r="P640" s="76"/>
      <c r="Q640" s="76"/>
    </row>
    <row r="641" ht="15.75" customHeight="1">
      <c r="K641" s="21"/>
      <c r="L641" s="21"/>
      <c r="M641" s="21"/>
      <c r="N641" s="97"/>
      <c r="O641" s="76"/>
      <c r="P641" s="76"/>
      <c r="Q641" s="76"/>
    </row>
    <row r="642" ht="15.75" customHeight="1">
      <c r="K642" s="21"/>
      <c r="L642" s="21"/>
      <c r="M642" s="21"/>
      <c r="N642" s="97"/>
      <c r="O642" s="76"/>
      <c r="P642" s="76"/>
      <c r="Q642" s="76"/>
    </row>
    <row r="643" ht="15.75" customHeight="1">
      <c r="K643" s="21"/>
      <c r="L643" s="21"/>
      <c r="M643" s="21"/>
      <c r="N643" s="97"/>
      <c r="O643" s="76"/>
      <c r="P643" s="76"/>
      <c r="Q643" s="76"/>
    </row>
    <row r="644" ht="15.75" customHeight="1">
      <c r="K644" s="21"/>
      <c r="L644" s="21"/>
      <c r="M644" s="21"/>
      <c r="N644" s="97"/>
      <c r="O644" s="76"/>
      <c r="P644" s="76"/>
      <c r="Q644" s="76"/>
    </row>
    <row r="645" ht="15.75" customHeight="1">
      <c r="K645" s="21"/>
      <c r="L645" s="21"/>
      <c r="M645" s="21"/>
      <c r="N645" s="97"/>
      <c r="O645" s="76"/>
      <c r="P645" s="76"/>
      <c r="Q645" s="76"/>
    </row>
    <row r="646" ht="15.75" customHeight="1">
      <c r="K646" s="21"/>
      <c r="L646" s="21"/>
      <c r="M646" s="21"/>
      <c r="N646" s="97"/>
      <c r="O646" s="76"/>
      <c r="P646" s="76"/>
      <c r="Q646" s="76"/>
    </row>
    <row r="647" ht="15.75" customHeight="1">
      <c r="K647" s="21"/>
      <c r="L647" s="21"/>
      <c r="M647" s="21"/>
      <c r="N647" s="97"/>
      <c r="O647" s="76"/>
      <c r="P647" s="76"/>
      <c r="Q647" s="76"/>
    </row>
    <row r="648" ht="15.75" customHeight="1">
      <c r="K648" s="21"/>
      <c r="L648" s="21"/>
      <c r="M648" s="21"/>
      <c r="N648" s="97"/>
      <c r="O648" s="76"/>
      <c r="P648" s="76"/>
      <c r="Q648" s="76"/>
    </row>
    <row r="649" ht="15.75" customHeight="1">
      <c r="K649" s="21"/>
      <c r="L649" s="21"/>
      <c r="M649" s="21"/>
      <c r="N649" s="97"/>
      <c r="O649" s="76"/>
      <c r="P649" s="76"/>
      <c r="Q649" s="76"/>
    </row>
    <row r="650" ht="15.75" customHeight="1">
      <c r="K650" s="21"/>
      <c r="L650" s="21"/>
      <c r="M650" s="21"/>
      <c r="N650" s="97"/>
      <c r="O650" s="76"/>
      <c r="P650" s="76"/>
      <c r="Q650" s="76"/>
    </row>
    <row r="651" ht="15.75" customHeight="1">
      <c r="K651" s="21"/>
      <c r="L651" s="21"/>
      <c r="M651" s="21"/>
      <c r="N651" s="97"/>
      <c r="O651" s="76"/>
      <c r="P651" s="76"/>
      <c r="Q651" s="76"/>
    </row>
    <row r="652" ht="15.75" customHeight="1">
      <c r="K652" s="21"/>
      <c r="L652" s="21"/>
      <c r="M652" s="21"/>
      <c r="N652" s="97"/>
      <c r="O652" s="76"/>
      <c r="P652" s="76"/>
      <c r="Q652" s="76"/>
    </row>
    <row r="653" ht="15.75" customHeight="1">
      <c r="K653" s="21"/>
      <c r="L653" s="21"/>
      <c r="M653" s="21"/>
      <c r="N653" s="97"/>
      <c r="O653" s="76"/>
      <c r="P653" s="76"/>
      <c r="Q653" s="76"/>
    </row>
    <row r="654" ht="15.75" customHeight="1">
      <c r="K654" s="21"/>
      <c r="L654" s="21"/>
      <c r="M654" s="21"/>
      <c r="N654" s="97"/>
      <c r="O654" s="76"/>
      <c r="P654" s="76"/>
      <c r="Q654" s="76"/>
    </row>
    <row r="655" ht="15.75" customHeight="1">
      <c r="K655" s="21"/>
      <c r="L655" s="21"/>
      <c r="M655" s="21"/>
      <c r="N655" s="97"/>
      <c r="O655" s="76"/>
      <c r="P655" s="76"/>
      <c r="Q655" s="76"/>
    </row>
    <row r="656" ht="15.75" customHeight="1">
      <c r="K656" s="21"/>
      <c r="L656" s="21"/>
      <c r="M656" s="21"/>
      <c r="N656" s="97"/>
      <c r="O656" s="76"/>
      <c r="P656" s="76"/>
      <c r="Q656" s="76"/>
    </row>
    <row r="657" ht="15.75" customHeight="1">
      <c r="K657" s="21"/>
      <c r="L657" s="21"/>
      <c r="M657" s="21"/>
      <c r="N657" s="97"/>
      <c r="O657" s="76"/>
      <c r="P657" s="76"/>
      <c r="Q657" s="76"/>
    </row>
    <row r="658" ht="15.75" customHeight="1">
      <c r="K658" s="21"/>
      <c r="L658" s="21"/>
      <c r="M658" s="21"/>
      <c r="N658" s="97"/>
      <c r="O658" s="76"/>
      <c r="P658" s="76"/>
      <c r="Q658" s="76"/>
    </row>
    <row r="659" ht="15.75" customHeight="1">
      <c r="K659" s="21"/>
      <c r="L659" s="21"/>
      <c r="M659" s="21"/>
      <c r="N659" s="97"/>
      <c r="O659" s="76"/>
      <c r="P659" s="76"/>
      <c r="Q659" s="76"/>
    </row>
    <row r="660" ht="15.75" customHeight="1">
      <c r="K660" s="21"/>
      <c r="L660" s="21"/>
      <c r="M660" s="21"/>
      <c r="N660" s="97"/>
      <c r="O660" s="76"/>
      <c r="P660" s="76"/>
      <c r="Q660" s="76"/>
    </row>
    <row r="661" ht="15.75" customHeight="1">
      <c r="K661" s="21"/>
      <c r="L661" s="21"/>
      <c r="M661" s="21"/>
      <c r="N661" s="97"/>
      <c r="O661" s="76"/>
      <c r="P661" s="76"/>
      <c r="Q661" s="76"/>
    </row>
    <row r="662" ht="15.75" customHeight="1">
      <c r="K662" s="21"/>
      <c r="L662" s="21"/>
      <c r="M662" s="21"/>
      <c r="N662" s="97"/>
      <c r="O662" s="76"/>
      <c r="P662" s="76"/>
      <c r="Q662" s="76"/>
    </row>
    <row r="663" ht="15.75" customHeight="1">
      <c r="K663" s="21"/>
      <c r="L663" s="21"/>
      <c r="M663" s="21"/>
      <c r="N663" s="97"/>
      <c r="O663" s="76"/>
      <c r="P663" s="76"/>
      <c r="Q663" s="76"/>
    </row>
    <row r="664" ht="15.75" customHeight="1">
      <c r="K664" s="21"/>
      <c r="L664" s="21"/>
      <c r="M664" s="21"/>
      <c r="N664" s="97"/>
      <c r="O664" s="76"/>
      <c r="P664" s="76"/>
      <c r="Q664" s="76"/>
    </row>
    <row r="665" ht="15.75" customHeight="1">
      <c r="K665" s="21"/>
      <c r="L665" s="21"/>
      <c r="M665" s="21"/>
      <c r="N665" s="97"/>
      <c r="O665" s="76"/>
      <c r="P665" s="76"/>
      <c r="Q665" s="76"/>
    </row>
    <row r="666" ht="15.75" customHeight="1">
      <c r="K666" s="21"/>
      <c r="L666" s="21"/>
      <c r="M666" s="21"/>
      <c r="N666" s="97"/>
      <c r="O666" s="76"/>
      <c r="P666" s="76"/>
      <c r="Q666" s="76"/>
    </row>
    <row r="667" ht="15.75" customHeight="1">
      <c r="K667" s="21"/>
      <c r="L667" s="21"/>
      <c r="M667" s="21"/>
      <c r="N667" s="97"/>
      <c r="O667" s="76"/>
      <c r="P667" s="76"/>
      <c r="Q667" s="76"/>
    </row>
    <row r="668" ht="15.75" customHeight="1">
      <c r="K668" s="21"/>
      <c r="L668" s="21"/>
      <c r="M668" s="21"/>
      <c r="N668" s="97"/>
      <c r="O668" s="76"/>
      <c r="P668" s="76"/>
      <c r="Q668" s="76"/>
    </row>
    <row r="669" ht="15.75" customHeight="1">
      <c r="K669" s="21"/>
      <c r="L669" s="21"/>
      <c r="M669" s="21"/>
      <c r="N669" s="97"/>
      <c r="O669" s="76"/>
      <c r="P669" s="76"/>
      <c r="Q669" s="76"/>
    </row>
    <row r="670" ht="15.75" customHeight="1">
      <c r="K670" s="21"/>
      <c r="L670" s="21"/>
      <c r="M670" s="21"/>
      <c r="N670" s="97"/>
      <c r="O670" s="76"/>
      <c r="P670" s="76"/>
      <c r="Q670" s="76"/>
    </row>
    <row r="671" ht="15.75" customHeight="1">
      <c r="K671" s="21"/>
      <c r="L671" s="21"/>
      <c r="M671" s="21"/>
      <c r="N671" s="97"/>
      <c r="O671" s="76"/>
      <c r="P671" s="76"/>
      <c r="Q671" s="76"/>
    </row>
    <row r="672" ht="15.75" customHeight="1">
      <c r="K672" s="21"/>
      <c r="L672" s="21"/>
      <c r="M672" s="21"/>
      <c r="N672" s="97"/>
      <c r="O672" s="76"/>
      <c r="P672" s="76"/>
      <c r="Q672" s="76"/>
    </row>
    <row r="673" ht="15.75" customHeight="1">
      <c r="K673" s="21"/>
      <c r="L673" s="21"/>
      <c r="M673" s="21"/>
      <c r="N673" s="97"/>
      <c r="O673" s="76"/>
      <c r="P673" s="76"/>
      <c r="Q673" s="76"/>
    </row>
    <row r="674" ht="15.75" customHeight="1">
      <c r="K674" s="21"/>
      <c r="L674" s="21"/>
      <c r="M674" s="21"/>
      <c r="N674" s="97"/>
      <c r="O674" s="76"/>
      <c r="P674" s="76"/>
      <c r="Q674" s="76"/>
    </row>
    <row r="675" ht="15.75" customHeight="1">
      <c r="K675" s="21"/>
      <c r="L675" s="21"/>
      <c r="M675" s="21"/>
      <c r="N675" s="97"/>
      <c r="O675" s="76"/>
      <c r="P675" s="76"/>
      <c r="Q675" s="76"/>
    </row>
    <row r="676" ht="15.75" customHeight="1">
      <c r="K676" s="21"/>
      <c r="L676" s="21"/>
      <c r="M676" s="21"/>
      <c r="N676" s="97"/>
      <c r="O676" s="76"/>
      <c r="P676" s="76"/>
      <c r="Q676" s="76"/>
    </row>
    <row r="677" ht="15.75" customHeight="1">
      <c r="K677" s="21"/>
      <c r="L677" s="21"/>
      <c r="M677" s="21"/>
      <c r="N677" s="97"/>
      <c r="O677" s="76"/>
      <c r="P677" s="76"/>
      <c r="Q677" s="76"/>
    </row>
    <row r="678" ht="15.75" customHeight="1">
      <c r="K678" s="21"/>
      <c r="L678" s="21"/>
      <c r="M678" s="21"/>
      <c r="N678" s="97"/>
      <c r="O678" s="76"/>
      <c r="P678" s="76"/>
      <c r="Q678" s="76"/>
    </row>
    <row r="679" ht="15.75" customHeight="1">
      <c r="K679" s="21"/>
      <c r="L679" s="21"/>
      <c r="M679" s="21"/>
      <c r="N679" s="97"/>
      <c r="O679" s="76"/>
      <c r="P679" s="76"/>
      <c r="Q679" s="76"/>
    </row>
    <row r="680" ht="15.75" customHeight="1">
      <c r="K680" s="21"/>
      <c r="L680" s="21"/>
      <c r="M680" s="21"/>
      <c r="N680" s="97"/>
      <c r="O680" s="76"/>
      <c r="P680" s="76"/>
      <c r="Q680" s="76"/>
    </row>
    <row r="681" ht="15.75" customHeight="1">
      <c r="K681" s="21"/>
      <c r="L681" s="21"/>
      <c r="M681" s="21"/>
      <c r="N681" s="97"/>
      <c r="O681" s="76"/>
      <c r="P681" s="76"/>
      <c r="Q681" s="76"/>
    </row>
    <row r="682" ht="15.75" customHeight="1">
      <c r="K682" s="21"/>
      <c r="L682" s="21"/>
      <c r="M682" s="21"/>
      <c r="N682" s="97"/>
      <c r="O682" s="76"/>
      <c r="P682" s="76"/>
      <c r="Q682" s="76"/>
    </row>
    <row r="683" ht="15.75" customHeight="1">
      <c r="K683" s="21"/>
      <c r="L683" s="21"/>
      <c r="M683" s="21"/>
      <c r="N683" s="97"/>
      <c r="O683" s="76"/>
      <c r="P683" s="76"/>
      <c r="Q683" s="76"/>
    </row>
    <row r="684" ht="15.75" customHeight="1">
      <c r="K684" s="21"/>
      <c r="L684" s="21"/>
      <c r="M684" s="21"/>
      <c r="N684" s="97"/>
      <c r="O684" s="76"/>
      <c r="P684" s="76"/>
      <c r="Q684" s="76"/>
    </row>
    <row r="685" ht="15.75" customHeight="1">
      <c r="K685" s="21"/>
      <c r="L685" s="21"/>
      <c r="M685" s="21"/>
      <c r="N685" s="97"/>
      <c r="O685" s="76"/>
      <c r="P685" s="76"/>
      <c r="Q685" s="76"/>
    </row>
    <row r="686" ht="15.75" customHeight="1">
      <c r="K686" s="21"/>
      <c r="L686" s="21"/>
      <c r="M686" s="21"/>
      <c r="N686" s="97"/>
      <c r="O686" s="76"/>
      <c r="P686" s="76"/>
      <c r="Q686" s="76"/>
    </row>
    <row r="687" ht="15.75" customHeight="1">
      <c r="K687" s="21"/>
      <c r="L687" s="21"/>
      <c r="M687" s="21"/>
      <c r="N687" s="97"/>
      <c r="O687" s="76"/>
      <c r="P687" s="76"/>
      <c r="Q687" s="76"/>
    </row>
    <row r="688" ht="15.75" customHeight="1">
      <c r="K688" s="21"/>
      <c r="L688" s="21"/>
      <c r="M688" s="21"/>
      <c r="N688" s="97"/>
      <c r="O688" s="76"/>
      <c r="P688" s="76"/>
      <c r="Q688" s="76"/>
    </row>
    <row r="689" ht="15.75" customHeight="1">
      <c r="K689" s="21"/>
      <c r="L689" s="21"/>
      <c r="M689" s="21"/>
      <c r="N689" s="97"/>
      <c r="O689" s="76"/>
      <c r="P689" s="76"/>
      <c r="Q689" s="76"/>
    </row>
    <row r="690" ht="15.75" customHeight="1">
      <c r="K690" s="21"/>
      <c r="L690" s="21"/>
      <c r="M690" s="21"/>
      <c r="N690" s="97"/>
      <c r="O690" s="76"/>
      <c r="P690" s="76"/>
      <c r="Q690" s="76"/>
    </row>
    <row r="691" ht="15.75" customHeight="1">
      <c r="K691" s="21"/>
      <c r="L691" s="21"/>
      <c r="M691" s="21"/>
      <c r="N691" s="97"/>
      <c r="O691" s="76"/>
      <c r="P691" s="76"/>
      <c r="Q691" s="76"/>
    </row>
    <row r="692" ht="15.75" customHeight="1">
      <c r="K692" s="21"/>
      <c r="L692" s="21"/>
      <c r="M692" s="21"/>
      <c r="N692" s="97"/>
      <c r="O692" s="76"/>
      <c r="P692" s="76"/>
      <c r="Q692" s="76"/>
    </row>
    <row r="693" ht="15.75" customHeight="1">
      <c r="K693" s="21"/>
      <c r="L693" s="21"/>
      <c r="M693" s="21"/>
      <c r="N693" s="97"/>
      <c r="O693" s="76"/>
      <c r="P693" s="76"/>
      <c r="Q693" s="76"/>
    </row>
    <row r="694" ht="15.75" customHeight="1">
      <c r="K694" s="21"/>
      <c r="L694" s="21"/>
      <c r="M694" s="21"/>
      <c r="N694" s="97"/>
      <c r="O694" s="76"/>
      <c r="P694" s="76"/>
      <c r="Q694" s="76"/>
    </row>
    <row r="695" ht="15.75" customHeight="1">
      <c r="K695" s="21"/>
      <c r="L695" s="21"/>
      <c r="M695" s="21"/>
      <c r="N695" s="97"/>
      <c r="O695" s="76"/>
      <c r="P695" s="76"/>
      <c r="Q695" s="76"/>
    </row>
    <row r="696" ht="15.75" customHeight="1">
      <c r="K696" s="21"/>
      <c r="L696" s="21"/>
      <c r="M696" s="21"/>
      <c r="N696" s="97"/>
      <c r="O696" s="76"/>
      <c r="P696" s="76"/>
      <c r="Q696" s="76"/>
    </row>
    <row r="697" ht="15.75" customHeight="1">
      <c r="K697" s="21"/>
      <c r="L697" s="21"/>
      <c r="M697" s="21"/>
      <c r="N697" s="97"/>
      <c r="O697" s="76"/>
      <c r="P697" s="76"/>
      <c r="Q697" s="76"/>
    </row>
    <row r="698" ht="15.75" customHeight="1">
      <c r="K698" s="21"/>
      <c r="L698" s="21"/>
      <c r="M698" s="21"/>
      <c r="N698" s="97"/>
      <c r="O698" s="76"/>
      <c r="P698" s="76"/>
      <c r="Q698" s="76"/>
    </row>
    <row r="699" ht="15.75" customHeight="1">
      <c r="K699" s="21"/>
      <c r="L699" s="21"/>
      <c r="M699" s="21"/>
      <c r="N699" s="97"/>
      <c r="O699" s="76"/>
      <c r="P699" s="76"/>
      <c r="Q699" s="76"/>
    </row>
    <row r="700" ht="15.75" customHeight="1">
      <c r="K700" s="21"/>
      <c r="L700" s="21"/>
      <c r="M700" s="21"/>
      <c r="N700" s="97"/>
      <c r="O700" s="76"/>
      <c r="P700" s="76"/>
      <c r="Q700" s="76"/>
    </row>
    <row r="701" ht="15.75" customHeight="1">
      <c r="K701" s="21"/>
      <c r="L701" s="21"/>
      <c r="M701" s="21"/>
      <c r="N701" s="97"/>
      <c r="O701" s="76"/>
      <c r="P701" s="76"/>
      <c r="Q701" s="76"/>
    </row>
    <row r="702" ht="15.75" customHeight="1">
      <c r="K702" s="21"/>
      <c r="L702" s="21"/>
      <c r="M702" s="21"/>
      <c r="N702" s="97"/>
      <c r="O702" s="76"/>
      <c r="P702" s="76"/>
      <c r="Q702" s="76"/>
    </row>
    <row r="703" ht="15.75" customHeight="1">
      <c r="K703" s="21"/>
      <c r="L703" s="21"/>
      <c r="M703" s="21"/>
      <c r="N703" s="97"/>
      <c r="O703" s="76"/>
      <c r="P703" s="76"/>
      <c r="Q703" s="76"/>
    </row>
    <row r="704" ht="15.75" customHeight="1">
      <c r="K704" s="21"/>
      <c r="L704" s="21"/>
      <c r="M704" s="21"/>
      <c r="N704" s="97"/>
      <c r="O704" s="76"/>
      <c r="P704" s="76"/>
      <c r="Q704" s="76"/>
    </row>
    <row r="705" ht="15.75" customHeight="1">
      <c r="K705" s="21"/>
      <c r="L705" s="21"/>
      <c r="M705" s="21"/>
      <c r="N705" s="97"/>
      <c r="O705" s="76"/>
      <c r="P705" s="76"/>
      <c r="Q705" s="76"/>
    </row>
    <row r="706" ht="15.75" customHeight="1">
      <c r="K706" s="21"/>
      <c r="L706" s="21"/>
      <c r="M706" s="21"/>
      <c r="N706" s="97"/>
      <c r="O706" s="76"/>
      <c r="P706" s="76"/>
      <c r="Q706" s="76"/>
    </row>
    <row r="707" ht="15.75" customHeight="1">
      <c r="K707" s="21"/>
      <c r="L707" s="21"/>
      <c r="M707" s="21"/>
      <c r="N707" s="97"/>
      <c r="O707" s="76"/>
      <c r="P707" s="76"/>
      <c r="Q707" s="76"/>
    </row>
    <row r="708" ht="15.75" customHeight="1">
      <c r="K708" s="21"/>
      <c r="L708" s="21"/>
      <c r="M708" s="21"/>
      <c r="N708" s="97"/>
      <c r="O708" s="76"/>
      <c r="P708" s="76"/>
      <c r="Q708" s="76"/>
    </row>
    <row r="709" ht="15.75" customHeight="1">
      <c r="K709" s="21"/>
      <c r="L709" s="21"/>
      <c r="M709" s="21"/>
      <c r="N709" s="97"/>
      <c r="O709" s="76"/>
      <c r="P709" s="76"/>
      <c r="Q709" s="76"/>
    </row>
    <row r="710" ht="15.75" customHeight="1">
      <c r="K710" s="21"/>
      <c r="L710" s="21"/>
      <c r="M710" s="21"/>
      <c r="N710" s="97"/>
      <c r="O710" s="76"/>
      <c r="P710" s="76"/>
      <c r="Q710" s="76"/>
    </row>
    <row r="711" ht="15.75" customHeight="1">
      <c r="K711" s="21"/>
      <c r="L711" s="21"/>
      <c r="M711" s="21"/>
      <c r="N711" s="97"/>
      <c r="O711" s="76"/>
      <c r="P711" s="76"/>
      <c r="Q711" s="76"/>
    </row>
    <row r="712" ht="15.75" customHeight="1">
      <c r="K712" s="21"/>
      <c r="L712" s="21"/>
      <c r="M712" s="21"/>
      <c r="N712" s="97"/>
      <c r="O712" s="76"/>
      <c r="P712" s="76"/>
      <c r="Q712" s="76"/>
    </row>
    <row r="713" ht="15.75" customHeight="1">
      <c r="K713" s="21"/>
      <c r="L713" s="21"/>
      <c r="M713" s="21"/>
      <c r="N713" s="97"/>
      <c r="O713" s="76"/>
      <c r="P713" s="76"/>
      <c r="Q713" s="76"/>
    </row>
    <row r="714" ht="15.75" customHeight="1">
      <c r="K714" s="21"/>
      <c r="L714" s="21"/>
      <c r="M714" s="21"/>
      <c r="N714" s="97"/>
      <c r="O714" s="76"/>
      <c r="P714" s="76"/>
      <c r="Q714" s="76"/>
    </row>
    <row r="715" ht="15.75" customHeight="1">
      <c r="K715" s="21"/>
      <c r="L715" s="21"/>
      <c r="M715" s="21"/>
      <c r="N715" s="97"/>
      <c r="O715" s="76"/>
      <c r="P715" s="76"/>
      <c r="Q715" s="76"/>
    </row>
    <row r="716" ht="15.75" customHeight="1">
      <c r="K716" s="21"/>
      <c r="L716" s="21"/>
      <c r="M716" s="21"/>
      <c r="N716" s="97"/>
      <c r="O716" s="76"/>
      <c r="P716" s="76"/>
      <c r="Q716" s="76"/>
    </row>
    <row r="717" ht="15.75" customHeight="1">
      <c r="K717" s="21"/>
      <c r="L717" s="21"/>
      <c r="M717" s="21"/>
      <c r="N717" s="97"/>
      <c r="O717" s="76"/>
      <c r="P717" s="76"/>
      <c r="Q717" s="76"/>
    </row>
    <row r="718" ht="15.75" customHeight="1">
      <c r="K718" s="21"/>
      <c r="L718" s="21"/>
      <c r="M718" s="21"/>
      <c r="N718" s="97"/>
      <c r="O718" s="76"/>
      <c r="P718" s="76"/>
      <c r="Q718" s="76"/>
    </row>
    <row r="719" ht="15.75" customHeight="1">
      <c r="K719" s="21"/>
      <c r="L719" s="21"/>
      <c r="M719" s="21"/>
      <c r="N719" s="97"/>
      <c r="O719" s="76"/>
      <c r="P719" s="76"/>
      <c r="Q719" s="76"/>
    </row>
    <row r="720" ht="15.75" customHeight="1">
      <c r="K720" s="21"/>
      <c r="L720" s="21"/>
      <c r="M720" s="21"/>
      <c r="N720" s="97"/>
      <c r="O720" s="76"/>
      <c r="P720" s="76"/>
      <c r="Q720" s="76"/>
    </row>
    <row r="721" ht="15.75" customHeight="1">
      <c r="K721" s="21"/>
      <c r="L721" s="21"/>
      <c r="M721" s="21"/>
      <c r="N721" s="97"/>
      <c r="O721" s="76"/>
      <c r="P721" s="76"/>
      <c r="Q721" s="76"/>
    </row>
    <row r="722" ht="15.75" customHeight="1">
      <c r="K722" s="21"/>
      <c r="L722" s="21"/>
      <c r="M722" s="21"/>
      <c r="N722" s="97"/>
      <c r="O722" s="76"/>
      <c r="P722" s="76"/>
      <c r="Q722" s="76"/>
    </row>
    <row r="723" ht="15.75" customHeight="1">
      <c r="K723" s="21"/>
      <c r="L723" s="21"/>
      <c r="M723" s="21"/>
      <c r="N723" s="97"/>
      <c r="O723" s="76"/>
      <c r="P723" s="76"/>
      <c r="Q723" s="76"/>
    </row>
    <row r="724" ht="15.75" customHeight="1">
      <c r="K724" s="21"/>
      <c r="L724" s="21"/>
      <c r="M724" s="21"/>
      <c r="N724" s="97"/>
      <c r="O724" s="76"/>
      <c r="P724" s="76"/>
      <c r="Q724" s="76"/>
    </row>
    <row r="725" ht="15.75" customHeight="1">
      <c r="K725" s="21"/>
      <c r="L725" s="21"/>
      <c r="M725" s="21"/>
      <c r="N725" s="97"/>
      <c r="O725" s="76"/>
      <c r="P725" s="76"/>
      <c r="Q725" s="76"/>
    </row>
    <row r="726" ht="15.75" customHeight="1">
      <c r="K726" s="21"/>
      <c r="L726" s="21"/>
      <c r="M726" s="21"/>
      <c r="N726" s="97"/>
      <c r="O726" s="76"/>
      <c r="P726" s="76"/>
      <c r="Q726" s="76"/>
    </row>
    <row r="727" ht="15.75" customHeight="1">
      <c r="K727" s="21"/>
      <c r="L727" s="21"/>
      <c r="M727" s="21"/>
      <c r="N727" s="97"/>
      <c r="O727" s="76"/>
      <c r="P727" s="76"/>
      <c r="Q727" s="76"/>
    </row>
    <row r="728" ht="15.75" customHeight="1">
      <c r="K728" s="21"/>
      <c r="L728" s="21"/>
      <c r="M728" s="21"/>
      <c r="N728" s="97"/>
      <c r="O728" s="76"/>
      <c r="P728" s="76"/>
      <c r="Q728" s="76"/>
    </row>
    <row r="729" ht="15.75" customHeight="1">
      <c r="K729" s="21"/>
      <c r="L729" s="21"/>
      <c r="M729" s="21"/>
      <c r="N729" s="97"/>
      <c r="O729" s="76"/>
      <c r="P729" s="76"/>
      <c r="Q729" s="76"/>
    </row>
    <row r="730" ht="15.75" customHeight="1">
      <c r="K730" s="21"/>
      <c r="L730" s="21"/>
      <c r="M730" s="21"/>
      <c r="N730" s="97"/>
      <c r="O730" s="76"/>
      <c r="P730" s="76"/>
      <c r="Q730" s="76"/>
    </row>
    <row r="731" ht="15.75" customHeight="1">
      <c r="K731" s="21"/>
      <c r="L731" s="21"/>
      <c r="M731" s="21"/>
      <c r="N731" s="97"/>
      <c r="O731" s="76"/>
      <c r="P731" s="76"/>
      <c r="Q731" s="76"/>
    </row>
    <row r="732" ht="15.75" customHeight="1">
      <c r="K732" s="21"/>
      <c r="L732" s="21"/>
      <c r="M732" s="21"/>
      <c r="N732" s="97"/>
      <c r="O732" s="76"/>
      <c r="P732" s="76"/>
      <c r="Q732" s="76"/>
    </row>
    <row r="733" ht="15.75" customHeight="1">
      <c r="K733" s="21"/>
      <c r="L733" s="21"/>
      <c r="M733" s="21"/>
      <c r="N733" s="97"/>
      <c r="O733" s="76"/>
      <c r="P733" s="76"/>
      <c r="Q733" s="76"/>
    </row>
    <row r="734" ht="15.75" customHeight="1">
      <c r="K734" s="21"/>
      <c r="L734" s="21"/>
      <c r="M734" s="21"/>
      <c r="N734" s="97"/>
      <c r="O734" s="76"/>
      <c r="P734" s="76"/>
      <c r="Q734" s="76"/>
    </row>
    <row r="735" ht="15.75" customHeight="1">
      <c r="K735" s="21"/>
      <c r="L735" s="21"/>
      <c r="M735" s="21"/>
      <c r="N735" s="97"/>
      <c r="O735" s="76"/>
      <c r="P735" s="76"/>
      <c r="Q735" s="76"/>
    </row>
    <row r="736" ht="15.75" customHeight="1">
      <c r="K736" s="21"/>
      <c r="L736" s="21"/>
      <c r="M736" s="21"/>
      <c r="N736" s="97"/>
      <c r="O736" s="76"/>
      <c r="P736" s="76"/>
      <c r="Q736" s="76"/>
    </row>
    <row r="737" ht="15.75" customHeight="1">
      <c r="K737" s="21"/>
      <c r="L737" s="21"/>
      <c r="M737" s="21"/>
      <c r="N737" s="97"/>
      <c r="O737" s="76"/>
      <c r="P737" s="76"/>
      <c r="Q737" s="76"/>
    </row>
    <row r="738" ht="15.75" customHeight="1">
      <c r="K738" s="21"/>
      <c r="L738" s="21"/>
      <c r="M738" s="21"/>
      <c r="N738" s="97"/>
      <c r="O738" s="76"/>
      <c r="P738" s="76"/>
      <c r="Q738" s="76"/>
    </row>
    <row r="739" ht="15.75" customHeight="1">
      <c r="K739" s="21"/>
      <c r="L739" s="21"/>
      <c r="M739" s="21"/>
      <c r="N739" s="97"/>
      <c r="O739" s="76"/>
      <c r="P739" s="76"/>
      <c r="Q739" s="76"/>
    </row>
    <row r="740" ht="15.75" customHeight="1">
      <c r="K740" s="21"/>
      <c r="L740" s="21"/>
      <c r="M740" s="21"/>
      <c r="N740" s="97"/>
      <c r="O740" s="76"/>
      <c r="P740" s="76"/>
      <c r="Q740" s="76"/>
    </row>
    <row r="741" ht="15.75" customHeight="1">
      <c r="K741" s="21"/>
      <c r="L741" s="21"/>
      <c r="M741" s="21"/>
      <c r="N741" s="97"/>
      <c r="O741" s="76"/>
      <c r="P741" s="76"/>
      <c r="Q741" s="76"/>
    </row>
    <row r="742" ht="15.75" customHeight="1">
      <c r="K742" s="21"/>
      <c r="L742" s="21"/>
      <c r="M742" s="21"/>
      <c r="N742" s="97"/>
      <c r="O742" s="76"/>
      <c r="P742" s="76"/>
      <c r="Q742" s="76"/>
    </row>
    <row r="743" ht="15.75" customHeight="1">
      <c r="K743" s="21"/>
      <c r="L743" s="21"/>
      <c r="M743" s="21"/>
      <c r="N743" s="97"/>
      <c r="O743" s="76"/>
      <c r="P743" s="76"/>
      <c r="Q743" s="76"/>
    </row>
    <row r="744" ht="15.75" customHeight="1">
      <c r="K744" s="21"/>
      <c r="L744" s="21"/>
      <c r="M744" s="21"/>
      <c r="N744" s="97"/>
      <c r="O744" s="76"/>
      <c r="P744" s="76"/>
      <c r="Q744" s="76"/>
    </row>
    <row r="745" ht="15.75" customHeight="1">
      <c r="K745" s="21"/>
      <c r="L745" s="21"/>
      <c r="M745" s="21"/>
      <c r="N745" s="97"/>
      <c r="O745" s="76"/>
      <c r="P745" s="76"/>
      <c r="Q745" s="76"/>
    </row>
    <row r="746" ht="15.75" customHeight="1">
      <c r="K746" s="21"/>
      <c r="L746" s="21"/>
      <c r="M746" s="21"/>
      <c r="N746" s="97"/>
      <c r="O746" s="76"/>
      <c r="P746" s="76"/>
      <c r="Q746" s="76"/>
    </row>
    <row r="747" ht="15.75" customHeight="1">
      <c r="K747" s="21"/>
      <c r="L747" s="21"/>
      <c r="M747" s="21"/>
      <c r="N747" s="97"/>
      <c r="O747" s="76"/>
      <c r="P747" s="76"/>
      <c r="Q747" s="76"/>
    </row>
    <row r="748" ht="15.75" customHeight="1">
      <c r="K748" s="21"/>
      <c r="L748" s="21"/>
      <c r="M748" s="21"/>
      <c r="N748" s="97"/>
      <c r="O748" s="76"/>
      <c r="P748" s="76"/>
      <c r="Q748" s="76"/>
    </row>
    <row r="749" ht="15.75" customHeight="1">
      <c r="K749" s="21"/>
      <c r="L749" s="21"/>
      <c r="M749" s="21"/>
      <c r="N749" s="97"/>
      <c r="O749" s="76"/>
      <c r="P749" s="76"/>
      <c r="Q749" s="76"/>
    </row>
    <row r="750" ht="15.75" customHeight="1">
      <c r="K750" s="21"/>
      <c r="L750" s="21"/>
      <c r="M750" s="21"/>
      <c r="N750" s="97"/>
      <c r="O750" s="76"/>
      <c r="P750" s="76"/>
      <c r="Q750" s="76"/>
    </row>
    <row r="751" ht="15.75" customHeight="1">
      <c r="K751" s="21"/>
      <c r="L751" s="21"/>
      <c r="M751" s="21"/>
      <c r="N751" s="97"/>
      <c r="O751" s="76"/>
      <c r="P751" s="76"/>
      <c r="Q751" s="76"/>
    </row>
    <row r="752" ht="15.75" customHeight="1">
      <c r="K752" s="21"/>
      <c r="L752" s="21"/>
      <c r="M752" s="21"/>
      <c r="N752" s="97"/>
      <c r="O752" s="76"/>
      <c r="P752" s="76"/>
      <c r="Q752" s="76"/>
    </row>
    <row r="753" ht="15.75" customHeight="1">
      <c r="K753" s="21"/>
      <c r="L753" s="21"/>
      <c r="M753" s="21"/>
      <c r="N753" s="97"/>
      <c r="O753" s="76"/>
      <c r="P753" s="76"/>
      <c r="Q753" s="76"/>
    </row>
    <row r="754" ht="15.75" customHeight="1">
      <c r="K754" s="21"/>
      <c r="L754" s="21"/>
      <c r="M754" s="21"/>
      <c r="N754" s="97"/>
      <c r="O754" s="76"/>
      <c r="P754" s="76"/>
      <c r="Q754" s="76"/>
    </row>
    <row r="755" ht="15.75" customHeight="1">
      <c r="K755" s="21"/>
      <c r="L755" s="21"/>
      <c r="M755" s="21"/>
      <c r="N755" s="97"/>
      <c r="O755" s="76"/>
      <c r="P755" s="76"/>
      <c r="Q755" s="76"/>
    </row>
    <row r="756" ht="15.75" customHeight="1">
      <c r="K756" s="21"/>
      <c r="L756" s="21"/>
      <c r="M756" s="21"/>
      <c r="N756" s="97"/>
      <c r="O756" s="76"/>
      <c r="P756" s="76"/>
      <c r="Q756" s="76"/>
    </row>
    <row r="757" ht="15.75" customHeight="1">
      <c r="K757" s="21"/>
      <c r="L757" s="21"/>
      <c r="M757" s="21"/>
      <c r="N757" s="97"/>
      <c r="O757" s="76"/>
      <c r="P757" s="76"/>
      <c r="Q757" s="76"/>
    </row>
    <row r="758" ht="15.75" customHeight="1">
      <c r="K758" s="21"/>
      <c r="L758" s="21"/>
      <c r="M758" s="21"/>
      <c r="N758" s="97"/>
      <c r="O758" s="76"/>
      <c r="P758" s="76"/>
      <c r="Q758" s="76"/>
    </row>
    <row r="759" ht="15.75" customHeight="1">
      <c r="K759" s="21"/>
      <c r="L759" s="21"/>
      <c r="M759" s="21"/>
      <c r="N759" s="97"/>
      <c r="O759" s="76"/>
      <c r="P759" s="76"/>
      <c r="Q759" s="76"/>
    </row>
    <row r="760" ht="15.75" customHeight="1">
      <c r="K760" s="21"/>
      <c r="L760" s="21"/>
      <c r="M760" s="21"/>
      <c r="N760" s="97"/>
      <c r="O760" s="76"/>
      <c r="P760" s="76"/>
      <c r="Q760" s="76"/>
    </row>
    <row r="761" ht="15.75" customHeight="1">
      <c r="K761" s="21"/>
      <c r="L761" s="21"/>
      <c r="M761" s="21"/>
      <c r="N761" s="97"/>
      <c r="O761" s="76"/>
      <c r="P761" s="76"/>
      <c r="Q761" s="76"/>
    </row>
    <row r="762" ht="15.75" customHeight="1">
      <c r="K762" s="21"/>
      <c r="L762" s="21"/>
      <c r="M762" s="21"/>
      <c r="N762" s="97"/>
      <c r="O762" s="76"/>
      <c r="P762" s="76"/>
      <c r="Q762" s="76"/>
    </row>
    <row r="763" ht="15.75" customHeight="1">
      <c r="K763" s="21"/>
      <c r="L763" s="21"/>
      <c r="M763" s="21"/>
      <c r="N763" s="97"/>
      <c r="O763" s="76"/>
      <c r="P763" s="76"/>
      <c r="Q763" s="76"/>
    </row>
    <row r="764" ht="15.75" customHeight="1">
      <c r="K764" s="21"/>
      <c r="L764" s="21"/>
      <c r="M764" s="21"/>
      <c r="N764" s="97"/>
      <c r="O764" s="76"/>
      <c r="P764" s="76"/>
      <c r="Q764" s="76"/>
    </row>
    <row r="765" ht="15.75" customHeight="1">
      <c r="K765" s="21"/>
      <c r="L765" s="21"/>
      <c r="M765" s="21"/>
      <c r="N765" s="97"/>
      <c r="O765" s="76"/>
      <c r="P765" s="76"/>
      <c r="Q765" s="76"/>
    </row>
    <row r="766" ht="15.75" customHeight="1">
      <c r="K766" s="21"/>
      <c r="L766" s="21"/>
      <c r="M766" s="21"/>
      <c r="N766" s="97"/>
      <c r="O766" s="76"/>
      <c r="P766" s="76"/>
      <c r="Q766" s="76"/>
    </row>
    <row r="767" ht="15.75" customHeight="1">
      <c r="K767" s="21"/>
      <c r="L767" s="21"/>
      <c r="M767" s="21"/>
      <c r="N767" s="97"/>
      <c r="O767" s="76"/>
      <c r="P767" s="76"/>
      <c r="Q767" s="76"/>
    </row>
    <row r="768" ht="15.75" customHeight="1">
      <c r="K768" s="21"/>
      <c r="L768" s="21"/>
      <c r="M768" s="21"/>
      <c r="N768" s="97"/>
      <c r="O768" s="76"/>
      <c r="P768" s="76"/>
      <c r="Q768" s="76"/>
    </row>
    <row r="769" ht="15.75" customHeight="1">
      <c r="K769" s="21"/>
      <c r="L769" s="21"/>
      <c r="M769" s="21"/>
      <c r="N769" s="97"/>
      <c r="O769" s="76"/>
      <c r="P769" s="76"/>
      <c r="Q769" s="76"/>
    </row>
    <row r="770" ht="15.75" customHeight="1">
      <c r="K770" s="21"/>
      <c r="L770" s="21"/>
      <c r="M770" s="21"/>
      <c r="N770" s="97"/>
      <c r="O770" s="76"/>
      <c r="P770" s="76"/>
      <c r="Q770" s="76"/>
    </row>
    <row r="771" ht="15.75" customHeight="1">
      <c r="K771" s="21"/>
      <c r="L771" s="21"/>
      <c r="M771" s="21"/>
      <c r="N771" s="97"/>
      <c r="O771" s="76"/>
      <c r="P771" s="76"/>
      <c r="Q771" s="76"/>
    </row>
    <row r="772" ht="15.75" customHeight="1">
      <c r="K772" s="21"/>
      <c r="L772" s="21"/>
      <c r="M772" s="21"/>
      <c r="N772" s="97"/>
      <c r="O772" s="76"/>
      <c r="P772" s="76"/>
      <c r="Q772" s="76"/>
    </row>
    <row r="773" ht="15.75" customHeight="1">
      <c r="K773" s="21"/>
      <c r="L773" s="21"/>
      <c r="M773" s="21"/>
      <c r="N773" s="97"/>
      <c r="O773" s="76"/>
      <c r="P773" s="76"/>
      <c r="Q773" s="76"/>
    </row>
    <row r="774" ht="15.75" customHeight="1">
      <c r="K774" s="21"/>
      <c r="L774" s="21"/>
      <c r="M774" s="21"/>
      <c r="N774" s="97"/>
      <c r="O774" s="76"/>
      <c r="P774" s="76"/>
      <c r="Q774" s="76"/>
    </row>
    <row r="775" ht="15.75" customHeight="1">
      <c r="K775" s="21"/>
      <c r="L775" s="21"/>
      <c r="M775" s="21"/>
      <c r="N775" s="97"/>
      <c r="O775" s="76"/>
      <c r="P775" s="76"/>
      <c r="Q775" s="76"/>
    </row>
    <row r="776" ht="15.75" customHeight="1">
      <c r="K776" s="21"/>
      <c r="L776" s="21"/>
      <c r="M776" s="21"/>
      <c r="N776" s="97"/>
      <c r="O776" s="76"/>
      <c r="P776" s="76"/>
      <c r="Q776" s="76"/>
    </row>
    <row r="777" ht="15.75" customHeight="1">
      <c r="K777" s="21"/>
      <c r="L777" s="21"/>
      <c r="M777" s="21"/>
      <c r="N777" s="97"/>
      <c r="O777" s="76"/>
      <c r="P777" s="76"/>
      <c r="Q777" s="76"/>
    </row>
    <row r="778" ht="15.75" customHeight="1">
      <c r="K778" s="21"/>
      <c r="L778" s="21"/>
      <c r="M778" s="21"/>
      <c r="N778" s="97"/>
      <c r="O778" s="76"/>
      <c r="P778" s="76"/>
      <c r="Q778" s="76"/>
    </row>
    <row r="779" ht="15.75" customHeight="1">
      <c r="K779" s="21"/>
      <c r="L779" s="21"/>
      <c r="M779" s="21"/>
      <c r="N779" s="97"/>
      <c r="O779" s="76"/>
      <c r="P779" s="76"/>
      <c r="Q779" s="76"/>
    </row>
    <row r="780" ht="15.75" customHeight="1">
      <c r="K780" s="21"/>
      <c r="L780" s="21"/>
      <c r="M780" s="21"/>
      <c r="N780" s="97"/>
      <c r="O780" s="76"/>
      <c r="P780" s="76"/>
      <c r="Q780" s="76"/>
    </row>
    <row r="781" ht="15.75" customHeight="1">
      <c r="K781" s="21"/>
      <c r="L781" s="21"/>
      <c r="M781" s="21"/>
      <c r="N781" s="97"/>
      <c r="O781" s="76"/>
      <c r="P781" s="76"/>
      <c r="Q781" s="76"/>
    </row>
    <row r="782" ht="15.75" customHeight="1">
      <c r="K782" s="21"/>
      <c r="L782" s="21"/>
      <c r="M782" s="21"/>
      <c r="N782" s="97"/>
      <c r="O782" s="76"/>
      <c r="P782" s="76"/>
      <c r="Q782" s="76"/>
    </row>
    <row r="783" ht="15.75" customHeight="1">
      <c r="K783" s="21"/>
      <c r="L783" s="21"/>
      <c r="M783" s="21"/>
      <c r="N783" s="97"/>
      <c r="O783" s="76"/>
      <c r="P783" s="76"/>
      <c r="Q783" s="76"/>
    </row>
    <row r="784" ht="15.75" customHeight="1">
      <c r="K784" s="21"/>
      <c r="L784" s="21"/>
      <c r="M784" s="21"/>
      <c r="N784" s="97"/>
      <c r="O784" s="76"/>
      <c r="P784" s="76"/>
      <c r="Q784" s="76"/>
    </row>
    <row r="785" ht="15.75" customHeight="1">
      <c r="K785" s="21"/>
      <c r="L785" s="21"/>
      <c r="M785" s="21"/>
      <c r="N785" s="97"/>
      <c r="O785" s="76"/>
      <c r="P785" s="76"/>
      <c r="Q785" s="76"/>
    </row>
    <row r="786" ht="15.75" customHeight="1">
      <c r="K786" s="21"/>
      <c r="L786" s="21"/>
      <c r="M786" s="21"/>
      <c r="N786" s="97"/>
      <c r="O786" s="76"/>
      <c r="P786" s="76"/>
      <c r="Q786" s="76"/>
    </row>
    <row r="787" ht="15.75" customHeight="1">
      <c r="K787" s="21"/>
      <c r="L787" s="21"/>
      <c r="M787" s="21"/>
      <c r="N787" s="97"/>
      <c r="O787" s="76"/>
      <c r="P787" s="76"/>
      <c r="Q787" s="76"/>
    </row>
    <row r="788" ht="15.75" customHeight="1">
      <c r="K788" s="21"/>
      <c r="L788" s="21"/>
      <c r="M788" s="21"/>
      <c r="N788" s="97"/>
      <c r="O788" s="76"/>
      <c r="P788" s="76"/>
      <c r="Q788" s="76"/>
    </row>
    <row r="789" ht="15.75" customHeight="1">
      <c r="K789" s="21"/>
      <c r="L789" s="21"/>
      <c r="M789" s="21"/>
      <c r="N789" s="97"/>
      <c r="O789" s="76"/>
      <c r="P789" s="76"/>
      <c r="Q789" s="76"/>
    </row>
    <row r="790" ht="15.75" customHeight="1">
      <c r="K790" s="21"/>
      <c r="L790" s="21"/>
      <c r="M790" s="21"/>
      <c r="N790" s="97"/>
      <c r="O790" s="76"/>
      <c r="P790" s="76"/>
      <c r="Q790" s="76"/>
    </row>
    <row r="791" ht="15.75" customHeight="1">
      <c r="K791" s="21"/>
      <c r="L791" s="21"/>
      <c r="M791" s="21"/>
      <c r="N791" s="97"/>
      <c r="O791" s="76"/>
      <c r="P791" s="76"/>
      <c r="Q791" s="76"/>
    </row>
    <row r="792" ht="15.75" customHeight="1">
      <c r="K792" s="21"/>
      <c r="L792" s="21"/>
      <c r="M792" s="21"/>
      <c r="N792" s="97"/>
      <c r="O792" s="76"/>
      <c r="P792" s="76"/>
      <c r="Q792" s="76"/>
    </row>
    <row r="793" ht="15.75" customHeight="1">
      <c r="K793" s="21"/>
      <c r="L793" s="21"/>
      <c r="M793" s="21"/>
      <c r="N793" s="97"/>
      <c r="O793" s="76"/>
      <c r="P793" s="76"/>
      <c r="Q793" s="76"/>
    </row>
    <row r="794" ht="15.75" customHeight="1">
      <c r="K794" s="21"/>
      <c r="L794" s="21"/>
      <c r="M794" s="21"/>
      <c r="N794" s="97"/>
      <c r="O794" s="76"/>
      <c r="P794" s="76"/>
      <c r="Q794" s="76"/>
    </row>
    <row r="795" ht="15.75" customHeight="1">
      <c r="K795" s="21"/>
      <c r="L795" s="21"/>
      <c r="M795" s="21"/>
      <c r="N795" s="97"/>
      <c r="O795" s="76"/>
      <c r="P795" s="76"/>
      <c r="Q795" s="76"/>
    </row>
    <row r="796" ht="15.75" customHeight="1">
      <c r="K796" s="21"/>
      <c r="L796" s="21"/>
      <c r="M796" s="21"/>
      <c r="N796" s="97"/>
      <c r="O796" s="76"/>
      <c r="P796" s="76"/>
      <c r="Q796" s="76"/>
    </row>
    <row r="797" ht="15.75" customHeight="1">
      <c r="K797" s="21"/>
      <c r="L797" s="21"/>
      <c r="M797" s="21"/>
      <c r="N797" s="97"/>
      <c r="O797" s="76"/>
      <c r="P797" s="76"/>
      <c r="Q797" s="76"/>
    </row>
    <row r="798" ht="15.75" customHeight="1">
      <c r="K798" s="21"/>
      <c r="L798" s="21"/>
      <c r="M798" s="21"/>
      <c r="N798" s="97"/>
      <c r="O798" s="76"/>
      <c r="P798" s="76"/>
      <c r="Q798" s="76"/>
    </row>
    <row r="799" ht="15.75" customHeight="1">
      <c r="K799" s="21"/>
      <c r="L799" s="21"/>
      <c r="M799" s="21"/>
      <c r="N799" s="97"/>
      <c r="O799" s="76"/>
      <c r="P799" s="76"/>
      <c r="Q799" s="76"/>
    </row>
    <row r="800" ht="15.75" customHeight="1">
      <c r="K800" s="21"/>
      <c r="L800" s="21"/>
      <c r="M800" s="21"/>
      <c r="N800" s="97"/>
      <c r="O800" s="76"/>
      <c r="P800" s="76"/>
      <c r="Q800" s="76"/>
    </row>
    <row r="801" ht="15.75" customHeight="1">
      <c r="K801" s="21"/>
      <c r="L801" s="21"/>
      <c r="M801" s="21"/>
      <c r="N801" s="97"/>
      <c r="O801" s="76"/>
      <c r="P801" s="76"/>
      <c r="Q801" s="76"/>
    </row>
    <row r="802" ht="15.75" customHeight="1">
      <c r="K802" s="21"/>
      <c r="L802" s="21"/>
      <c r="M802" s="21"/>
      <c r="N802" s="97"/>
      <c r="O802" s="76"/>
      <c r="P802" s="76"/>
      <c r="Q802" s="76"/>
    </row>
    <row r="803" ht="15.75" customHeight="1">
      <c r="K803" s="21"/>
      <c r="L803" s="21"/>
      <c r="M803" s="21"/>
      <c r="N803" s="97"/>
      <c r="O803" s="76"/>
      <c r="P803" s="76"/>
      <c r="Q803" s="76"/>
    </row>
    <row r="804" ht="15.75" customHeight="1">
      <c r="K804" s="21"/>
      <c r="L804" s="21"/>
      <c r="M804" s="21"/>
      <c r="N804" s="97"/>
      <c r="O804" s="76"/>
      <c r="P804" s="76"/>
      <c r="Q804" s="76"/>
    </row>
    <row r="805" ht="15.75" customHeight="1">
      <c r="K805" s="21"/>
      <c r="L805" s="21"/>
      <c r="M805" s="21"/>
      <c r="N805" s="97"/>
      <c r="O805" s="76"/>
      <c r="P805" s="76"/>
      <c r="Q805" s="76"/>
    </row>
    <row r="806" ht="15.75" customHeight="1">
      <c r="K806" s="21"/>
      <c r="L806" s="21"/>
      <c r="M806" s="21"/>
      <c r="N806" s="97"/>
      <c r="O806" s="76"/>
      <c r="P806" s="76"/>
      <c r="Q806" s="76"/>
    </row>
    <row r="807" ht="15.75" customHeight="1">
      <c r="K807" s="21"/>
      <c r="L807" s="21"/>
      <c r="M807" s="21"/>
      <c r="N807" s="97"/>
      <c r="O807" s="76"/>
      <c r="P807" s="76"/>
      <c r="Q807" s="76"/>
    </row>
    <row r="808" ht="15.75" customHeight="1">
      <c r="K808" s="21"/>
      <c r="L808" s="21"/>
      <c r="M808" s="21"/>
      <c r="N808" s="97"/>
      <c r="O808" s="76"/>
      <c r="P808" s="76"/>
      <c r="Q808" s="76"/>
    </row>
    <row r="809" ht="15.75" customHeight="1">
      <c r="K809" s="21"/>
      <c r="L809" s="21"/>
      <c r="M809" s="21"/>
      <c r="N809" s="97"/>
      <c r="O809" s="76"/>
      <c r="P809" s="76"/>
      <c r="Q809" s="76"/>
    </row>
    <row r="810" ht="15.75" customHeight="1">
      <c r="K810" s="21"/>
      <c r="L810" s="21"/>
      <c r="M810" s="21"/>
      <c r="N810" s="97"/>
      <c r="O810" s="76"/>
      <c r="P810" s="76"/>
      <c r="Q810" s="76"/>
    </row>
    <row r="811" ht="15.75" customHeight="1">
      <c r="K811" s="21"/>
      <c r="L811" s="21"/>
      <c r="M811" s="21"/>
      <c r="N811" s="97"/>
      <c r="O811" s="76"/>
      <c r="P811" s="76"/>
      <c r="Q811" s="76"/>
    </row>
    <row r="812" ht="15.75" customHeight="1">
      <c r="K812" s="21"/>
      <c r="L812" s="21"/>
      <c r="M812" s="21"/>
      <c r="N812" s="97"/>
      <c r="O812" s="76"/>
      <c r="P812" s="76"/>
      <c r="Q812" s="76"/>
    </row>
    <row r="813" ht="15.75" customHeight="1">
      <c r="K813" s="21"/>
      <c r="L813" s="21"/>
      <c r="M813" s="21"/>
      <c r="N813" s="97"/>
      <c r="O813" s="76"/>
      <c r="P813" s="76"/>
      <c r="Q813" s="76"/>
    </row>
    <row r="814" ht="15.75" customHeight="1">
      <c r="K814" s="21"/>
      <c r="L814" s="21"/>
      <c r="M814" s="21"/>
      <c r="N814" s="97"/>
      <c r="O814" s="76"/>
      <c r="P814" s="76"/>
      <c r="Q814" s="76"/>
    </row>
    <row r="815" ht="15.75" customHeight="1">
      <c r="K815" s="21"/>
      <c r="L815" s="21"/>
      <c r="M815" s="21"/>
      <c r="N815" s="97"/>
      <c r="O815" s="76"/>
      <c r="P815" s="76"/>
      <c r="Q815" s="76"/>
    </row>
    <row r="816" ht="15.75" customHeight="1">
      <c r="K816" s="21"/>
      <c r="L816" s="21"/>
      <c r="M816" s="21"/>
      <c r="N816" s="97"/>
      <c r="O816" s="76"/>
      <c r="P816" s="76"/>
      <c r="Q816" s="76"/>
    </row>
    <row r="817" ht="15.75" customHeight="1">
      <c r="K817" s="21"/>
      <c r="L817" s="21"/>
      <c r="M817" s="21"/>
      <c r="N817" s="97"/>
      <c r="O817" s="76"/>
      <c r="P817" s="76"/>
      <c r="Q817" s="76"/>
    </row>
    <row r="818" ht="15.75" customHeight="1">
      <c r="K818" s="21"/>
      <c r="L818" s="21"/>
      <c r="M818" s="21"/>
      <c r="N818" s="97"/>
      <c r="O818" s="76"/>
      <c r="P818" s="76"/>
      <c r="Q818" s="76"/>
    </row>
    <row r="819" ht="15.75" customHeight="1">
      <c r="K819" s="21"/>
      <c r="L819" s="21"/>
      <c r="M819" s="21"/>
      <c r="N819" s="97"/>
      <c r="O819" s="76"/>
      <c r="P819" s="76"/>
      <c r="Q819" s="76"/>
    </row>
    <row r="820" ht="15.75" customHeight="1">
      <c r="K820" s="21"/>
      <c r="L820" s="21"/>
      <c r="M820" s="21"/>
      <c r="N820" s="97"/>
      <c r="O820" s="76"/>
      <c r="P820" s="76"/>
      <c r="Q820" s="76"/>
    </row>
    <row r="821" ht="15.75" customHeight="1">
      <c r="K821" s="21"/>
      <c r="L821" s="21"/>
      <c r="M821" s="21"/>
      <c r="N821" s="97"/>
      <c r="O821" s="76"/>
      <c r="P821" s="76"/>
      <c r="Q821" s="76"/>
    </row>
    <row r="822" ht="15.75" customHeight="1">
      <c r="K822" s="21"/>
      <c r="L822" s="21"/>
      <c r="M822" s="21"/>
      <c r="N822" s="97"/>
      <c r="O822" s="76"/>
      <c r="P822" s="76"/>
      <c r="Q822" s="76"/>
    </row>
    <row r="823" ht="15.75" customHeight="1">
      <c r="K823" s="21"/>
      <c r="L823" s="21"/>
      <c r="M823" s="21"/>
      <c r="N823" s="97"/>
      <c r="O823" s="76"/>
      <c r="P823" s="76"/>
      <c r="Q823" s="76"/>
    </row>
    <row r="824" ht="15.75" customHeight="1">
      <c r="K824" s="21"/>
      <c r="L824" s="21"/>
      <c r="M824" s="21"/>
      <c r="N824" s="97"/>
      <c r="O824" s="76"/>
      <c r="P824" s="76"/>
      <c r="Q824" s="76"/>
    </row>
    <row r="825" ht="15.75" customHeight="1">
      <c r="K825" s="21"/>
      <c r="L825" s="21"/>
      <c r="M825" s="21"/>
      <c r="N825" s="97"/>
      <c r="O825" s="76"/>
      <c r="P825" s="76"/>
      <c r="Q825" s="76"/>
    </row>
    <row r="826" ht="15.75" customHeight="1">
      <c r="K826" s="21"/>
      <c r="L826" s="21"/>
      <c r="M826" s="21"/>
      <c r="N826" s="97"/>
      <c r="O826" s="76"/>
      <c r="P826" s="76"/>
      <c r="Q826" s="76"/>
    </row>
    <row r="827" ht="15.75" customHeight="1">
      <c r="K827" s="21"/>
      <c r="L827" s="21"/>
      <c r="M827" s="21"/>
      <c r="N827" s="97"/>
      <c r="O827" s="76"/>
      <c r="P827" s="76"/>
      <c r="Q827" s="76"/>
    </row>
    <row r="828" ht="15.75" customHeight="1">
      <c r="K828" s="21"/>
      <c r="L828" s="21"/>
      <c r="M828" s="21"/>
      <c r="N828" s="97"/>
      <c r="O828" s="76"/>
      <c r="P828" s="76"/>
      <c r="Q828" s="76"/>
    </row>
    <row r="829" ht="15.75" customHeight="1">
      <c r="K829" s="21"/>
      <c r="L829" s="21"/>
      <c r="M829" s="21"/>
      <c r="N829" s="97"/>
      <c r="O829" s="76"/>
      <c r="P829" s="76"/>
      <c r="Q829" s="76"/>
    </row>
    <row r="830" ht="15.75" customHeight="1">
      <c r="K830" s="21"/>
      <c r="L830" s="21"/>
      <c r="M830" s="21"/>
      <c r="N830" s="97"/>
      <c r="O830" s="76"/>
      <c r="P830" s="76"/>
      <c r="Q830" s="76"/>
    </row>
    <row r="831" ht="15.75" customHeight="1">
      <c r="K831" s="21"/>
      <c r="L831" s="21"/>
      <c r="M831" s="21"/>
      <c r="N831" s="97"/>
      <c r="O831" s="76"/>
      <c r="P831" s="76"/>
      <c r="Q831" s="76"/>
    </row>
    <row r="832" ht="15.75" customHeight="1">
      <c r="K832" s="21"/>
      <c r="L832" s="21"/>
      <c r="M832" s="21"/>
      <c r="N832" s="97"/>
      <c r="O832" s="76"/>
      <c r="P832" s="76"/>
      <c r="Q832" s="76"/>
    </row>
    <row r="833" ht="15.75" customHeight="1">
      <c r="K833" s="21"/>
      <c r="L833" s="21"/>
      <c r="M833" s="21"/>
      <c r="N833" s="97"/>
      <c r="O833" s="76"/>
      <c r="P833" s="76"/>
      <c r="Q833" s="76"/>
    </row>
    <row r="834" ht="15.75" customHeight="1">
      <c r="K834" s="21"/>
      <c r="L834" s="21"/>
      <c r="M834" s="21"/>
      <c r="N834" s="97"/>
      <c r="O834" s="76"/>
      <c r="P834" s="76"/>
      <c r="Q834" s="76"/>
    </row>
    <row r="835" ht="15.75" customHeight="1">
      <c r="K835" s="21"/>
      <c r="L835" s="21"/>
      <c r="M835" s="21"/>
      <c r="N835" s="97"/>
      <c r="O835" s="76"/>
      <c r="P835" s="76"/>
      <c r="Q835" s="76"/>
    </row>
    <row r="836" ht="15.75" customHeight="1">
      <c r="K836" s="21"/>
      <c r="L836" s="21"/>
      <c r="M836" s="21"/>
      <c r="N836" s="97"/>
      <c r="O836" s="76"/>
      <c r="P836" s="76"/>
      <c r="Q836" s="76"/>
    </row>
    <row r="837" ht="15.75" customHeight="1">
      <c r="K837" s="21"/>
      <c r="L837" s="21"/>
      <c r="M837" s="21"/>
      <c r="N837" s="97"/>
      <c r="O837" s="76"/>
      <c r="P837" s="76"/>
      <c r="Q837" s="76"/>
    </row>
    <row r="838" ht="15.75" customHeight="1">
      <c r="K838" s="21"/>
      <c r="L838" s="21"/>
      <c r="M838" s="21"/>
      <c r="N838" s="97"/>
      <c r="O838" s="76"/>
      <c r="P838" s="76"/>
      <c r="Q838" s="76"/>
    </row>
    <row r="839" ht="15.75" customHeight="1">
      <c r="K839" s="21"/>
      <c r="L839" s="21"/>
      <c r="M839" s="21"/>
      <c r="N839" s="97"/>
      <c r="O839" s="76"/>
      <c r="P839" s="76"/>
      <c r="Q839" s="76"/>
    </row>
    <row r="840" ht="15.75" customHeight="1">
      <c r="K840" s="21"/>
      <c r="L840" s="21"/>
      <c r="M840" s="21"/>
      <c r="N840" s="97"/>
      <c r="O840" s="76"/>
      <c r="P840" s="76"/>
      <c r="Q840" s="76"/>
    </row>
    <row r="841" ht="15.75" customHeight="1">
      <c r="K841" s="21"/>
      <c r="L841" s="21"/>
      <c r="M841" s="21"/>
      <c r="N841" s="97"/>
      <c r="O841" s="76"/>
      <c r="P841" s="76"/>
      <c r="Q841" s="76"/>
    </row>
    <row r="842" ht="15.75" customHeight="1">
      <c r="K842" s="21"/>
      <c r="L842" s="21"/>
      <c r="M842" s="21"/>
      <c r="N842" s="97"/>
      <c r="O842" s="76"/>
      <c r="P842" s="76"/>
      <c r="Q842" s="76"/>
    </row>
    <row r="843" ht="15.75" customHeight="1">
      <c r="K843" s="21"/>
      <c r="L843" s="21"/>
      <c r="M843" s="21"/>
      <c r="N843" s="97"/>
      <c r="O843" s="76"/>
      <c r="P843" s="76"/>
      <c r="Q843" s="76"/>
    </row>
    <row r="844" ht="15.75" customHeight="1">
      <c r="K844" s="21"/>
      <c r="L844" s="21"/>
      <c r="M844" s="21"/>
      <c r="N844" s="97"/>
      <c r="O844" s="76"/>
      <c r="P844" s="76"/>
      <c r="Q844" s="76"/>
    </row>
    <row r="845" ht="15.75" customHeight="1">
      <c r="K845" s="21"/>
      <c r="L845" s="21"/>
      <c r="M845" s="21"/>
      <c r="N845" s="97"/>
      <c r="O845" s="76"/>
      <c r="P845" s="76"/>
      <c r="Q845" s="76"/>
    </row>
    <row r="846" ht="15.75" customHeight="1">
      <c r="K846" s="21"/>
      <c r="L846" s="21"/>
      <c r="M846" s="21"/>
      <c r="N846" s="97"/>
      <c r="O846" s="76"/>
      <c r="P846" s="76"/>
      <c r="Q846" s="76"/>
    </row>
    <row r="847" ht="15.75" customHeight="1">
      <c r="K847" s="21"/>
      <c r="L847" s="21"/>
      <c r="M847" s="21"/>
      <c r="N847" s="97"/>
      <c r="O847" s="76"/>
      <c r="P847" s="76"/>
      <c r="Q847" s="76"/>
    </row>
    <row r="848" ht="15.75" customHeight="1">
      <c r="K848" s="21"/>
      <c r="L848" s="21"/>
      <c r="M848" s="21"/>
      <c r="N848" s="97"/>
      <c r="O848" s="76"/>
      <c r="P848" s="76"/>
      <c r="Q848" s="76"/>
    </row>
    <row r="849" ht="15.75" customHeight="1">
      <c r="K849" s="21"/>
      <c r="L849" s="21"/>
      <c r="M849" s="21"/>
      <c r="N849" s="97"/>
      <c r="O849" s="76"/>
      <c r="P849" s="76"/>
      <c r="Q849" s="76"/>
    </row>
    <row r="850" ht="15.75" customHeight="1">
      <c r="K850" s="21"/>
      <c r="L850" s="21"/>
      <c r="M850" s="21"/>
      <c r="N850" s="97"/>
      <c r="O850" s="76"/>
      <c r="P850" s="76"/>
      <c r="Q850" s="76"/>
    </row>
    <row r="851" ht="15.75" customHeight="1">
      <c r="K851" s="21"/>
      <c r="L851" s="21"/>
      <c r="M851" s="21"/>
      <c r="N851" s="97"/>
      <c r="O851" s="76"/>
      <c r="P851" s="76"/>
      <c r="Q851" s="76"/>
    </row>
    <row r="852" ht="15.75" customHeight="1">
      <c r="K852" s="21"/>
      <c r="L852" s="21"/>
      <c r="M852" s="21"/>
      <c r="N852" s="97"/>
      <c r="O852" s="76"/>
      <c r="P852" s="76"/>
      <c r="Q852" s="76"/>
    </row>
    <row r="853" ht="15.75" customHeight="1">
      <c r="K853" s="21"/>
      <c r="L853" s="21"/>
      <c r="M853" s="21"/>
      <c r="N853" s="97"/>
      <c r="O853" s="76"/>
      <c r="P853" s="76"/>
      <c r="Q853" s="76"/>
    </row>
    <row r="854" ht="15.75" customHeight="1">
      <c r="K854" s="21"/>
      <c r="L854" s="21"/>
      <c r="M854" s="21"/>
      <c r="N854" s="97"/>
      <c r="O854" s="76"/>
      <c r="P854" s="76"/>
      <c r="Q854" s="76"/>
    </row>
    <row r="855" ht="15.75" customHeight="1">
      <c r="K855" s="21"/>
      <c r="L855" s="21"/>
      <c r="M855" s="21"/>
      <c r="N855" s="97"/>
      <c r="O855" s="76"/>
      <c r="P855" s="76"/>
      <c r="Q855" s="76"/>
    </row>
    <row r="856" ht="15.75" customHeight="1">
      <c r="K856" s="21"/>
      <c r="L856" s="21"/>
      <c r="M856" s="21"/>
      <c r="N856" s="97"/>
      <c r="O856" s="76"/>
      <c r="P856" s="76"/>
      <c r="Q856" s="76"/>
    </row>
    <row r="857" ht="15.75" customHeight="1">
      <c r="K857" s="21"/>
      <c r="L857" s="21"/>
      <c r="M857" s="21"/>
      <c r="N857" s="97"/>
      <c r="O857" s="76"/>
      <c r="P857" s="76"/>
      <c r="Q857" s="76"/>
    </row>
    <row r="858" ht="15.75" customHeight="1">
      <c r="K858" s="21"/>
      <c r="L858" s="21"/>
      <c r="M858" s="21"/>
      <c r="N858" s="97"/>
      <c r="O858" s="76"/>
      <c r="P858" s="76"/>
      <c r="Q858" s="76"/>
    </row>
    <row r="859" ht="15.75" customHeight="1">
      <c r="K859" s="21"/>
      <c r="L859" s="21"/>
      <c r="M859" s="21"/>
      <c r="N859" s="97"/>
      <c r="O859" s="76"/>
      <c r="P859" s="76"/>
      <c r="Q859" s="76"/>
    </row>
    <row r="860" ht="15.75" customHeight="1">
      <c r="K860" s="21"/>
      <c r="L860" s="21"/>
      <c r="M860" s="21"/>
      <c r="N860" s="97"/>
      <c r="O860" s="76"/>
      <c r="P860" s="76"/>
      <c r="Q860" s="76"/>
    </row>
    <row r="861" ht="15.75" customHeight="1">
      <c r="K861" s="21"/>
      <c r="L861" s="21"/>
      <c r="M861" s="21"/>
      <c r="N861" s="97"/>
      <c r="O861" s="76"/>
      <c r="P861" s="76"/>
      <c r="Q861" s="76"/>
    </row>
    <row r="862" ht="15.75" customHeight="1">
      <c r="K862" s="21"/>
      <c r="L862" s="21"/>
      <c r="M862" s="21"/>
      <c r="N862" s="97"/>
      <c r="O862" s="76"/>
      <c r="P862" s="76"/>
      <c r="Q862" s="76"/>
    </row>
    <row r="863" ht="15.75" customHeight="1">
      <c r="K863" s="21"/>
      <c r="L863" s="21"/>
      <c r="M863" s="21"/>
      <c r="N863" s="97"/>
      <c r="O863" s="76"/>
      <c r="P863" s="76"/>
      <c r="Q863" s="76"/>
    </row>
    <row r="864" ht="15.75" customHeight="1">
      <c r="K864" s="21"/>
      <c r="L864" s="21"/>
      <c r="M864" s="21"/>
      <c r="N864" s="97"/>
      <c r="O864" s="76"/>
      <c r="P864" s="76"/>
      <c r="Q864" s="76"/>
    </row>
    <row r="865" ht="15.75" customHeight="1">
      <c r="K865" s="21"/>
      <c r="L865" s="21"/>
      <c r="M865" s="21"/>
      <c r="N865" s="97"/>
      <c r="O865" s="76"/>
      <c r="P865" s="76"/>
      <c r="Q865" s="76"/>
    </row>
    <row r="866" ht="15.75" customHeight="1">
      <c r="K866" s="21"/>
      <c r="L866" s="21"/>
      <c r="M866" s="21"/>
      <c r="N866" s="97"/>
      <c r="O866" s="76"/>
      <c r="P866" s="76"/>
      <c r="Q866" s="76"/>
    </row>
    <row r="867" ht="15.75" customHeight="1">
      <c r="K867" s="21"/>
      <c r="L867" s="21"/>
      <c r="M867" s="21"/>
      <c r="N867" s="97"/>
      <c r="O867" s="76"/>
      <c r="P867" s="76"/>
      <c r="Q867" s="76"/>
    </row>
    <row r="868" ht="15.75" customHeight="1">
      <c r="K868" s="21"/>
      <c r="L868" s="21"/>
      <c r="M868" s="21"/>
      <c r="N868" s="97"/>
      <c r="O868" s="76"/>
      <c r="P868" s="76"/>
      <c r="Q868" s="76"/>
    </row>
    <row r="869" ht="15.75" customHeight="1">
      <c r="K869" s="21"/>
      <c r="L869" s="21"/>
      <c r="M869" s="21"/>
      <c r="N869" s="97"/>
      <c r="O869" s="76"/>
      <c r="P869" s="76"/>
      <c r="Q869" s="76"/>
    </row>
    <row r="870" ht="15.75" customHeight="1">
      <c r="K870" s="21"/>
      <c r="L870" s="21"/>
      <c r="M870" s="21"/>
      <c r="N870" s="97"/>
      <c r="O870" s="76"/>
      <c r="P870" s="76"/>
      <c r="Q870" s="76"/>
    </row>
    <row r="871" ht="15.75" customHeight="1">
      <c r="K871" s="21"/>
      <c r="L871" s="21"/>
      <c r="M871" s="21"/>
      <c r="N871" s="97"/>
      <c r="O871" s="76"/>
      <c r="P871" s="76"/>
      <c r="Q871" s="76"/>
    </row>
    <row r="872" ht="15.75" customHeight="1">
      <c r="K872" s="21"/>
      <c r="L872" s="21"/>
      <c r="M872" s="21"/>
      <c r="N872" s="97"/>
      <c r="O872" s="76"/>
      <c r="P872" s="76"/>
      <c r="Q872" s="76"/>
    </row>
    <row r="873" ht="15.75" customHeight="1">
      <c r="K873" s="21"/>
      <c r="L873" s="21"/>
      <c r="M873" s="21"/>
      <c r="N873" s="97"/>
      <c r="O873" s="76"/>
      <c r="P873" s="76"/>
      <c r="Q873" s="76"/>
    </row>
    <row r="874" ht="15.75" customHeight="1">
      <c r="K874" s="21"/>
      <c r="L874" s="21"/>
      <c r="M874" s="21"/>
      <c r="N874" s="97"/>
      <c r="O874" s="76"/>
      <c r="P874" s="76"/>
      <c r="Q874" s="76"/>
    </row>
    <row r="875" ht="15.75" customHeight="1">
      <c r="K875" s="21"/>
      <c r="L875" s="21"/>
      <c r="M875" s="21"/>
      <c r="N875" s="97"/>
      <c r="O875" s="76"/>
      <c r="P875" s="76"/>
      <c r="Q875" s="76"/>
    </row>
    <row r="876" ht="15.75" customHeight="1">
      <c r="K876" s="21"/>
      <c r="L876" s="21"/>
      <c r="M876" s="21"/>
      <c r="N876" s="97"/>
      <c r="O876" s="76"/>
      <c r="P876" s="76"/>
      <c r="Q876" s="76"/>
    </row>
    <row r="877" ht="15.75" customHeight="1">
      <c r="K877" s="21"/>
      <c r="L877" s="21"/>
      <c r="M877" s="21"/>
      <c r="N877" s="97"/>
      <c r="O877" s="76"/>
      <c r="P877" s="76"/>
      <c r="Q877" s="76"/>
    </row>
    <row r="878" ht="15.75" customHeight="1">
      <c r="K878" s="21"/>
      <c r="L878" s="21"/>
      <c r="M878" s="21"/>
      <c r="N878" s="97"/>
      <c r="O878" s="76"/>
      <c r="P878" s="76"/>
      <c r="Q878" s="76"/>
    </row>
    <row r="879" ht="15.75" customHeight="1">
      <c r="K879" s="21"/>
      <c r="L879" s="21"/>
      <c r="M879" s="21"/>
      <c r="N879" s="97"/>
      <c r="O879" s="76"/>
      <c r="P879" s="76"/>
      <c r="Q879" s="76"/>
    </row>
    <row r="880" ht="15.75" customHeight="1">
      <c r="K880" s="21"/>
      <c r="L880" s="21"/>
      <c r="M880" s="21"/>
      <c r="N880" s="97"/>
      <c r="O880" s="76"/>
      <c r="P880" s="76"/>
      <c r="Q880" s="76"/>
    </row>
    <row r="881" ht="15.75" customHeight="1">
      <c r="K881" s="21"/>
      <c r="L881" s="21"/>
      <c r="M881" s="21"/>
      <c r="N881" s="97"/>
      <c r="O881" s="76"/>
      <c r="P881" s="76"/>
      <c r="Q881" s="76"/>
    </row>
    <row r="882" ht="15.75" customHeight="1">
      <c r="K882" s="21"/>
      <c r="L882" s="21"/>
      <c r="M882" s="21"/>
      <c r="N882" s="97"/>
      <c r="O882" s="76"/>
      <c r="P882" s="76"/>
      <c r="Q882" s="76"/>
    </row>
    <row r="883" ht="15.75" customHeight="1">
      <c r="K883" s="21"/>
      <c r="L883" s="21"/>
      <c r="M883" s="21"/>
      <c r="N883" s="97"/>
      <c r="O883" s="76"/>
      <c r="P883" s="76"/>
      <c r="Q883" s="76"/>
    </row>
    <row r="884" ht="15.75" customHeight="1">
      <c r="K884" s="21"/>
      <c r="L884" s="21"/>
      <c r="M884" s="21"/>
      <c r="N884" s="97"/>
      <c r="O884" s="76"/>
      <c r="P884" s="76"/>
      <c r="Q884" s="76"/>
    </row>
    <row r="885" ht="15.75" customHeight="1">
      <c r="K885" s="21"/>
      <c r="L885" s="21"/>
      <c r="M885" s="21"/>
      <c r="N885" s="97"/>
      <c r="O885" s="76"/>
      <c r="P885" s="76"/>
      <c r="Q885" s="76"/>
    </row>
    <row r="886" ht="15.75" customHeight="1">
      <c r="K886" s="21"/>
      <c r="L886" s="21"/>
      <c r="M886" s="21"/>
      <c r="N886" s="97"/>
      <c r="O886" s="76"/>
      <c r="P886" s="76"/>
      <c r="Q886" s="76"/>
    </row>
    <row r="887" ht="15.75" customHeight="1">
      <c r="K887" s="21"/>
      <c r="L887" s="21"/>
      <c r="M887" s="21"/>
      <c r="N887" s="97"/>
      <c r="O887" s="76"/>
      <c r="P887" s="76"/>
      <c r="Q887" s="76"/>
    </row>
    <row r="888" ht="15.75" customHeight="1">
      <c r="K888" s="21"/>
      <c r="L888" s="21"/>
      <c r="M888" s="21"/>
      <c r="N888" s="97"/>
      <c r="O888" s="76"/>
      <c r="P888" s="76"/>
      <c r="Q888" s="76"/>
    </row>
    <row r="889" ht="15.75" customHeight="1">
      <c r="K889" s="21"/>
      <c r="L889" s="21"/>
      <c r="M889" s="21"/>
      <c r="N889" s="97"/>
      <c r="O889" s="76"/>
      <c r="P889" s="76"/>
      <c r="Q889" s="76"/>
    </row>
    <row r="890" ht="15.75" customHeight="1">
      <c r="K890" s="21"/>
      <c r="L890" s="21"/>
      <c r="M890" s="21"/>
      <c r="N890" s="97"/>
      <c r="O890" s="76"/>
      <c r="P890" s="76"/>
      <c r="Q890" s="76"/>
    </row>
    <row r="891" ht="15.75" customHeight="1">
      <c r="K891" s="21"/>
      <c r="L891" s="21"/>
      <c r="M891" s="21"/>
      <c r="N891" s="97"/>
      <c r="O891" s="76"/>
      <c r="P891" s="76"/>
      <c r="Q891" s="76"/>
    </row>
    <row r="892" ht="15.75" customHeight="1">
      <c r="K892" s="21"/>
      <c r="L892" s="21"/>
      <c r="M892" s="21"/>
      <c r="N892" s="97"/>
      <c r="O892" s="76"/>
      <c r="P892" s="76"/>
      <c r="Q892" s="76"/>
    </row>
    <row r="893" ht="15.75" customHeight="1">
      <c r="K893" s="21"/>
      <c r="L893" s="21"/>
      <c r="M893" s="21"/>
      <c r="N893" s="97"/>
      <c r="O893" s="76"/>
      <c r="P893" s="76"/>
      <c r="Q893" s="76"/>
    </row>
    <row r="894" ht="15.75" customHeight="1">
      <c r="K894" s="21"/>
      <c r="L894" s="21"/>
      <c r="M894" s="21"/>
      <c r="N894" s="97"/>
      <c r="O894" s="76"/>
      <c r="P894" s="76"/>
      <c r="Q894" s="76"/>
    </row>
    <row r="895" ht="15.75" customHeight="1">
      <c r="K895" s="21"/>
      <c r="L895" s="21"/>
      <c r="M895" s="21"/>
      <c r="N895" s="97"/>
      <c r="O895" s="76"/>
      <c r="P895" s="76"/>
      <c r="Q895" s="76"/>
    </row>
    <row r="896" ht="15.75" customHeight="1">
      <c r="K896" s="21"/>
      <c r="L896" s="21"/>
      <c r="M896" s="21"/>
      <c r="N896" s="97"/>
      <c r="O896" s="76"/>
      <c r="P896" s="76"/>
      <c r="Q896" s="76"/>
    </row>
    <row r="897" ht="15.75" customHeight="1">
      <c r="K897" s="21"/>
      <c r="L897" s="21"/>
      <c r="M897" s="21"/>
      <c r="N897" s="97"/>
      <c r="O897" s="76"/>
      <c r="P897" s="76"/>
      <c r="Q897" s="76"/>
    </row>
    <row r="898" ht="15.75" customHeight="1">
      <c r="K898" s="21"/>
      <c r="L898" s="21"/>
      <c r="M898" s="21"/>
      <c r="N898" s="97"/>
      <c r="O898" s="76"/>
      <c r="P898" s="76"/>
      <c r="Q898" s="76"/>
    </row>
    <row r="899" ht="15.75" customHeight="1">
      <c r="K899" s="21"/>
      <c r="L899" s="21"/>
      <c r="M899" s="21"/>
      <c r="N899" s="97"/>
      <c r="O899" s="76"/>
      <c r="P899" s="76"/>
      <c r="Q899" s="76"/>
    </row>
    <row r="900" ht="15.75" customHeight="1">
      <c r="K900" s="21"/>
      <c r="L900" s="21"/>
      <c r="M900" s="21"/>
      <c r="N900" s="97"/>
      <c r="O900" s="76"/>
      <c r="P900" s="76"/>
      <c r="Q900" s="76"/>
    </row>
    <row r="901" ht="15.75" customHeight="1">
      <c r="K901" s="21"/>
      <c r="L901" s="21"/>
      <c r="M901" s="21"/>
      <c r="N901" s="97"/>
      <c r="O901" s="76"/>
      <c r="P901" s="76"/>
      <c r="Q901" s="76"/>
    </row>
    <row r="902" ht="15.75" customHeight="1">
      <c r="K902" s="21"/>
      <c r="L902" s="21"/>
      <c r="M902" s="21"/>
      <c r="N902" s="97"/>
      <c r="O902" s="76"/>
      <c r="P902" s="76"/>
      <c r="Q902" s="76"/>
    </row>
    <row r="903" ht="15.75" customHeight="1">
      <c r="K903" s="21"/>
      <c r="L903" s="21"/>
      <c r="M903" s="21"/>
      <c r="N903" s="97"/>
      <c r="O903" s="76"/>
      <c r="P903" s="76"/>
      <c r="Q903" s="76"/>
    </row>
    <row r="904" ht="15.75" customHeight="1">
      <c r="K904" s="21"/>
      <c r="L904" s="21"/>
      <c r="M904" s="21"/>
      <c r="N904" s="97"/>
      <c r="O904" s="76"/>
      <c r="P904" s="76"/>
      <c r="Q904" s="76"/>
    </row>
    <row r="905" ht="15.75" customHeight="1">
      <c r="K905" s="21"/>
      <c r="L905" s="21"/>
      <c r="M905" s="21"/>
      <c r="N905" s="97"/>
      <c r="O905" s="76"/>
      <c r="P905" s="76"/>
      <c r="Q905" s="76"/>
    </row>
    <row r="906" ht="15.75" customHeight="1">
      <c r="K906" s="21"/>
      <c r="L906" s="21"/>
      <c r="M906" s="21"/>
      <c r="N906" s="97"/>
      <c r="O906" s="76"/>
      <c r="P906" s="76"/>
      <c r="Q906" s="76"/>
    </row>
    <row r="907" ht="15.75" customHeight="1">
      <c r="K907" s="21"/>
      <c r="L907" s="21"/>
      <c r="M907" s="21"/>
      <c r="N907" s="97"/>
      <c r="O907" s="76"/>
      <c r="P907" s="76"/>
      <c r="Q907" s="76"/>
    </row>
    <row r="908" ht="15.75" customHeight="1">
      <c r="K908" s="21"/>
      <c r="L908" s="21"/>
      <c r="M908" s="21"/>
      <c r="N908" s="97"/>
      <c r="O908" s="76"/>
      <c r="P908" s="76"/>
      <c r="Q908" s="76"/>
    </row>
    <row r="909" ht="15.75" customHeight="1">
      <c r="K909" s="21"/>
      <c r="L909" s="21"/>
      <c r="M909" s="21"/>
      <c r="N909" s="97"/>
      <c r="O909" s="76"/>
      <c r="P909" s="76"/>
      <c r="Q909" s="76"/>
    </row>
    <row r="910" ht="15.75" customHeight="1">
      <c r="K910" s="21"/>
      <c r="L910" s="21"/>
      <c r="M910" s="21"/>
      <c r="N910" s="97"/>
      <c r="O910" s="76"/>
      <c r="P910" s="76"/>
      <c r="Q910" s="76"/>
    </row>
    <row r="911" ht="15.75" customHeight="1">
      <c r="K911" s="21"/>
      <c r="L911" s="21"/>
      <c r="M911" s="21"/>
      <c r="N911" s="97"/>
      <c r="O911" s="76"/>
      <c r="P911" s="76"/>
      <c r="Q911" s="76"/>
    </row>
    <row r="912" ht="15.75" customHeight="1">
      <c r="K912" s="21"/>
      <c r="L912" s="21"/>
      <c r="M912" s="21"/>
      <c r="N912" s="97"/>
      <c r="O912" s="76"/>
      <c r="P912" s="76"/>
      <c r="Q912" s="76"/>
    </row>
    <row r="913" ht="15.75" customHeight="1">
      <c r="K913" s="21"/>
      <c r="L913" s="21"/>
      <c r="M913" s="21"/>
      <c r="N913" s="97"/>
      <c r="O913" s="76"/>
      <c r="P913" s="76"/>
      <c r="Q913" s="76"/>
    </row>
    <row r="914" ht="15.75" customHeight="1">
      <c r="K914" s="21"/>
      <c r="L914" s="21"/>
      <c r="M914" s="21"/>
      <c r="N914" s="97"/>
      <c r="O914" s="76"/>
      <c r="P914" s="76"/>
      <c r="Q914" s="76"/>
    </row>
    <row r="915" ht="15.75" customHeight="1">
      <c r="K915" s="21"/>
      <c r="L915" s="21"/>
      <c r="M915" s="21"/>
      <c r="N915" s="97"/>
      <c r="O915" s="76"/>
      <c r="P915" s="76"/>
      <c r="Q915" s="76"/>
    </row>
    <row r="916" ht="15.75" customHeight="1">
      <c r="K916" s="21"/>
      <c r="L916" s="21"/>
      <c r="M916" s="21"/>
      <c r="N916" s="97"/>
      <c r="O916" s="76"/>
      <c r="P916" s="76"/>
      <c r="Q916" s="76"/>
    </row>
    <row r="917" ht="15.75" customHeight="1">
      <c r="K917" s="21"/>
      <c r="L917" s="21"/>
      <c r="M917" s="21"/>
      <c r="N917" s="97"/>
      <c r="O917" s="76"/>
      <c r="P917" s="76"/>
      <c r="Q917" s="76"/>
    </row>
    <row r="918" ht="15.75" customHeight="1">
      <c r="K918" s="21"/>
      <c r="L918" s="21"/>
      <c r="M918" s="21"/>
      <c r="N918" s="97"/>
      <c r="O918" s="76"/>
      <c r="P918" s="76"/>
      <c r="Q918" s="76"/>
    </row>
    <row r="919" ht="15.75" customHeight="1">
      <c r="K919" s="21"/>
      <c r="L919" s="21"/>
      <c r="M919" s="21"/>
      <c r="N919" s="97"/>
      <c r="O919" s="76"/>
      <c r="P919" s="76"/>
      <c r="Q919" s="76"/>
    </row>
    <row r="920" ht="15.75" customHeight="1">
      <c r="K920" s="21"/>
      <c r="L920" s="21"/>
      <c r="M920" s="21"/>
      <c r="N920" s="97"/>
      <c r="O920" s="76"/>
      <c r="P920" s="76"/>
      <c r="Q920" s="76"/>
    </row>
    <row r="921" ht="15.75" customHeight="1">
      <c r="K921" s="21"/>
      <c r="L921" s="21"/>
      <c r="M921" s="21"/>
      <c r="N921" s="97"/>
      <c r="O921" s="76"/>
      <c r="P921" s="76"/>
      <c r="Q921" s="76"/>
    </row>
    <row r="922" ht="15.75" customHeight="1">
      <c r="K922" s="21"/>
      <c r="L922" s="21"/>
      <c r="M922" s="21"/>
      <c r="N922" s="97"/>
      <c r="O922" s="76"/>
      <c r="P922" s="76"/>
      <c r="Q922" s="76"/>
    </row>
    <row r="923" ht="15.75" customHeight="1">
      <c r="K923" s="21"/>
      <c r="L923" s="21"/>
      <c r="M923" s="21"/>
      <c r="N923" s="97"/>
      <c r="O923" s="76"/>
      <c r="P923" s="76"/>
      <c r="Q923" s="76"/>
    </row>
    <row r="924" ht="15.75" customHeight="1">
      <c r="K924" s="21"/>
      <c r="L924" s="21"/>
      <c r="M924" s="21"/>
      <c r="N924" s="97"/>
      <c r="O924" s="76"/>
      <c r="P924" s="76"/>
      <c r="Q924" s="76"/>
    </row>
    <row r="925" ht="15.75" customHeight="1">
      <c r="K925" s="21"/>
      <c r="L925" s="21"/>
      <c r="M925" s="21"/>
      <c r="N925" s="97"/>
      <c r="O925" s="76"/>
      <c r="P925" s="76"/>
      <c r="Q925" s="76"/>
    </row>
    <row r="926" ht="15.75" customHeight="1">
      <c r="K926" s="21"/>
      <c r="L926" s="21"/>
      <c r="M926" s="21"/>
      <c r="N926" s="97"/>
      <c r="O926" s="76"/>
      <c r="P926" s="76"/>
      <c r="Q926" s="76"/>
    </row>
    <row r="927" ht="15.75" customHeight="1">
      <c r="K927" s="21"/>
      <c r="L927" s="21"/>
      <c r="M927" s="21"/>
      <c r="N927" s="97"/>
      <c r="O927" s="76"/>
      <c r="P927" s="76"/>
      <c r="Q927" s="76"/>
    </row>
    <row r="928" ht="15.75" customHeight="1">
      <c r="K928" s="21"/>
      <c r="L928" s="21"/>
      <c r="M928" s="21"/>
      <c r="N928" s="97"/>
      <c r="O928" s="76"/>
      <c r="P928" s="76"/>
      <c r="Q928" s="76"/>
    </row>
    <row r="929" ht="15.75" customHeight="1">
      <c r="K929" s="21"/>
      <c r="L929" s="21"/>
      <c r="M929" s="21"/>
      <c r="N929" s="97"/>
      <c r="O929" s="76"/>
      <c r="P929" s="76"/>
      <c r="Q929" s="76"/>
    </row>
    <row r="930" ht="15.75" customHeight="1">
      <c r="K930" s="21"/>
      <c r="L930" s="21"/>
      <c r="M930" s="21"/>
      <c r="N930" s="97"/>
      <c r="O930" s="76"/>
      <c r="P930" s="76"/>
      <c r="Q930" s="76"/>
    </row>
    <row r="931" ht="15.75" customHeight="1">
      <c r="K931" s="21"/>
      <c r="L931" s="21"/>
      <c r="M931" s="21"/>
      <c r="N931" s="97"/>
      <c r="O931" s="76"/>
      <c r="P931" s="76"/>
      <c r="Q931" s="76"/>
    </row>
    <row r="932" ht="15.75" customHeight="1">
      <c r="K932" s="21"/>
      <c r="L932" s="21"/>
      <c r="M932" s="21"/>
      <c r="N932" s="97"/>
      <c r="O932" s="76"/>
      <c r="P932" s="76"/>
      <c r="Q932" s="76"/>
    </row>
    <row r="933" ht="15.75" customHeight="1">
      <c r="K933" s="21"/>
      <c r="L933" s="21"/>
      <c r="M933" s="21"/>
      <c r="N933" s="97"/>
      <c r="O933" s="76"/>
      <c r="P933" s="76"/>
      <c r="Q933" s="76"/>
    </row>
    <row r="934" ht="15.75" customHeight="1">
      <c r="K934" s="21"/>
      <c r="L934" s="21"/>
      <c r="M934" s="21"/>
      <c r="N934" s="97"/>
      <c r="O934" s="76"/>
      <c r="P934" s="76"/>
      <c r="Q934" s="76"/>
    </row>
    <row r="935" ht="15.75" customHeight="1">
      <c r="K935" s="21"/>
      <c r="L935" s="21"/>
      <c r="M935" s="21"/>
      <c r="N935" s="97"/>
      <c r="O935" s="76"/>
      <c r="P935" s="76"/>
      <c r="Q935" s="76"/>
    </row>
    <row r="936" ht="15.75" customHeight="1">
      <c r="K936" s="21"/>
      <c r="L936" s="21"/>
      <c r="M936" s="21"/>
      <c r="N936" s="97"/>
      <c r="O936" s="76"/>
      <c r="P936" s="76"/>
      <c r="Q936" s="76"/>
    </row>
    <row r="937" ht="15.75" customHeight="1">
      <c r="K937" s="21"/>
      <c r="L937" s="21"/>
      <c r="M937" s="21"/>
      <c r="N937" s="97"/>
      <c r="O937" s="76"/>
      <c r="P937" s="76"/>
      <c r="Q937" s="76"/>
    </row>
    <row r="938" ht="15.75" customHeight="1">
      <c r="K938" s="21"/>
      <c r="L938" s="21"/>
      <c r="M938" s="21"/>
      <c r="N938" s="97"/>
      <c r="O938" s="76"/>
      <c r="P938" s="76"/>
      <c r="Q938" s="76"/>
    </row>
    <row r="939" ht="15.75" customHeight="1">
      <c r="K939" s="21"/>
      <c r="L939" s="21"/>
      <c r="M939" s="21"/>
      <c r="N939" s="97"/>
      <c r="O939" s="76"/>
      <c r="P939" s="76"/>
      <c r="Q939" s="76"/>
    </row>
    <row r="940" ht="15.75" customHeight="1">
      <c r="K940" s="21"/>
      <c r="L940" s="21"/>
      <c r="M940" s="21"/>
      <c r="N940" s="97"/>
      <c r="O940" s="76"/>
      <c r="P940" s="76"/>
      <c r="Q940" s="76"/>
    </row>
    <row r="941" ht="15.75" customHeight="1">
      <c r="K941" s="21"/>
      <c r="L941" s="21"/>
      <c r="M941" s="21"/>
      <c r="N941" s="97"/>
      <c r="O941" s="76"/>
      <c r="P941" s="76"/>
      <c r="Q941" s="76"/>
    </row>
    <row r="942" ht="15.75" customHeight="1">
      <c r="K942" s="21"/>
      <c r="L942" s="21"/>
      <c r="M942" s="21"/>
      <c r="N942" s="97"/>
      <c r="O942" s="76"/>
      <c r="P942" s="76"/>
      <c r="Q942" s="76"/>
    </row>
    <row r="943" ht="15.75" customHeight="1">
      <c r="K943" s="21"/>
      <c r="L943" s="21"/>
      <c r="M943" s="21"/>
      <c r="N943" s="97"/>
      <c r="O943" s="76"/>
      <c r="P943" s="76"/>
      <c r="Q943" s="76"/>
    </row>
    <row r="944" ht="15.75" customHeight="1">
      <c r="K944" s="21"/>
      <c r="L944" s="21"/>
      <c r="M944" s="21"/>
      <c r="N944" s="97"/>
      <c r="O944" s="76"/>
      <c r="P944" s="76"/>
      <c r="Q944" s="76"/>
    </row>
    <row r="945" ht="15.75" customHeight="1">
      <c r="K945" s="21"/>
      <c r="L945" s="21"/>
      <c r="M945" s="21"/>
      <c r="N945" s="97"/>
      <c r="O945" s="76"/>
      <c r="P945" s="76"/>
      <c r="Q945" s="76"/>
    </row>
    <row r="946" ht="15.75" customHeight="1">
      <c r="K946" s="21"/>
      <c r="L946" s="21"/>
      <c r="M946" s="21"/>
      <c r="N946" s="97"/>
      <c r="O946" s="76"/>
      <c r="P946" s="76"/>
      <c r="Q946" s="76"/>
    </row>
    <row r="947" ht="15.75" customHeight="1">
      <c r="K947" s="21"/>
      <c r="L947" s="21"/>
      <c r="M947" s="21"/>
      <c r="N947" s="97"/>
      <c r="O947" s="76"/>
      <c r="P947" s="76"/>
      <c r="Q947" s="76"/>
    </row>
    <row r="948" ht="15.75" customHeight="1">
      <c r="K948" s="21"/>
      <c r="L948" s="21"/>
      <c r="M948" s="21"/>
      <c r="N948" s="97"/>
      <c r="O948" s="76"/>
      <c r="P948" s="76"/>
      <c r="Q948" s="76"/>
    </row>
    <row r="949" ht="15.75" customHeight="1">
      <c r="K949" s="21"/>
      <c r="L949" s="21"/>
      <c r="M949" s="21"/>
      <c r="N949" s="97"/>
      <c r="O949" s="76"/>
      <c r="P949" s="76"/>
      <c r="Q949" s="76"/>
    </row>
    <row r="950" ht="15.75" customHeight="1">
      <c r="K950" s="21"/>
      <c r="L950" s="21"/>
      <c r="M950" s="21"/>
      <c r="N950" s="97"/>
      <c r="O950" s="76"/>
      <c r="P950" s="76"/>
      <c r="Q950" s="76"/>
    </row>
    <row r="951" ht="15.75" customHeight="1">
      <c r="K951" s="21"/>
      <c r="L951" s="21"/>
      <c r="M951" s="21"/>
      <c r="N951" s="97"/>
      <c r="O951" s="76"/>
      <c r="P951" s="76"/>
      <c r="Q951" s="76"/>
    </row>
    <row r="952" ht="15.75" customHeight="1">
      <c r="K952" s="21"/>
      <c r="L952" s="21"/>
      <c r="M952" s="21"/>
      <c r="N952" s="97"/>
      <c r="O952" s="76"/>
      <c r="P952" s="76"/>
      <c r="Q952" s="76"/>
    </row>
    <row r="953" ht="15.75" customHeight="1">
      <c r="K953" s="21"/>
      <c r="L953" s="21"/>
      <c r="M953" s="21"/>
      <c r="N953" s="97"/>
      <c r="O953" s="76"/>
      <c r="P953" s="76"/>
      <c r="Q953" s="76"/>
    </row>
    <row r="954" ht="15.75" customHeight="1">
      <c r="K954" s="21"/>
      <c r="L954" s="21"/>
      <c r="M954" s="21"/>
      <c r="N954" s="97"/>
      <c r="O954" s="76"/>
      <c r="P954" s="76"/>
      <c r="Q954" s="76"/>
    </row>
    <row r="955" ht="15.75" customHeight="1">
      <c r="K955" s="21"/>
      <c r="L955" s="21"/>
      <c r="M955" s="21"/>
      <c r="N955" s="97"/>
      <c r="O955" s="76"/>
      <c r="P955" s="76"/>
      <c r="Q955" s="76"/>
    </row>
    <row r="956" ht="15.75" customHeight="1">
      <c r="K956" s="21"/>
      <c r="L956" s="21"/>
      <c r="M956" s="21"/>
      <c r="N956" s="97"/>
      <c r="O956" s="76"/>
      <c r="P956" s="76"/>
      <c r="Q956" s="76"/>
    </row>
    <row r="957" ht="15.75" customHeight="1">
      <c r="K957" s="21"/>
      <c r="L957" s="21"/>
      <c r="M957" s="21"/>
      <c r="N957" s="97"/>
      <c r="O957" s="76"/>
      <c r="P957" s="76"/>
      <c r="Q957" s="76"/>
    </row>
    <row r="958" ht="15.75" customHeight="1">
      <c r="K958" s="21"/>
      <c r="L958" s="21"/>
      <c r="M958" s="21"/>
      <c r="N958" s="97"/>
      <c r="O958" s="76"/>
      <c r="P958" s="76"/>
      <c r="Q958" s="76"/>
    </row>
    <row r="959" ht="15.75" customHeight="1">
      <c r="K959" s="21"/>
      <c r="L959" s="21"/>
      <c r="M959" s="21"/>
      <c r="N959" s="97"/>
      <c r="O959" s="76"/>
      <c r="P959" s="76"/>
      <c r="Q959" s="76"/>
    </row>
    <row r="960" ht="15.75" customHeight="1">
      <c r="K960" s="21"/>
      <c r="L960" s="21"/>
      <c r="M960" s="21"/>
      <c r="N960" s="97"/>
      <c r="O960" s="76"/>
      <c r="P960" s="76"/>
      <c r="Q960" s="76"/>
    </row>
    <row r="961" ht="15.75" customHeight="1">
      <c r="K961" s="21"/>
      <c r="L961" s="21"/>
      <c r="M961" s="21"/>
      <c r="N961" s="97"/>
      <c r="O961" s="76"/>
      <c r="P961" s="76"/>
      <c r="Q961" s="76"/>
    </row>
    <row r="962" ht="15.75" customHeight="1">
      <c r="K962" s="21"/>
      <c r="L962" s="21"/>
      <c r="M962" s="21"/>
      <c r="N962" s="97"/>
      <c r="O962" s="76"/>
      <c r="P962" s="76"/>
      <c r="Q962" s="76"/>
    </row>
    <row r="963" ht="15.75" customHeight="1">
      <c r="K963" s="21"/>
      <c r="L963" s="21"/>
      <c r="M963" s="21"/>
      <c r="N963" s="97"/>
      <c r="O963" s="76"/>
      <c r="P963" s="76"/>
      <c r="Q963" s="76"/>
    </row>
    <row r="964" ht="15.75" customHeight="1">
      <c r="K964" s="21"/>
      <c r="L964" s="21"/>
      <c r="M964" s="21"/>
      <c r="N964" s="97"/>
      <c r="O964" s="76"/>
      <c r="P964" s="76"/>
      <c r="Q964" s="76"/>
    </row>
    <row r="965" ht="15.75" customHeight="1">
      <c r="K965" s="21"/>
      <c r="L965" s="21"/>
      <c r="M965" s="21"/>
      <c r="N965" s="97"/>
      <c r="O965" s="76"/>
      <c r="P965" s="76"/>
      <c r="Q965" s="76"/>
    </row>
    <row r="966" ht="15.75" customHeight="1">
      <c r="K966" s="21"/>
      <c r="L966" s="21"/>
      <c r="M966" s="21"/>
      <c r="N966" s="97"/>
      <c r="O966" s="76"/>
      <c r="P966" s="76"/>
      <c r="Q966" s="76"/>
    </row>
    <row r="967" ht="15.75" customHeight="1">
      <c r="K967" s="21"/>
      <c r="L967" s="21"/>
      <c r="M967" s="21"/>
      <c r="N967" s="97"/>
      <c r="O967" s="76"/>
      <c r="P967" s="76"/>
      <c r="Q967" s="76"/>
    </row>
    <row r="968" ht="15.75" customHeight="1">
      <c r="K968" s="21"/>
      <c r="L968" s="21"/>
      <c r="M968" s="21"/>
      <c r="N968" s="97"/>
      <c r="O968" s="76"/>
      <c r="P968" s="76"/>
      <c r="Q968" s="76"/>
    </row>
    <row r="969" ht="15.75" customHeight="1">
      <c r="K969" s="21"/>
      <c r="L969" s="21"/>
      <c r="M969" s="21"/>
      <c r="N969" s="97"/>
      <c r="O969" s="76"/>
      <c r="P969" s="76"/>
      <c r="Q969" s="76"/>
    </row>
    <row r="970" ht="15.75" customHeight="1">
      <c r="K970" s="21"/>
      <c r="L970" s="21"/>
      <c r="M970" s="21"/>
      <c r="N970" s="97"/>
      <c r="O970" s="76"/>
      <c r="P970" s="76"/>
      <c r="Q970" s="76"/>
    </row>
    <row r="971" ht="15.75" customHeight="1">
      <c r="K971" s="21"/>
      <c r="L971" s="21"/>
      <c r="M971" s="21"/>
      <c r="N971" s="97"/>
      <c r="O971" s="76"/>
      <c r="P971" s="76"/>
      <c r="Q971" s="76"/>
    </row>
    <row r="972" ht="15.75" customHeight="1">
      <c r="K972" s="21"/>
      <c r="L972" s="21"/>
      <c r="M972" s="21"/>
      <c r="N972" s="97"/>
      <c r="O972" s="76"/>
      <c r="P972" s="76"/>
      <c r="Q972" s="76"/>
    </row>
    <row r="973" ht="15.75" customHeight="1">
      <c r="K973" s="21"/>
      <c r="L973" s="21"/>
      <c r="M973" s="21"/>
      <c r="N973" s="97"/>
      <c r="O973" s="76"/>
      <c r="P973" s="76"/>
      <c r="Q973" s="76"/>
    </row>
    <row r="974" ht="15.75" customHeight="1">
      <c r="K974" s="21"/>
      <c r="L974" s="21"/>
      <c r="M974" s="21"/>
      <c r="N974" s="97"/>
      <c r="O974" s="76"/>
      <c r="P974" s="76"/>
      <c r="Q974" s="76"/>
    </row>
    <row r="975" ht="15.75" customHeight="1">
      <c r="K975" s="21"/>
      <c r="L975" s="21"/>
      <c r="M975" s="21"/>
      <c r="N975" s="97"/>
      <c r="O975" s="76"/>
      <c r="P975" s="76"/>
      <c r="Q975" s="76"/>
    </row>
    <row r="976" ht="15.75" customHeight="1">
      <c r="K976" s="21"/>
      <c r="L976" s="21"/>
      <c r="M976" s="21"/>
      <c r="N976" s="97"/>
      <c r="O976" s="76"/>
      <c r="P976" s="76"/>
      <c r="Q976" s="76"/>
    </row>
    <row r="977" ht="15.75" customHeight="1">
      <c r="K977" s="21"/>
      <c r="L977" s="21"/>
      <c r="M977" s="21"/>
      <c r="N977" s="97"/>
      <c r="O977" s="76"/>
      <c r="P977" s="76"/>
      <c r="Q977" s="76"/>
    </row>
    <row r="978" ht="15.75" customHeight="1">
      <c r="K978" s="21"/>
      <c r="L978" s="21"/>
      <c r="M978" s="21"/>
      <c r="N978" s="97"/>
      <c r="O978" s="76"/>
      <c r="P978" s="76"/>
      <c r="Q978" s="76"/>
    </row>
    <row r="979" ht="15.75" customHeight="1">
      <c r="K979" s="21"/>
      <c r="L979" s="21"/>
      <c r="M979" s="21"/>
      <c r="N979" s="97"/>
      <c r="O979" s="76"/>
      <c r="P979" s="76"/>
      <c r="Q979" s="76"/>
    </row>
    <row r="980" ht="15.75" customHeight="1">
      <c r="K980" s="21"/>
      <c r="L980" s="21"/>
      <c r="M980" s="21"/>
      <c r="N980" s="97"/>
      <c r="O980" s="76"/>
      <c r="P980" s="76"/>
      <c r="Q980" s="76"/>
    </row>
    <row r="981" ht="15.75" customHeight="1">
      <c r="K981" s="21"/>
      <c r="L981" s="21"/>
      <c r="M981" s="21"/>
      <c r="N981" s="97"/>
      <c r="O981" s="76"/>
      <c r="P981" s="76"/>
      <c r="Q981" s="76"/>
    </row>
    <row r="982" ht="15.75" customHeight="1">
      <c r="K982" s="21"/>
      <c r="L982" s="21"/>
      <c r="M982" s="21"/>
      <c r="N982" s="97"/>
      <c r="O982" s="76"/>
      <c r="P982" s="76"/>
      <c r="Q982" s="76"/>
    </row>
    <row r="983" ht="15.75" customHeight="1">
      <c r="K983" s="21"/>
      <c r="L983" s="21"/>
      <c r="M983" s="21"/>
      <c r="N983" s="97"/>
      <c r="O983" s="76"/>
      <c r="P983" s="76"/>
      <c r="Q983" s="76"/>
    </row>
    <row r="984" ht="15.75" customHeight="1">
      <c r="K984" s="21"/>
      <c r="L984" s="21"/>
      <c r="M984" s="21"/>
      <c r="N984" s="97"/>
      <c r="O984" s="76"/>
      <c r="P984" s="76"/>
      <c r="Q984" s="76"/>
    </row>
    <row r="985" ht="15.75" customHeight="1">
      <c r="K985" s="21"/>
      <c r="L985" s="21"/>
      <c r="M985" s="21"/>
      <c r="N985" s="97"/>
      <c r="O985" s="76"/>
      <c r="P985" s="76"/>
      <c r="Q985" s="76"/>
    </row>
    <row r="986" ht="15.75" customHeight="1">
      <c r="K986" s="21"/>
      <c r="L986" s="21"/>
      <c r="M986" s="21"/>
      <c r="N986" s="97"/>
      <c r="O986" s="76"/>
      <c r="P986" s="76"/>
      <c r="Q986" s="76"/>
    </row>
    <row r="987" ht="15.75" customHeight="1">
      <c r="K987" s="21"/>
      <c r="L987" s="21"/>
      <c r="M987" s="21"/>
      <c r="N987" s="97"/>
      <c r="O987" s="76"/>
      <c r="P987" s="76"/>
      <c r="Q987" s="76"/>
    </row>
    <row r="988" ht="15.75" customHeight="1">
      <c r="K988" s="21"/>
      <c r="L988" s="21"/>
      <c r="M988" s="21"/>
      <c r="N988" s="97"/>
      <c r="O988" s="76"/>
      <c r="P988" s="76"/>
      <c r="Q988" s="76"/>
    </row>
    <row r="989" ht="15.75" customHeight="1">
      <c r="K989" s="21"/>
      <c r="L989" s="21"/>
      <c r="M989" s="21"/>
      <c r="N989" s="97"/>
      <c r="O989" s="76"/>
      <c r="P989" s="76"/>
      <c r="Q989" s="76"/>
    </row>
    <row r="990" ht="15.75" customHeight="1">
      <c r="K990" s="21"/>
      <c r="L990" s="21"/>
      <c r="M990" s="21"/>
      <c r="N990" s="97"/>
      <c r="O990" s="76"/>
      <c r="P990" s="76"/>
      <c r="Q990" s="76"/>
    </row>
    <row r="991" ht="15.75" customHeight="1">
      <c r="K991" s="21"/>
      <c r="L991" s="21"/>
      <c r="M991" s="21"/>
      <c r="N991" s="97"/>
      <c r="O991" s="76"/>
      <c r="P991" s="76"/>
      <c r="Q991" s="76"/>
    </row>
    <row r="992" ht="15.75" customHeight="1">
      <c r="K992" s="21"/>
      <c r="L992" s="21"/>
      <c r="M992" s="21"/>
      <c r="N992" s="97"/>
      <c r="O992" s="76"/>
      <c r="P992" s="76"/>
      <c r="Q992" s="76"/>
    </row>
    <row r="993" ht="15.75" customHeight="1">
      <c r="K993" s="21"/>
      <c r="L993" s="21"/>
      <c r="M993" s="21"/>
      <c r="N993" s="97"/>
      <c r="O993" s="76"/>
      <c r="P993" s="76"/>
      <c r="Q993" s="76"/>
    </row>
    <row r="994" ht="15.75" customHeight="1">
      <c r="K994" s="21"/>
      <c r="L994" s="21"/>
      <c r="M994" s="21"/>
      <c r="N994" s="97"/>
      <c r="O994" s="76"/>
      <c r="P994" s="76"/>
      <c r="Q994" s="76"/>
    </row>
    <row r="995" ht="15.75" customHeight="1">
      <c r="K995" s="21"/>
      <c r="L995" s="21"/>
      <c r="M995" s="21"/>
      <c r="N995" s="97"/>
      <c r="O995" s="76"/>
      <c r="P995" s="76"/>
      <c r="Q995" s="76"/>
    </row>
    <row r="996" ht="15.75" customHeight="1">
      <c r="K996" s="21"/>
      <c r="L996" s="21"/>
      <c r="M996" s="21"/>
      <c r="N996" s="97"/>
      <c r="O996" s="76"/>
      <c r="P996" s="76"/>
      <c r="Q996" s="76"/>
    </row>
    <row r="997" ht="15.75" customHeight="1">
      <c r="K997" s="21"/>
      <c r="L997" s="21"/>
      <c r="M997" s="21"/>
      <c r="N997" s="97"/>
      <c r="O997" s="76"/>
      <c r="P997" s="76"/>
      <c r="Q997" s="76"/>
    </row>
    <row r="998" ht="15.75" customHeight="1">
      <c r="K998" s="21"/>
      <c r="L998" s="21"/>
      <c r="M998" s="21"/>
      <c r="N998" s="97"/>
      <c r="O998" s="76"/>
      <c r="P998" s="76"/>
      <c r="Q998" s="76"/>
    </row>
    <row r="999" ht="15.75" customHeight="1">
      <c r="K999" s="21"/>
      <c r="L999" s="21"/>
      <c r="M999" s="21"/>
      <c r="N999" s="97"/>
      <c r="O999" s="76"/>
      <c r="P999" s="76"/>
      <c r="Q999" s="76"/>
    </row>
    <row r="1000" ht="15.75" customHeight="1">
      <c r="K1000" s="21"/>
      <c r="L1000" s="21"/>
      <c r="M1000" s="21"/>
      <c r="N1000" s="97"/>
      <c r="O1000" s="76"/>
      <c r="P1000" s="76"/>
      <c r="Q1000" s="76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2"/>
  <cols>
    <col customWidth="1" min="1" max="1" width="2.0"/>
    <col customWidth="1" min="2" max="2" width="26.57"/>
    <col customWidth="1" min="3" max="3" width="16.57"/>
    <col customWidth="1" min="4" max="8" width="14.86"/>
    <col customWidth="1" min="9" max="9" width="3.43"/>
    <col customWidth="1" min="10" max="12" width="13.43"/>
  </cols>
  <sheetData>
    <row r="1" ht="18.0" customHeight="1">
      <c r="A1" s="1"/>
      <c r="B1" s="2" t="s">
        <v>0</v>
      </c>
      <c r="C1" s="31"/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1"/>
      <c r="J1" s="3" t="s">
        <v>11</v>
      </c>
      <c r="K1" s="3" t="s">
        <v>12</v>
      </c>
      <c r="L1" s="3" t="s">
        <v>13</v>
      </c>
      <c r="M1" s="3" t="s">
        <v>14</v>
      </c>
    </row>
    <row r="2" ht="18.0" hidden="1" customHeight="1" outlineLevel="2">
      <c r="A2" s="4"/>
      <c r="B2" s="5" t="s">
        <v>17</v>
      </c>
      <c r="C2" s="32"/>
      <c r="D2" s="7">
        <v>1208.0</v>
      </c>
      <c r="E2" s="7">
        <v>822.0</v>
      </c>
      <c r="F2" s="7">
        <v>222.0</v>
      </c>
      <c r="G2" s="7">
        <v>2252.0</v>
      </c>
      <c r="H2" s="7"/>
      <c r="I2" s="4"/>
      <c r="J2" s="21"/>
      <c r="K2" s="21"/>
      <c r="L2" s="21"/>
      <c r="M2" s="21"/>
    </row>
    <row r="3" ht="18.0" hidden="1" customHeight="1" outlineLevel="2">
      <c r="A3" s="4"/>
      <c r="B3" s="5" t="s">
        <v>18</v>
      </c>
      <c r="C3" s="32"/>
      <c r="D3" s="7">
        <v>4088.0</v>
      </c>
      <c r="E3" s="7">
        <v>3793.0</v>
      </c>
      <c r="F3" s="7">
        <v>4628.0</v>
      </c>
      <c r="G3" s="7">
        <v>12509.0</v>
      </c>
      <c r="H3" s="7"/>
      <c r="I3" s="4"/>
      <c r="J3" s="21"/>
      <c r="K3" s="21"/>
      <c r="L3" s="21"/>
      <c r="M3" s="21"/>
    </row>
    <row r="4" ht="18.0" hidden="1" customHeight="1" outlineLevel="2">
      <c r="A4" s="4"/>
      <c r="B4" s="5" t="s">
        <v>96</v>
      </c>
      <c r="C4" s="5" t="s">
        <v>40</v>
      </c>
      <c r="D4" s="7">
        <v>5331.0</v>
      </c>
      <c r="E4" s="7">
        <v>4695.0</v>
      </c>
      <c r="F4" s="7">
        <v>4779.0</v>
      </c>
      <c r="G4" s="7">
        <v>14805.0</v>
      </c>
      <c r="H4" s="7"/>
      <c r="I4" s="4"/>
      <c r="J4" s="21"/>
      <c r="K4" s="21"/>
      <c r="L4" s="21"/>
      <c r="M4" s="21"/>
    </row>
    <row r="5" ht="18.0" hidden="1" customHeight="1" outlineLevel="2">
      <c r="A5" s="4"/>
      <c r="B5" s="5"/>
      <c r="C5" s="79" t="s">
        <v>41</v>
      </c>
      <c r="D5" s="80">
        <v>5296.0</v>
      </c>
      <c r="E5" s="80">
        <v>4615.0</v>
      </c>
      <c r="F5" s="80">
        <v>4850.0</v>
      </c>
      <c r="G5" s="80">
        <v>14761.0</v>
      </c>
      <c r="H5" s="7"/>
      <c r="I5" s="4"/>
      <c r="J5" s="21">
        <v>-35.0</v>
      </c>
      <c r="K5" s="21">
        <v>-80.0</v>
      </c>
      <c r="L5" s="21">
        <v>71.0</v>
      </c>
      <c r="M5" s="21">
        <v>-44.0</v>
      </c>
    </row>
    <row r="6" ht="18.0" hidden="1" customHeight="1" outlineLevel="2">
      <c r="A6" s="4"/>
      <c r="B6" s="5" t="s">
        <v>97</v>
      </c>
      <c r="C6" s="5" t="s">
        <v>40</v>
      </c>
      <c r="D6" s="7">
        <v>1548.0</v>
      </c>
      <c r="E6" s="7">
        <v>1318.0</v>
      </c>
      <c r="F6" s="7">
        <v>1450.0</v>
      </c>
      <c r="G6" s="7">
        <v>4316.0</v>
      </c>
      <c r="H6" s="7"/>
      <c r="I6" s="4"/>
      <c r="J6" s="21"/>
      <c r="K6" s="21"/>
      <c r="L6" s="21"/>
      <c r="M6" s="21"/>
    </row>
    <row r="7" ht="18.0" hidden="1" customHeight="1" outlineLevel="2">
      <c r="A7" s="4"/>
      <c r="B7" s="5"/>
      <c r="C7" s="79" t="s">
        <v>41</v>
      </c>
      <c r="D7" s="80">
        <v>1518.0</v>
      </c>
      <c r="E7" s="80">
        <v>1342.0</v>
      </c>
      <c r="F7" s="80">
        <v>1481.0</v>
      </c>
      <c r="G7" s="80">
        <v>4341.0</v>
      </c>
      <c r="H7" s="7"/>
      <c r="I7" s="4"/>
      <c r="J7" s="21">
        <v>-30.0</v>
      </c>
      <c r="K7" s="21">
        <v>24.0</v>
      </c>
      <c r="L7" s="21">
        <v>31.0</v>
      </c>
      <c r="M7" s="21">
        <v>25.0</v>
      </c>
    </row>
    <row r="8" ht="18.0" hidden="1" customHeight="1" outlineLevel="2">
      <c r="A8" s="4"/>
      <c r="B8" s="8" t="s">
        <v>98</v>
      </c>
      <c r="C8" s="5" t="s">
        <v>40</v>
      </c>
      <c r="D8" s="9">
        <v>0.9662921348314607</v>
      </c>
      <c r="E8" s="9">
        <v>0.7086021505376344</v>
      </c>
      <c r="F8" s="9">
        <v>0.7795698924731183</v>
      </c>
      <c r="G8" s="81">
        <v>0.8487708947885939</v>
      </c>
      <c r="H8" s="7"/>
      <c r="I8" s="4"/>
      <c r="J8" s="21"/>
      <c r="K8" s="21"/>
      <c r="L8" s="21"/>
      <c r="M8" s="21"/>
    </row>
    <row r="9" ht="18.0" hidden="1" customHeight="1" outlineLevel="2">
      <c r="A9" s="4"/>
      <c r="B9" s="8"/>
      <c r="C9" s="79" t="s">
        <v>41</v>
      </c>
      <c r="D9" s="82">
        <v>0.947565543071161</v>
      </c>
      <c r="E9" s="82">
        <v>0.7215053763440861</v>
      </c>
      <c r="F9" s="82">
        <v>0.796236559139785</v>
      </c>
      <c r="G9" s="82">
        <v>0.8536873156342183</v>
      </c>
      <c r="H9" s="9"/>
      <c r="I9" s="4"/>
      <c r="J9" s="21">
        <v>-0.01872659176029967</v>
      </c>
      <c r="K9" s="21">
        <v>0.012903225806451646</v>
      </c>
      <c r="L9" s="21">
        <v>0.01666666666666672</v>
      </c>
      <c r="M9" s="21">
        <v>0.004916420845624381</v>
      </c>
    </row>
    <row r="10" ht="18.0" hidden="1" customHeight="1" outlineLevel="2">
      <c r="A10" s="4"/>
      <c r="B10" s="5" t="s">
        <v>99</v>
      </c>
      <c r="C10" s="5" t="s">
        <v>40</v>
      </c>
      <c r="D10" s="83">
        <v>11539.0</v>
      </c>
      <c r="E10" s="83">
        <v>10367.0</v>
      </c>
      <c r="F10" s="83">
        <v>12998.06716886378</v>
      </c>
      <c r="G10" s="83">
        <v>11639.0</v>
      </c>
      <c r="H10" s="9"/>
      <c r="I10" s="4"/>
      <c r="J10" s="21"/>
      <c r="K10" s="21"/>
      <c r="L10" s="21"/>
      <c r="M10" s="21"/>
    </row>
    <row r="11" ht="18.0" hidden="1" customHeight="1" outlineLevel="2">
      <c r="A11" s="4"/>
      <c r="B11" s="5"/>
      <c r="C11" s="79" t="s">
        <v>41</v>
      </c>
      <c r="D11" s="80">
        <v>12545.0</v>
      </c>
      <c r="E11" s="80">
        <v>10676.0</v>
      </c>
      <c r="F11" s="80">
        <v>14116.0</v>
      </c>
      <c r="G11" s="80">
        <v>12477.0</v>
      </c>
      <c r="H11" s="7"/>
      <c r="I11" s="4"/>
      <c r="J11" s="21">
        <v>1006.0</v>
      </c>
      <c r="K11" s="21">
        <v>309.0</v>
      </c>
      <c r="L11" s="21">
        <v>1117.9328311362206</v>
      </c>
      <c r="M11" s="21">
        <v>838.0</v>
      </c>
    </row>
    <row r="12" ht="18.0" hidden="1" customHeight="1" outlineLevel="2">
      <c r="A12" s="4"/>
      <c r="B12" s="84" t="s">
        <v>100</v>
      </c>
      <c r="C12" s="5" t="s">
        <v>40</v>
      </c>
      <c r="D12" s="85">
        <v>3.444</v>
      </c>
      <c r="E12" s="85">
        <v>3.5629999999999997</v>
      </c>
      <c r="F12" s="85">
        <v>3.296</v>
      </c>
      <c r="G12" s="85">
        <v>3.430259499536608</v>
      </c>
      <c r="H12" s="7"/>
      <c r="I12" s="4"/>
      <c r="J12" s="21"/>
      <c r="K12" s="21"/>
      <c r="L12" s="21"/>
      <c r="M12" s="21"/>
    </row>
    <row r="13" ht="18.0" hidden="1" customHeight="1" outlineLevel="2">
      <c r="A13" s="86"/>
      <c r="B13" s="84"/>
      <c r="C13" s="79" t="s">
        <v>41</v>
      </c>
      <c r="D13" s="87">
        <v>3.4888010540184453</v>
      </c>
      <c r="E13" s="87">
        <v>3.438897168405365</v>
      </c>
      <c r="F13" s="87">
        <v>3.274814314652262</v>
      </c>
      <c r="G13" s="87">
        <v>3.4003685786685094</v>
      </c>
      <c r="H13" s="85"/>
      <c r="I13" s="86"/>
      <c r="J13" s="88">
        <v>0.04480105401844536</v>
      </c>
      <c r="K13" s="88">
        <v>-0.12410283159463464</v>
      </c>
      <c r="L13" s="88">
        <v>-0.02118568534773768</v>
      </c>
      <c r="M13" s="88">
        <v>-0.029890920868098636</v>
      </c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8.0" hidden="1" customHeight="1" outlineLevel="1">
      <c r="A14" s="4"/>
      <c r="B14" s="33" t="s">
        <v>101</v>
      </c>
      <c r="C14" s="4"/>
      <c r="D14" s="34">
        <v>8403864.0</v>
      </c>
      <c r="E14" s="34">
        <v>9149490.0</v>
      </c>
      <c r="F14" s="34">
        <v>1.6298956E7</v>
      </c>
      <c r="G14" s="34">
        <v>3.385231E7</v>
      </c>
      <c r="H14" s="34">
        <v>0.0</v>
      </c>
      <c r="I14" s="4"/>
      <c r="J14" s="21"/>
      <c r="K14" s="21"/>
      <c r="L14" s="21"/>
      <c r="M14" s="21"/>
    </row>
    <row r="15" ht="18.0" hidden="1" customHeight="1" outlineLevel="1">
      <c r="A15" s="4"/>
      <c r="B15" s="33" t="s">
        <v>102</v>
      </c>
      <c r="C15" s="4"/>
      <c r="D15" s="34">
        <v>5.661426E7</v>
      </c>
      <c r="E15" s="34">
        <v>3.9092286E7</v>
      </c>
      <c r="F15" s="34">
        <v>3.5501181E7</v>
      </c>
      <c r="G15" s="34">
        <v>1.31207727E8</v>
      </c>
      <c r="H15" s="34">
        <v>0.0</v>
      </c>
      <c r="I15" s="4"/>
      <c r="J15" s="21"/>
      <c r="K15" s="21"/>
      <c r="L15" s="21"/>
      <c r="M15" s="21"/>
    </row>
    <row r="16" ht="18.0" hidden="1" customHeight="1" outlineLevel="1">
      <c r="A16" s="4"/>
      <c r="B16" s="33" t="s">
        <v>39</v>
      </c>
      <c r="C16" s="4"/>
      <c r="D16" s="34">
        <v>1320250.0</v>
      </c>
      <c r="E16" s="34">
        <v>942364.0</v>
      </c>
      <c r="F16" s="34">
        <v>2977943.0</v>
      </c>
      <c r="G16" s="34">
        <v>5240557.0</v>
      </c>
      <c r="H16" s="34">
        <v>0.0</v>
      </c>
      <c r="I16" s="4"/>
      <c r="J16" s="21"/>
      <c r="K16" s="21"/>
      <c r="L16" s="21"/>
      <c r="M16" s="21"/>
    </row>
    <row r="17" ht="18.0" hidden="1" customHeight="1" outlineLevel="1">
      <c r="A17" s="4"/>
      <c r="B17" s="33" t="s">
        <v>103</v>
      </c>
      <c r="C17" s="4"/>
      <c r="D17" s="34">
        <v>0.0</v>
      </c>
      <c r="E17" s="34">
        <v>0.0</v>
      </c>
      <c r="F17" s="34">
        <v>1.3663081E7</v>
      </c>
      <c r="G17" s="34">
        <v>1.3663081E7</v>
      </c>
      <c r="H17" s="34">
        <v>0.0</v>
      </c>
      <c r="I17" s="4"/>
      <c r="J17" s="21"/>
      <c r="K17" s="21"/>
      <c r="L17" s="21"/>
      <c r="M17" s="21"/>
    </row>
    <row r="18" ht="18.0" hidden="1" customHeight="1" outlineLevel="1">
      <c r="A18" s="4"/>
      <c r="B18" s="33" t="s">
        <v>104</v>
      </c>
      <c r="C18" s="4"/>
      <c r="D18" s="34">
        <v>99762.0</v>
      </c>
      <c r="E18" s="34">
        <v>83477.0</v>
      </c>
      <c r="F18" s="34">
        <v>0.0</v>
      </c>
      <c r="G18" s="34">
        <v>183239.0</v>
      </c>
      <c r="H18" s="34">
        <v>0.0</v>
      </c>
      <c r="I18" s="4"/>
      <c r="J18" s="21"/>
      <c r="K18" s="21"/>
      <c r="L18" s="21"/>
      <c r="M18" s="21"/>
    </row>
    <row r="19" ht="18.0" hidden="1" customHeight="1" outlineLevel="1">
      <c r="A19" s="4"/>
      <c r="B19" s="33" t="s">
        <v>105</v>
      </c>
      <c r="C19" s="4"/>
      <c r="D19" s="34">
        <v>0.0</v>
      </c>
      <c r="E19" s="34">
        <v>0.0</v>
      </c>
      <c r="F19" s="34">
        <v>16920.0</v>
      </c>
      <c r="G19" s="34">
        <v>16920.0</v>
      </c>
      <c r="H19" s="34">
        <v>0.0</v>
      </c>
      <c r="I19" s="4"/>
      <c r="J19" s="21"/>
      <c r="K19" s="21"/>
      <c r="L19" s="21"/>
      <c r="M19" s="21"/>
    </row>
    <row r="20" ht="18.0" customHeight="1" collapsed="1">
      <c r="A20" s="4"/>
      <c r="B20" s="15" t="s">
        <v>24</v>
      </c>
      <c r="C20" s="35" t="s">
        <v>40</v>
      </c>
      <c r="D20" s="36">
        <v>6.1514409E7</v>
      </c>
      <c r="E20" s="36">
        <v>4.8673065E7</v>
      </c>
      <c r="F20" s="36">
        <v>6.2117763E7</v>
      </c>
      <c r="G20" s="36">
        <v>1.72305237E8</v>
      </c>
      <c r="H20" s="36">
        <v>0.0</v>
      </c>
      <c r="I20" s="4"/>
      <c r="J20" s="21"/>
      <c r="K20" s="21"/>
      <c r="L20" s="21"/>
      <c r="M20" s="21"/>
    </row>
    <row r="21" ht="18.0" customHeight="1">
      <c r="A21" s="4"/>
      <c r="B21" s="15"/>
      <c r="C21" s="15" t="s">
        <v>41</v>
      </c>
      <c r="D21" s="16">
        <v>6.6438136E7</v>
      </c>
      <c r="E21" s="16">
        <v>4.9267617E7</v>
      </c>
      <c r="F21" s="16">
        <v>6.8458081E7</v>
      </c>
      <c r="G21" s="16">
        <v>1.84163834E8</v>
      </c>
      <c r="H21" s="16">
        <v>0.0</v>
      </c>
      <c r="I21" s="4"/>
      <c r="J21" s="21">
        <v>4923727.0</v>
      </c>
      <c r="K21" s="21">
        <v>594552.0</v>
      </c>
      <c r="L21" s="21">
        <v>6340318.0</v>
      </c>
      <c r="M21" s="21">
        <v>1.1858597E7</v>
      </c>
    </row>
    <row r="22" ht="18.0" hidden="1" customHeight="1" outlineLevel="1">
      <c r="A22" s="4"/>
      <c r="B22" s="33" t="s">
        <v>106</v>
      </c>
      <c r="C22" s="4"/>
      <c r="D22" s="34">
        <v>3936848.0</v>
      </c>
      <c r="E22" s="34">
        <v>4002674.0</v>
      </c>
      <c r="F22" s="34">
        <v>6391803.0</v>
      </c>
      <c r="G22" s="34">
        <v>1.4331325E7</v>
      </c>
      <c r="H22" s="34">
        <v>0.0</v>
      </c>
      <c r="I22" s="4"/>
      <c r="J22" s="21"/>
      <c r="K22" s="21"/>
      <c r="L22" s="21"/>
      <c r="M22" s="21"/>
    </row>
    <row r="23" ht="18.0" hidden="1" customHeight="1" outlineLevel="1">
      <c r="A23" s="4"/>
      <c r="B23" s="33" t="s">
        <v>107</v>
      </c>
      <c r="C23" s="4"/>
      <c r="D23" s="34">
        <v>1252716.0</v>
      </c>
      <c r="E23" s="34">
        <v>866996.0</v>
      </c>
      <c r="F23" s="34">
        <v>1534841.0</v>
      </c>
      <c r="G23" s="34">
        <v>3654553.0</v>
      </c>
      <c r="H23" s="34">
        <v>0.0</v>
      </c>
      <c r="I23" s="4"/>
      <c r="J23" s="21"/>
      <c r="K23" s="21"/>
      <c r="L23" s="21"/>
      <c r="M23" s="21"/>
    </row>
    <row r="24" ht="18.0" customHeight="1" collapsed="1">
      <c r="A24" s="4"/>
      <c r="B24" s="15" t="s">
        <v>25</v>
      </c>
      <c r="C24" s="35" t="s">
        <v>40</v>
      </c>
      <c r="D24" s="36">
        <v>3485675.0</v>
      </c>
      <c r="E24" s="36">
        <v>5448272.0</v>
      </c>
      <c r="F24" s="36">
        <v>5194630.0</v>
      </c>
      <c r="G24" s="36">
        <v>1.4128577E7</v>
      </c>
      <c r="H24" s="36">
        <v>0.0</v>
      </c>
      <c r="I24" s="4"/>
      <c r="J24" s="21"/>
      <c r="K24" s="21"/>
      <c r="L24" s="21"/>
      <c r="M24" s="21"/>
    </row>
    <row r="25" ht="18.0" customHeight="1">
      <c r="A25" s="4"/>
      <c r="B25" s="15"/>
      <c r="C25" s="15" t="s">
        <v>41</v>
      </c>
      <c r="D25" s="16">
        <v>5189564.0</v>
      </c>
      <c r="E25" s="16">
        <v>4869670.0</v>
      </c>
      <c r="F25" s="16">
        <v>7926644.0</v>
      </c>
      <c r="G25" s="16">
        <v>1.7985878E7</v>
      </c>
      <c r="H25" s="16">
        <v>0.0</v>
      </c>
      <c r="I25" s="4"/>
      <c r="J25" s="21">
        <v>1703889.0</v>
      </c>
      <c r="K25" s="21">
        <v>-578602.0</v>
      </c>
      <c r="L25" s="21">
        <v>2732014.0</v>
      </c>
      <c r="M25" s="21">
        <v>3857301.0</v>
      </c>
    </row>
    <row r="26" ht="18.0" hidden="1" customHeight="1">
      <c r="A26" s="17"/>
      <c r="B26" s="18" t="s">
        <v>26</v>
      </c>
      <c r="C26" s="18"/>
      <c r="D26" s="16"/>
      <c r="E26" s="16"/>
      <c r="F26" s="16"/>
      <c r="G26" s="16"/>
      <c r="H26" s="16"/>
      <c r="I26" s="17"/>
      <c r="J26" s="21"/>
      <c r="K26" s="21"/>
      <c r="L26" s="21"/>
      <c r="M26" s="21"/>
    </row>
    <row r="27" ht="18.0" customHeight="1">
      <c r="A27" s="21"/>
      <c r="B27" s="22" t="s">
        <v>27</v>
      </c>
      <c r="C27" s="35" t="s">
        <v>40</v>
      </c>
      <c r="D27" s="37">
        <v>5.8028734E7</v>
      </c>
      <c r="E27" s="37">
        <v>4.3224793E7</v>
      </c>
      <c r="F27" s="37">
        <v>5.6923133E7</v>
      </c>
      <c r="G27" s="37">
        <v>1.5817666E8</v>
      </c>
      <c r="H27" s="37">
        <v>0.0</v>
      </c>
      <c r="I27" s="21"/>
      <c r="J27" s="21"/>
      <c r="K27" s="21"/>
      <c r="L27" s="21"/>
      <c r="M27" s="21"/>
    </row>
    <row r="28" ht="18.0" customHeight="1">
      <c r="A28" s="21"/>
      <c r="B28" s="22"/>
      <c r="C28" s="15" t="s">
        <v>41</v>
      </c>
      <c r="D28" s="23">
        <v>6.1248572E7</v>
      </c>
      <c r="E28" s="23">
        <v>4.4397947E7</v>
      </c>
      <c r="F28" s="23">
        <v>6.0531437E7</v>
      </c>
      <c r="G28" s="23">
        <v>1.66177956E8</v>
      </c>
      <c r="H28" s="23">
        <v>0.0</v>
      </c>
      <c r="I28" s="21"/>
      <c r="J28" s="21">
        <v>3219838.0</v>
      </c>
      <c r="K28" s="21">
        <v>1173154.0</v>
      </c>
      <c r="L28" s="21">
        <v>3608304.0</v>
      </c>
      <c r="M28" s="21">
        <v>8001296.0</v>
      </c>
    </row>
    <row r="29" ht="18.0" customHeight="1">
      <c r="A29" s="21"/>
      <c r="B29" s="21" t="s">
        <v>28</v>
      </c>
      <c r="C29" s="4" t="s">
        <v>40</v>
      </c>
      <c r="D29" s="24">
        <v>1.5106426E7</v>
      </c>
      <c r="E29" s="24">
        <v>1.6353936E7</v>
      </c>
      <c r="F29" s="24">
        <v>1.6629325E7</v>
      </c>
      <c r="G29" s="24">
        <v>4.8089687E7</v>
      </c>
      <c r="H29" s="24">
        <v>0.0</v>
      </c>
      <c r="I29" s="21"/>
      <c r="J29" s="21"/>
      <c r="K29" s="21"/>
      <c r="L29" s="21"/>
      <c r="M29" s="21"/>
    </row>
    <row r="30" ht="18.0" customHeight="1">
      <c r="A30" s="21"/>
      <c r="B30" s="21"/>
      <c r="C30" s="38" t="s">
        <v>41</v>
      </c>
      <c r="D30" s="39">
        <v>1.60423E7</v>
      </c>
      <c r="E30" s="39">
        <v>1.7274457E7</v>
      </c>
      <c r="F30" s="39">
        <v>1.909728E7</v>
      </c>
      <c r="G30" s="39">
        <v>5.2414037E7</v>
      </c>
      <c r="H30" s="39">
        <v>1.0294155E7</v>
      </c>
      <c r="I30" s="21"/>
      <c r="J30" s="21">
        <v>935874.0</v>
      </c>
      <c r="K30" s="21">
        <v>920521.0</v>
      </c>
      <c r="L30" s="21">
        <v>2467955.0</v>
      </c>
      <c r="M30" s="21">
        <v>4324350.0</v>
      </c>
    </row>
    <row r="31" ht="18.0" hidden="1" customHeight="1" outlineLevel="1">
      <c r="A31" s="21"/>
      <c r="B31" s="40" t="s">
        <v>42</v>
      </c>
      <c r="C31" s="41" t="s">
        <v>40</v>
      </c>
      <c r="D31" s="42">
        <v>0.0</v>
      </c>
      <c r="E31" s="42">
        <v>0.0</v>
      </c>
      <c r="F31" s="42">
        <v>0.0</v>
      </c>
      <c r="G31" s="42">
        <v>0.0</v>
      </c>
      <c r="H31" s="42"/>
      <c r="I31" s="21"/>
      <c r="J31" s="21"/>
      <c r="K31" s="21"/>
      <c r="L31" s="21"/>
      <c r="M31" s="21"/>
    </row>
    <row r="32" ht="18.0" hidden="1" customHeight="1" outlineLevel="1">
      <c r="A32" s="21"/>
      <c r="B32" s="40"/>
      <c r="C32" s="43" t="s">
        <v>41</v>
      </c>
      <c r="D32" s="44">
        <v>0.0</v>
      </c>
      <c r="E32" s="44">
        <v>0.0</v>
      </c>
      <c r="F32" s="44">
        <v>0.0</v>
      </c>
      <c r="G32" s="44">
        <v>0.0</v>
      </c>
      <c r="H32" s="44">
        <v>0.0</v>
      </c>
      <c r="I32" s="21"/>
      <c r="J32" s="21">
        <v>0.0</v>
      </c>
      <c r="K32" s="21">
        <v>0.0</v>
      </c>
      <c r="L32" s="21">
        <v>0.0</v>
      </c>
      <c r="M32" s="21">
        <v>0.0</v>
      </c>
    </row>
    <row r="33" ht="18.0" hidden="1" customHeight="1" outlineLevel="1">
      <c r="A33" s="21"/>
      <c r="B33" s="40" t="s">
        <v>43</v>
      </c>
      <c r="C33" s="41" t="s">
        <v>40</v>
      </c>
      <c r="D33" s="42">
        <v>6001015.0</v>
      </c>
      <c r="E33" s="42">
        <v>6999352.0</v>
      </c>
      <c r="F33" s="42">
        <v>8759700.0</v>
      </c>
      <c r="G33" s="42">
        <v>2.1760067E7</v>
      </c>
      <c r="H33" s="42"/>
      <c r="I33" s="21"/>
      <c r="J33" s="21"/>
      <c r="K33" s="21"/>
      <c r="L33" s="21"/>
      <c r="M33" s="21"/>
    </row>
    <row r="34" ht="18.0" hidden="1" customHeight="1" outlineLevel="1">
      <c r="A34" s="21"/>
      <c r="B34" s="40"/>
      <c r="C34" s="43" t="s">
        <v>41</v>
      </c>
      <c r="D34" s="44">
        <v>6417031.0</v>
      </c>
      <c r="E34" s="44">
        <v>7405571.0</v>
      </c>
      <c r="F34" s="44">
        <v>8250482.0</v>
      </c>
      <c r="G34" s="44">
        <v>2.2073084E7</v>
      </c>
      <c r="H34" s="44">
        <v>3541494.0</v>
      </c>
      <c r="I34" s="21"/>
      <c r="J34" s="21">
        <v>416016.0</v>
      </c>
      <c r="K34" s="21">
        <v>406219.0</v>
      </c>
      <c r="L34" s="21">
        <v>-509218.0</v>
      </c>
      <c r="M34" s="21">
        <v>313017.0</v>
      </c>
    </row>
    <row r="35" ht="18.0" hidden="1" customHeight="1" outlineLevel="1">
      <c r="A35" s="21"/>
      <c r="B35" s="40" t="s">
        <v>44</v>
      </c>
      <c r="C35" s="41" t="s">
        <v>40</v>
      </c>
      <c r="D35" s="42">
        <v>6282995.0</v>
      </c>
      <c r="E35" s="42">
        <v>6127854.0</v>
      </c>
      <c r="F35" s="42">
        <v>4743099.0</v>
      </c>
      <c r="G35" s="42">
        <v>1.7153948E7</v>
      </c>
      <c r="H35" s="42"/>
      <c r="I35" s="21"/>
      <c r="J35" s="21"/>
      <c r="K35" s="21"/>
      <c r="L35" s="21"/>
      <c r="M35" s="21"/>
    </row>
    <row r="36" ht="18.0" hidden="1" customHeight="1" outlineLevel="1">
      <c r="A36" s="21"/>
      <c r="B36" s="40"/>
      <c r="C36" s="43" t="s">
        <v>41</v>
      </c>
      <c r="D36" s="44">
        <v>7271407.0</v>
      </c>
      <c r="E36" s="44">
        <v>6873679.0</v>
      </c>
      <c r="F36" s="44">
        <v>6866008.0</v>
      </c>
      <c r="G36" s="44">
        <v>2.1011094E7</v>
      </c>
      <c r="H36" s="44">
        <v>354677.0</v>
      </c>
      <c r="I36" s="21"/>
      <c r="J36" s="21">
        <v>988412.0</v>
      </c>
      <c r="K36" s="21">
        <v>745825.0</v>
      </c>
      <c r="L36" s="21">
        <v>2122909.0</v>
      </c>
      <c r="M36" s="21">
        <v>3857146.0</v>
      </c>
    </row>
    <row r="37" ht="18.0" hidden="1" customHeight="1" outlineLevel="1">
      <c r="A37" s="21"/>
      <c r="B37" s="40" t="s">
        <v>45</v>
      </c>
      <c r="C37" s="41" t="s">
        <v>40</v>
      </c>
      <c r="D37" s="42">
        <v>0.0</v>
      </c>
      <c r="E37" s="42">
        <v>500000.0</v>
      </c>
      <c r="F37" s="42">
        <v>0.0</v>
      </c>
      <c r="G37" s="42">
        <v>500000.0</v>
      </c>
      <c r="H37" s="42"/>
      <c r="I37" s="21"/>
      <c r="J37" s="21"/>
      <c r="K37" s="21"/>
      <c r="L37" s="21"/>
      <c r="M37" s="21"/>
    </row>
    <row r="38" ht="18.0" hidden="1" customHeight="1" outlineLevel="1">
      <c r="A38" s="21"/>
      <c r="B38" s="40"/>
      <c r="C38" s="43" t="s">
        <v>41</v>
      </c>
      <c r="D38" s="44">
        <v>0.0</v>
      </c>
      <c r="E38" s="44">
        <v>0.0</v>
      </c>
      <c r="F38" s="44">
        <v>0.0</v>
      </c>
      <c r="G38" s="44">
        <v>0.0</v>
      </c>
      <c r="H38" s="44">
        <v>319206.0</v>
      </c>
      <c r="I38" s="21"/>
      <c r="J38" s="21">
        <v>0.0</v>
      </c>
      <c r="K38" s="21">
        <v>-500000.0</v>
      </c>
      <c r="L38" s="21">
        <v>0.0</v>
      </c>
      <c r="M38" s="21">
        <v>-500000.0</v>
      </c>
    </row>
    <row r="39" ht="18.0" hidden="1" customHeight="1" outlineLevel="1">
      <c r="A39" s="21"/>
      <c r="B39" s="40" t="s">
        <v>48</v>
      </c>
      <c r="C39" s="41" t="s">
        <v>40</v>
      </c>
      <c r="D39" s="42">
        <v>1908970.0</v>
      </c>
      <c r="E39" s="42">
        <v>2130514.0</v>
      </c>
      <c r="F39" s="42">
        <v>2117470.0</v>
      </c>
      <c r="G39" s="42">
        <v>6156954.0</v>
      </c>
      <c r="H39" s="42"/>
      <c r="I39" s="21"/>
      <c r="J39" s="21"/>
      <c r="K39" s="21"/>
      <c r="L39" s="21"/>
      <c r="M39" s="21"/>
    </row>
    <row r="40" ht="18.0" hidden="1" customHeight="1" outlineLevel="1">
      <c r="A40" s="21"/>
      <c r="B40" s="40"/>
      <c r="C40" s="43" t="s">
        <v>41</v>
      </c>
      <c r="D40" s="44">
        <v>1387275.0</v>
      </c>
      <c r="E40" s="44">
        <v>2016868.0</v>
      </c>
      <c r="F40" s="44">
        <v>2268351.0</v>
      </c>
      <c r="G40" s="44">
        <v>5672494.0</v>
      </c>
      <c r="H40" s="44">
        <v>604215.0</v>
      </c>
      <c r="I40" s="21"/>
      <c r="J40" s="21">
        <v>-521695.0</v>
      </c>
      <c r="K40" s="21">
        <v>-113646.0</v>
      </c>
      <c r="L40" s="21">
        <v>150881.0</v>
      </c>
      <c r="M40" s="21">
        <v>-484460.0</v>
      </c>
    </row>
    <row r="41" ht="18.0" hidden="1" customHeight="1" outlineLevel="1">
      <c r="A41" s="21"/>
      <c r="B41" s="40" t="s">
        <v>47</v>
      </c>
      <c r="C41" s="41" t="s">
        <v>40</v>
      </c>
      <c r="D41" s="42">
        <v>442446.0</v>
      </c>
      <c r="E41" s="42">
        <v>576216.0</v>
      </c>
      <c r="F41" s="42">
        <v>613661.0</v>
      </c>
      <c r="G41" s="42">
        <v>1632323.0</v>
      </c>
      <c r="H41" s="42"/>
      <c r="I41" s="21"/>
      <c r="J41" s="21"/>
      <c r="K41" s="21"/>
      <c r="L41" s="21"/>
      <c r="M41" s="21"/>
    </row>
    <row r="42" ht="18.0" hidden="1" customHeight="1" outlineLevel="1">
      <c r="A42" s="21"/>
      <c r="B42" s="40"/>
      <c r="C42" s="43" t="s">
        <v>41</v>
      </c>
      <c r="D42" s="44">
        <v>442446.0</v>
      </c>
      <c r="E42" s="44">
        <v>505914.0</v>
      </c>
      <c r="F42" s="44">
        <v>548750.0</v>
      </c>
      <c r="G42" s="44">
        <v>1497110.0</v>
      </c>
      <c r="H42" s="44">
        <v>454260.0</v>
      </c>
      <c r="I42" s="21"/>
      <c r="J42" s="21">
        <v>0.0</v>
      </c>
      <c r="K42" s="21">
        <v>-70302.0</v>
      </c>
      <c r="L42" s="21">
        <v>-64911.0</v>
      </c>
      <c r="M42" s="21">
        <v>-135213.0</v>
      </c>
    </row>
    <row r="43" ht="18.0" hidden="1" customHeight="1" outlineLevel="1">
      <c r="A43" s="21"/>
      <c r="B43" s="40" t="s">
        <v>49</v>
      </c>
      <c r="C43" s="41" t="s">
        <v>40</v>
      </c>
      <c r="D43" s="42">
        <v>78000.0</v>
      </c>
      <c r="E43" s="42">
        <v>20000.0</v>
      </c>
      <c r="F43" s="42">
        <v>143334.0</v>
      </c>
      <c r="G43" s="42">
        <v>241334.0</v>
      </c>
      <c r="H43" s="42"/>
      <c r="I43" s="21"/>
      <c r="J43" s="21"/>
      <c r="K43" s="21"/>
      <c r="L43" s="21"/>
      <c r="M43" s="21"/>
    </row>
    <row r="44" ht="18.0" hidden="1" customHeight="1" outlineLevel="1">
      <c r="A44" s="21"/>
      <c r="B44" s="40"/>
      <c r="C44" s="43" t="s">
        <v>41</v>
      </c>
      <c r="D44" s="44">
        <v>88931.0</v>
      </c>
      <c r="E44" s="44">
        <v>86370.0</v>
      </c>
      <c r="F44" s="44">
        <v>156700.0</v>
      </c>
      <c r="G44" s="44">
        <v>332001.0</v>
      </c>
      <c r="H44" s="44">
        <v>444892.0</v>
      </c>
      <c r="I44" s="21"/>
      <c r="J44" s="21">
        <v>10931.0</v>
      </c>
      <c r="K44" s="21">
        <v>66370.0</v>
      </c>
      <c r="L44" s="21">
        <v>13366.0</v>
      </c>
      <c r="M44" s="21">
        <v>90667.0</v>
      </c>
    </row>
    <row r="45" ht="18.0" hidden="1" customHeight="1" outlineLevel="1">
      <c r="A45" s="21"/>
      <c r="B45" s="40" t="s">
        <v>108</v>
      </c>
      <c r="C45" s="41" t="s">
        <v>40</v>
      </c>
      <c r="D45" s="42">
        <v>0.0</v>
      </c>
      <c r="E45" s="42">
        <v>0.0</v>
      </c>
      <c r="F45" s="42">
        <v>0.0</v>
      </c>
      <c r="G45" s="42">
        <v>0.0</v>
      </c>
      <c r="H45" s="42"/>
      <c r="I45" s="21"/>
      <c r="J45" s="21"/>
      <c r="K45" s="21"/>
      <c r="L45" s="21"/>
      <c r="M45" s="21"/>
    </row>
    <row r="46" ht="18.0" hidden="1" customHeight="1" outlineLevel="1">
      <c r="A46" s="21"/>
      <c r="B46" s="40"/>
      <c r="C46" s="43" t="s">
        <v>41</v>
      </c>
      <c r="D46" s="44">
        <v>0.0</v>
      </c>
      <c r="E46" s="44">
        <v>0.0</v>
      </c>
      <c r="F46" s="44">
        <v>0.0</v>
      </c>
      <c r="G46" s="44">
        <v>0.0</v>
      </c>
      <c r="H46" s="44">
        <v>0.0</v>
      </c>
      <c r="I46" s="21"/>
      <c r="J46" s="21">
        <v>0.0</v>
      </c>
      <c r="K46" s="21">
        <v>0.0</v>
      </c>
      <c r="L46" s="21">
        <v>0.0</v>
      </c>
      <c r="M46" s="21">
        <v>0.0</v>
      </c>
    </row>
    <row r="47" ht="18.0" hidden="1" customHeight="1" outlineLevel="1">
      <c r="A47" s="21"/>
      <c r="B47" s="40" t="s">
        <v>50</v>
      </c>
      <c r="C47" s="41" t="s">
        <v>40</v>
      </c>
      <c r="D47" s="42">
        <v>393000.0</v>
      </c>
      <c r="E47" s="42">
        <v>0.0</v>
      </c>
      <c r="F47" s="42">
        <v>252061.0</v>
      </c>
      <c r="G47" s="42">
        <v>645061.0</v>
      </c>
      <c r="H47" s="42"/>
      <c r="I47" s="21"/>
      <c r="J47" s="21"/>
      <c r="K47" s="21"/>
      <c r="L47" s="21"/>
      <c r="M47" s="21"/>
    </row>
    <row r="48" ht="18.0" hidden="1" customHeight="1" outlineLevel="1">
      <c r="A48" s="21"/>
      <c r="B48" s="40"/>
      <c r="C48" s="43" t="s">
        <v>41</v>
      </c>
      <c r="D48" s="44">
        <v>432490.0</v>
      </c>
      <c r="E48" s="44">
        <v>386055.0</v>
      </c>
      <c r="F48" s="44">
        <v>1006989.0</v>
      </c>
      <c r="G48" s="44">
        <v>1825534.0</v>
      </c>
      <c r="H48" s="44">
        <v>3353476.0</v>
      </c>
      <c r="I48" s="21"/>
      <c r="J48" s="21">
        <v>39490.0</v>
      </c>
      <c r="K48" s="21">
        <v>386055.0</v>
      </c>
      <c r="L48" s="21">
        <v>754928.0</v>
      </c>
      <c r="M48" s="21">
        <v>1180473.0</v>
      </c>
    </row>
    <row r="49" ht="18.0" hidden="1" customHeight="1" outlineLevel="1">
      <c r="A49" s="21"/>
      <c r="B49" s="40" t="s">
        <v>51</v>
      </c>
      <c r="C49" s="41" t="s">
        <v>40</v>
      </c>
      <c r="D49" s="42">
        <v>0.0</v>
      </c>
      <c r="E49" s="42">
        <v>0.0</v>
      </c>
      <c r="F49" s="42">
        <v>0.0</v>
      </c>
      <c r="G49" s="42">
        <v>0.0</v>
      </c>
      <c r="H49" s="42"/>
      <c r="I49" s="21"/>
      <c r="J49" s="21"/>
      <c r="K49" s="21"/>
      <c r="L49" s="21"/>
      <c r="M49" s="21"/>
    </row>
    <row r="50" ht="18.0" hidden="1" customHeight="1" outlineLevel="1">
      <c r="A50" s="21"/>
      <c r="B50" s="40"/>
      <c r="C50" s="43" t="s">
        <v>41</v>
      </c>
      <c r="D50" s="44">
        <v>2720.0</v>
      </c>
      <c r="E50" s="44">
        <v>0.0</v>
      </c>
      <c r="F50" s="44">
        <v>0.0</v>
      </c>
      <c r="G50" s="44">
        <v>2720.0</v>
      </c>
      <c r="H50" s="44">
        <v>1221935.0</v>
      </c>
      <c r="I50" s="21"/>
      <c r="J50" s="21">
        <v>2720.0</v>
      </c>
      <c r="K50" s="21">
        <v>0.0</v>
      </c>
      <c r="L50" s="21">
        <v>0.0</v>
      </c>
      <c r="M50" s="21">
        <v>2720.0</v>
      </c>
    </row>
    <row r="51" ht="18.0" hidden="1" customHeight="1" outlineLevel="1">
      <c r="A51" s="21"/>
      <c r="B51" s="40" t="s">
        <v>54</v>
      </c>
      <c r="C51" s="41" t="s">
        <v>40</v>
      </c>
      <c r="D51" s="42">
        <v>0.0</v>
      </c>
      <c r="E51" s="42">
        <v>0.0</v>
      </c>
      <c r="F51" s="42">
        <v>0.0</v>
      </c>
      <c r="G51" s="42">
        <v>0.0</v>
      </c>
      <c r="H51" s="42"/>
      <c r="I51" s="21"/>
      <c r="J51" s="21"/>
      <c r="K51" s="21"/>
      <c r="L51" s="21"/>
      <c r="M51" s="21"/>
    </row>
    <row r="52" ht="18.0" hidden="1" customHeight="1" outlineLevel="1">
      <c r="A52" s="21"/>
      <c r="B52" s="40"/>
      <c r="C52" s="43" t="s">
        <v>41</v>
      </c>
      <c r="D52" s="44">
        <v>0.0</v>
      </c>
      <c r="E52" s="44">
        <v>0.0</v>
      </c>
      <c r="F52" s="44">
        <v>0.0</v>
      </c>
      <c r="G52" s="44">
        <v>0.0</v>
      </c>
      <c r="H52" s="44">
        <v>0.0</v>
      </c>
      <c r="I52" s="21"/>
      <c r="J52" s="21">
        <v>0.0</v>
      </c>
      <c r="K52" s="21">
        <v>0.0</v>
      </c>
      <c r="L52" s="21">
        <v>0.0</v>
      </c>
      <c r="M52" s="21">
        <v>0.0</v>
      </c>
    </row>
    <row r="53" ht="18.0" customHeight="1" collapsed="1">
      <c r="A53" s="21"/>
      <c r="B53" s="21" t="s">
        <v>29</v>
      </c>
      <c r="C53" s="4" t="s">
        <v>40</v>
      </c>
      <c r="D53" s="24">
        <v>1.5062386E7</v>
      </c>
      <c r="E53" s="24">
        <v>1.2068228E7</v>
      </c>
      <c r="F53" s="24">
        <v>1.586875E7</v>
      </c>
      <c r="G53" s="24">
        <v>4.2999364E7</v>
      </c>
      <c r="H53" s="24">
        <v>0.0</v>
      </c>
      <c r="I53" s="21"/>
      <c r="J53" s="21"/>
      <c r="K53" s="21"/>
      <c r="L53" s="21"/>
      <c r="M53" s="21"/>
    </row>
    <row r="54" ht="18.0" customHeight="1">
      <c r="A54" s="21"/>
      <c r="B54" s="21"/>
      <c r="C54" s="38" t="s">
        <v>41</v>
      </c>
      <c r="D54" s="39">
        <v>1.9293404E7</v>
      </c>
      <c r="E54" s="39">
        <v>1.1944461E7</v>
      </c>
      <c r="F54" s="39">
        <v>1.5020353E7</v>
      </c>
      <c r="G54" s="39">
        <v>4.6258218E7</v>
      </c>
      <c r="H54" s="39">
        <v>508898.0</v>
      </c>
      <c r="I54" s="21"/>
      <c r="J54" s="21">
        <v>4231018.0</v>
      </c>
      <c r="K54" s="21">
        <v>-123767.0</v>
      </c>
      <c r="L54" s="21">
        <v>-848397.0</v>
      </c>
      <c r="M54" s="21">
        <v>3258854.0</v>
      </c>
    </row>
    <row r="55" ht="18.0" hidden="1" customHeight="1" outlineLevel="1">
      <c r="A55" s="45"/>
      <c r="B55" s="46" t="s">
        <v>55</v>
      </c>
      <c r="C55" s="47" t="s">
        <v>40</v>
      </c>
      <c r="D55" s="48">
        <v>80000.0</v>
      </c>
      <c r="E55" s="48">
        <v>80000.0</v>
      </c>
      <c r="F55" s="48">
        <v>80000.0</v>
      </c>
      <c r="G55" s="48">
        <v>240000.0</v>
      </c>
      <c r="H55" s="48"/>
      <c r="I55" s="21"/>
      <c r="J55" s="21"/>
      <c r="K55" s="21"/>
      <c r="L55" s="21"/>
      <c r="M55" s="21"/>
    </row>
    <row r="56" ht="18.0" hidden="1" customHeight="1" outlineLevel="1">
      <c r="A56" s="45"/>
      <c r="B56" s="46"/>
      <c r="C56" s="49" t="s">
        <v>41</v>
      </c>
      <c r="D56" s="50">
        <v>90000.0</v>
      </c>
      <c r="E56" s="50">
        <v>80000.0</v>
      </c>
      <c r="F56" s="50">
        <v>90000.0</v>
      </c>
      <c r="G56" s="50">
        <v>260000.0</v>
      </c>
      <c r="H56" s="50">
        <v>0.0</v>
      </c>
      <c r="I56" s="21"/>
      <c r="J56" s="21">
        <v>10000.0</v>
      </c>
      <c r="K56" s="21">
        <v>0.0</v>
      </c>
      <c r="L56" s="21">
        <v>10000.0</v>
      </c>
      <c r="M56" s="21">
        <v>20000.0</v>
      </c>
    </row>
    <row r="57" ht="18.0" hidden="1" customHeight="1" outlineLevel="1">
      <c r="A57" s="45"/>
      <c r="B57" s="46" t="s">
        <v>56</v>
      </c>
      <c r="C57" s="47" t="s">
        <v>40</v>
      </c>
      <c r="D57" s="48">
        <v>3263300.0</v>
      </c>
      <c r="E57" s="48">
        <v>970000.0</v>
      </c>
      <c r="F57" s="48">
        <v>880000.0</v>
      </c>
      <c r="G57" s="48">
        <v>5113300.0</v>
      </c>
      <c r="H57" s="48"/>
      <c r="I57" s="21"/>
      <c r="J57" s="21"/>
      <c r="K57" s="21"/>
      <c r="L57" s="21"/>
      <c r="M57" s="21"/>
    </row>
    <row r="58" ht="18.0" hidden="1" customHeight="1" outlineLevel="1">
      <c r="A58" s="45"/>
      <c r="B58" s="46"/>
      <c r="C58" s="49" t="s">
        <v>41</v>
      </c>
      <c r="D58" s="50">
        <v>2415224.0</v>
      </c>
      <c r="E58" s="50">
        <v>2096656.0</v>
      </c>
      <c r="F58" s="50">
        <v>756203.0</v>
      </c>
      <c r="G58" s="50">
        <v>5268083.0</v>
      </c>
      <c r="H58" s="50">
        <v>0.0</v>
      </c>
      <c r="I58" s="21"/>
      <c r="J58" s="21">
        <v>-848076.0</v>
      </c>
      <c r="K58" s="21">
        <v>1126656.0</v>
      </c>
      <c r="L58" s="21">
        <v>-123797.0</v>
      </c>
      <c r="M58" s="21">
        <v>154783.0</v>
      </c>
    </row>
    <row r="59" ht="18.0" hidden="1" customHeight="1" outlineLevel="1">
      <c r="A59" s="21"/>
      <c r="B59" s="46" t="s">
        <v>57</v>
      </c>
      <c r="C59" s="47" t="s">
        <v>40</v>
      </c>
      <c r="D59" s="48">
        <v>924000.0</v>
      </c>
      <c r="E59" s="48">
        <v>936576.0</v>
      </c>
      <c r="F59" s="48">
        <v>3013775.0</v>
      </c>
      <c r="G59" s="48">
        <v>4874351.0</v>
      </c>
      <c r="H59" s="48"/>
      <c r="I59" s="21"/>
      <c r="J59" s="21"/>
      <c r="K59" s="21"/>
      <c r="L59" s="21"/>
      <c r="M59" s="21"/>
    </row>
    <row r="60" ht="18.0" hidden="1" customHeight="1" outlineLevel="1">
      <c r="A60" s="21"/>
      <c r="B60" s="46"/>
      <c r="C60" s="49" t="s">
        <v>41</v>
      </c>
      <c r="D60" s="50">
        <v>824056.0</v>
      </c>
      <c r="E60" s="50">
        <v>1304560.0</v>
      </c>
      <c r="F60" s="50">
        <v>2503902.0</v>
      </c>
      <c r="G60" s="50">
        <v>4632518.0</v>
      </c>
      <c r="H60" s="50">
        <v>0.0</v>
      </c>
      <c r="I60" s="21"/>
      <c r="J60" s="21">
        <v>-99944.0</v>
      </c>
      <c r="K60" s="21">
        <v>367984.0</v>
      </c>
      <c r="L60" s="21">
        <v>-509873.0</v>
      </c>
      <c r="M60" s="21">
        <v>-241833.0</v>
      </c>
    </row>
    <row r="61" ht="18.0" hidden="1" customHeight="1" outlineLevel="1">
      <c r="A61" s="21"/>
      <c r="B61" s="46" t="s">
        <v>59</v>
      </c>
      <c r="C61" s="47" t="s">
        <v>40</v>
      </c>
      <c r="D61" s="48">
        <v>774690.0</v>
      </c>
      <c r="E61" s="48">
        <v>475244.0</v>
      </c>
      <c r="F61" s="48">
        <v>592734.0</v>
      </c>
      <c r="G61" s="48">
        <v>1842668.0</v>
      </c>
      <c r="H61" s="48"/>
      <c r="I61" s="21"/>
      <c r="J61" s="21"/>
      <c r="K61" s="21"/>
      <c r="L61" s="21"/>
      <c r="M61" s="21"/>
    </row>
    <row r="62" ht="18.0" hidden="1" customHeight="1" outlineLevel="1">
      <c r="A62" s="21"/>
      <c r="B62" s="46"/>
      <c r="C62" s="49" t="s">
        <v>41</v>
      </c>
      <c r="D62" s="50">
        <v>716760.0</v>
      </c>
      <c r="E62" s="50">
        <v>480706.0</v>
      </c>
      <c r="F62" s="50">
        <v>547210.0</v>
      </c>
      <c r="G62" s="50">
        <v>1744676.0</v>
      </c>
      <c r="H62" s="50">
        <v>0.0</v>
      </c>
      <c r="I62" s="21"/>
      <c r="J62" s="21">
        <v>-57930.0</v>
      </c>
      <c r="K62" s="21">
        <v>5462.0</v>
      </c>
      <c r="L62" s="21">
        <v>-45524.0</v>
      </c>
      <c r="M62" s="21">
        <v>-97992.0</v>
      </c>
    </row>
    <row r="63" ht="18.0" hidden="1" customHeight="1" outlineLevel="1">
      <c r="A63" s="21"/>
      <c r="B63" s="46" t="s">
        <v>60</v>
      </c>
      <c r="C63" s="47" t="s">
        <v>40</v>
      </c>
      <c r="D63" s="48">
        <v>1541000.0</v>
      </c>
      <c r="E63" s="48">
        <v>1473626.0</v>
      </c>
      <c r="F63" s="48">
        <v>2915224.0</v>
      </c>
      <c r="G63" s="48">
        <v>5929850.0</v>
      </c>
      <c r="H63" s="48"/>
      <c r="I63" s="21"/>
      <c r="J63" s="21"/>
      <c r="K63" s="21"/>
      <c r="L63" s="21"/>
      <c r="M63" s="21"/>
    </row>
    <row r="64" ht="18.0" hidden="1" customHeight="1" outlineLevel="1">
      <c r="A64" s="21"/>
      <c r="B64" s="46"/>
      <c r="C64" s="49" t="s">
        <v>41</v>
      </c>
      <c r="D64" s="50">
        <v>2057372.0</v>
      </c>
      <c r="E64" s="50">
        <v>1146625.0</v>
      </c>
      <c r="F64" s="50">
        <v>2950401.0</v>
      </c>
      <c r="G64" s="50">
        <v>6154398.0</v>
      </c>
      <c r="H64" s="50">
        <v>0.0</v>
      </c>
      <c r="I64" s="21"/>
      <c r="J64" s="21">
        <v>516372.0</v>
      </c>
      <c r="K64" s="21">
        <v>-327001.0</v>
      </c>
      <c r="L64" s="21">
        <v>35177.0</v>
      </c>
      <c r="M64" s="21">
        <v>224548.0</v>
      </c>
    </row>
    <row r="65" ht="18.0" hidden="1" customHeight="1" outlineLevel="1">
      <c r="A65" s="21"/>
      <c r="B65" s="46" t="s">
        <v>61</v>
      </c>
      <c r="C65" s="47" t="s">
        <v>40</v>
      </c>
      <c r="D65" s="48">
        <v>500000.0</v>
      </c>
      <c r="E65" s="48">
        <v>500000.0</v>
      </c>
      <c r="F65" s="48">
        <v>500000.0</v>
      </c>
      <c r="G65" s="48">
        <v>1500000.0</v>
      </c>
      <c r="H65" s="48"/>
      <c r="I65" s="21"/>
      <c r="J65" s="21"/>
      <c r="K65" s="21"/>
      <c r="L65" s="21"/>
      <c r="M65" s="21"/>
    </row>
    <row r="66" ht="18.0" hidden="1" customHeight="1" outlineLevel="1">
      <c r="A66" s="21"/>
      <c r="B66" s="46"/>
      <c r="C66" s="49" t="s">
        <v>41</v>
      </c>
      <c r="D66" s="50">
        <v>500000.0</v>
      </c>
      <c r="E66" s="50">
        <v>500000.0</v>
      </c>
      <c r="F66" s="50">
        <v>500000.0</v>
      </c>
      <c r="G66" s="50">
        <v>1500000.0</v>
      </c>
      <c r="H66" s="50">
        <v>0.0</v>
      </c>
      <c r="I66" s="21"/>
      <c r="J66" s="21">
        <v>0.0</v>
      </c>
      <c r="K66" s="21">
        <v>0.0</v>
      </c>
      <c r="L66" s="21">
        <v>0.0</v>
      </c>
      <c r="M66" s="21">
        <v>0.0</v>
      </c>
    </row>
    <row r="67" ht="18.0" hidden="1" customHeight="1" outlineLevel="1">
      <c r="A67" s="21"/>
      <c r="B67" s="46" t="s">
        <v>62</v>
      </c>
      <c r="C67" s="47" t="s">
        <v>40</v>
      </c>
      <c r="D67" s="48">
        <v>0.0</v>
      </c>
      <c r="E67" s="48">
        <v>0.0</v>
      </c>
      <c r="F67" s="48">
        <v>0.0</v>
      </c>
      <c r="G67" s="48">
        <v>0.0</v>
      </c>
      <c r="H67" s="48"/>
      <c r="I67" s="21"/>
      <c r="J67" s="21"/>
      <c r="K67" s="21"/>
      <c r="L67" s="21"/>
      <c r="M67" s="21"/>
    </row>
    <row r="68" ht="18.0" hidden="1" customHeight="1" outlineLevel="1">
      <c r="A68" s="21"/>
      <c r="B68" s="46"/>
      <c r="C68" s="49" t="s">
        <v>41</v>
      </c>
      <c r="D68" s="50">
        <v>3697703.0</v>
      </c>
      <c r="E68" s="50">
        <v>0.0</v>
      </c>
      <c r="F68" s="50">
        <v>0.0</v>
      </c>
      <c r="G68" s="50">
        <v>3697703.0</v>
      </c>
      <c r="H68" s="50">
        <v>0.0</v>
      </c>
      <c r="I68" s="21"/>
      <c r="J68" s="21">
        <v>3697703.0</v>
      </c>
      <c r="K68" s="21">
        <v>0.0</v>
      </c>
      <c r="L68" s="21">
        <v>0.0</v>
      </c>
      <c r="M68" s="21">
        <v>3697703.0</v>
      </c>
    </row>
    <row r="69" ht="18.0" hidden="1" customHeight="1" outlineLevel="1">
      <c r="A69" s="21"/>
      <c r="B69" s="46" t="s">
        <v>63</v>
      </c>
      <c r="C69" s="47" t="s">
        <v>40</v>
      </c>
      <c r="D69" s="48">
        <v>0.0</v>
      </c>
      <c r="E69" s="48">
        <v>0.0</v>
      </c>
      <c r="F69" s="48">
        <v>83334.0</v>
      </c>
      <c r="G69" s="48">
        <v>83334.0</v>
      </c>
      <c r="H69" s="48"/>
      <c r="I69" s="21"/>
      <c r="J69" s="21"/>
      <c r="K69" s="21"/>
      <c r="L69" s="21"/>
      <c r="M69" s="21"/>
    </row>
    <row r="70" ht="18.0" hidden="1" customHeight="1" outlineLevel="1">
      <c r="A70" s="21"/>
      <c r="B70" s="46"/>
      <c r="C70" s="49" t="s">
        <v>41</v>
      </c>
      <c r="D70" s="50">
        <v>0.0</v>
      </c>
      <c r="E70" s="50">
        <v>0.0</v>
      </c>
      <c r="F70" s="50">
        <v>83334.0</v>
      </c>
      <c r="G70" s="50">
        <v>83334.0</v>
      </c>
      <c r="H70" s="50">
        <v>0.0</v>
      </c>
      <c r="I70" s="21"/>
      <c r="J70" s="21">
        <v>0.0</v>
      </c>
      <c r="K70" s="21">
        <v>0.0</v>
      </c>
      <c r="L70" s="21">
        <v>0.0</v>
      </c>
      <c r="M70" s="21">
        <v>0.0</v>
      </c>
    </row>
    <row r="71" ht="18.0" hidden="1" customHeight="1" outlineLevel="1">
      <c r="A71" s="21"/>
      <c r="B71" s="46" t="s">
        <v>65</v>
      </c>
      <c r="C71" s="47" t="s">
        <v>40</v>
      </c>
      <c r="D71" s="48">
        <v>0.0</v>
      </c>
      <c r="E71" s="48">
        <v>0.0</v>
      </c>
      <c r="F71" s="48">
        <v>0.0</v>
      </c>
      <c r="G71" s="48">
        <v>0.0</v>
      </c>
      <c r="H71" s="48"/>
      <c r="I71" s="21"/>
      <c r="J71" s="21"/>
      <c r="K71" s="21"/>
      <c r="L71" s="21"/>
      <c r="M71" s="21"/>
    </row>
    <row r="72" ht="18.0" hidden="1" customHeight="1" outlineLevel="1">
      <c r="A72" s="21"/>
      <c r="B72" s="46"/>
      <c r="C72" s="49" t="s">
        <v>41</v>
      </c>
      <c r="D72" s="50">
        <v>172741.0</v>
      </c>
      <c r="E72" s="50">
        <v>0.0</v>
      </c>
      <c r="F72" s="50">
        <v>0.0</v>
      </c>
      <c r="G72" s="50">
        <v>172741.0</v>
      </c>
      <c r="H72" s="50">
        <v>0.0</v>
      </c>
      <c r="I72" s="21"/>
      <c r="J72" s="21">
        <v>172741.0</v>
      </c>
      <c r="K72" s="21">
        <v>0.0</v>
      </c>
      <c r="L72" s="21">
        <v>0.0</v>
      </c>
      <c r="M72" s="21">
        <v>172741.0</v>
      </c>
    </row>
    <row r="73" ht="18.0" hidden="1" customHeight="1" outlineLevel="1">
      <c r="A73" s="21"/>
      <c r="B73" s="46" t="s">
        <v>64</v>
      </c>
      <c r="C73" s="47" t="s">
        <v>40</v>
      </c>
      <c r="D73" s="48">
        <v>600000.0</v>
      </c>
      <c r="E73" s="48">
        <v>349080.0</v>
      </c>
      <c r="F73" s="48">
        <v>1337562.0</v>
      </c>
      <c r="G73" s="48">
        <v>2286642.0</v>
      </c>
      <c r="H73" s="48"/>
      <c r="I73" s="21"/>
      <c r="J73" s="21"/>
      <c r="K73" s="21"/>
      <c r="L73" s="21"/>
      <c r="M73" s="21"/>
    </row>
    <row r="74" ht="18.0" hidden="1" customHeight="1" outlineLevel="1">
      <c r="A74" s="21"/>
      <c r="B74" s="46"/>
      <c r="C74" s="49" t="s">
        <v>41</v>
      </c>
      <c r="D74" s="50">
        <v>860801.0</v>
      </c>
      <c r="E74" s="50">
        <v>306374.0</v>
      </c>
      <c r="F74" s="50">
        <v>1120281.0</v>
      </c>
      <c r="G74" s="50">
        <v>2287456.0</v>
      </c>
      <c r="H74" s="50">
        <v>740.0</v>
      </c>
      <c r="I74" s="21"/>
      <c r="J74" s="21">
        <v>260801.0</v>
      </c>
      <c r="K74" s="21">
        <v>-42706.0</v>
      </c>
      <c r="L74" s="21">
        <v>-217281.0</v>
      </c>
      <c r="M74" s="21">
        <v>814.0</v>
      </c>
    </row>
    <row r="75" ht="18.0" hidden="1" customHeight="1" outlineLevel="1">
      <c r="A75" s="21"/>
      <c r="B75" s="46" t="s">
        <v>66</v>
      </c>
      <c r="C75" s="47" t="s">
        <v>40</v>
      </c>
      <c r="D75" s="48">
        <v>120000.0</v>
      </c>
      <c r="E75" s="48">
        <v>10000.0</v>
      </c>
      <c r="F75" s="48">
        <v>989685.0</v>
      </c>
      <c r="G75" s="48">
        <v>1119685.0</v>
      </c>
      <c r="H75" s="48"/>
      <c r="I75" s="21"/>
      <c r="J75" s="21"/>
      <c r="K75" s="21"/>
      <c r="L75" s="21"/>
      <c r="M75" s="21"/>
    </row>
    <row r="76" ht="18.0" hidden="1" customHeight="1" outlineLevel="1">
      <c r="A76" s="21"/>
      <c r="B76" s="46"/>
      <c r="C76" s="49" t="s">
        <v>41</v>
      </c>
      <c r="D76" s="50">
        <v>632641.0</v>
      </c>
      <c r="E76" s="50">
        <v>0.0</v>
      </c>
      <c r="F76" s="50">
        <v>1187041.0</v>
      </c>
      <c r="G76" s="50">
        <v>1819682.0</v>
      </c>
      <c r="H76" s="50">
        <v>0.0</v>
      </c>
      <c r="I76" s="21"/>
      <c r="J76" s="21">
        <v>512641.0</v>
      </c>
      <c r="K76" s="21">
        <v>-10000.0</v>
      </c>
      <c r="L76" s="21">
        <v>197356.0</v>
      </c>
      <c r="M76" s="21">
        <v>699997.0</v>
      </c>
    </row>
    <row r="77" ht="18.0" hidden="1" customHeight="1" outlineLevel="1">
      <c r="A77" s="21"/>
      <c r="B77" s="46" t="s">
        <v>67</v>
      </c>
      <c r="C77" s="47" t="s">
        <v>40</v>
      </c>
      <c r="D77" s="48">
        <v>10000.0</v>
      </c>
      <c r="E77" s="48">
        <v>5000.0</v>
      </c>
      <c r="F77" s="48">
        <v>5000.0</v>
      </c>
      <c r="G77" s="48">
        <v>20000.0</v>
      </c>
      <c r="H77" s="48"/>
      <c r="I77" s="21"/>
      <c r="J77" s="21"/>
      <c r="K77" s="21"/>
      <c r="L77" s="21"/>
      <c r="M77" s="21"/>
    </row>
    <row r="78" ht="18.0" hidden="1" customHeight="1" outlineLevel="1">
      <c r="A78" s="21"/>
      <c r="B78" s="46"/>
      <c r="C78" s="49" t="s">
        <v>41</v>
      </c>
      <c r="D78" s="50">
        <v>3364.0</v>
      </c>
      <c r="E78" s="50">
        <v>8649.0</v>
      </c>
      <c r="F78" s="50">
        <v>0.0</v>
      </c>
      <c r="G78" s="50">
        <v>12013.0</v>
      </c>
      <c r="H78" s="50">
        <v>0.0</v>
      </c>
      <c r="I78" s="21"/>
      <c r="J78" s="21">
        <v>-6636.0</v>
      </c>
      <c r="K78" s="21">
        <v>3649.0</v>
      </c>
      <c r="L78" s="21">
        <v>-5000.0</v>
      </c>
      <c r="M78" s="21">
        <v>-7987.0</v>
      </c>
    </row>
    <row r="79" ht="18.0" hidden="1" customHeight="1" outlineLevel="1">
      <c r="A79" s="21"/>
      <c r="B79" s="46" t="s">
        <v>68</v>
      </c>
      <c r="C79" s="47" t="s">
        <v>40</v>
      </c>
      <c r="D79" s="48">
        <v>0.0</v>
      </c>
      <c r="E79" s="48">
        <v>0.0</v>
      </c>
      <c r="F79" s="48">
        <v>0.0</v>
      </c>
      <c r="G79" s="48">
        <v>0.0</v>
      </c>
      <c r="H79" s="48"/>
      <c r="I79" s="21"/>
      <c r="J79" s="21"/>
      <c r="K79" s="21"/>
      <c r="L79" s="21"/>
      <c r="M79" s="21"/>
    </row>
    <row r="80" ht="18.0" hidden="1" customHeight="1" outlineLevel="1">
      <c r="A80" s="21"/>
      <c r="B80" s="46"/>
      <c r="C80" s="49" t="s">
        <v>41</v>
      </c>
      <c r="D80" s="50">
        <v>0.0</v>
      </c>
      <c r="E80" s="50">
        <v>0.0</v>
      </c>
      <c r="F80" s="50">
        <v>523.0</v>
      </c>
      <c r="G80" s="50">
        <v>523.0</v>
      </c>
      <c r="H80" s="50">
        <v>0.0</v>
      </c>
      <c r="I80" s="21"/>
      <c r="J80" s="21">
        <v>0.0</v>
      </c>
      <c r="K80" s="21">
        <v>0.0</v>
      </c>
      <c r="L80" s="21">
        <v>523.0</v>
      </c>
      <c r="M80" s="21">
        <v>523.0</v>
      </c>
    </row>
    <row r="81" ht="18.0" hidden="1" customHeight="1" outlineLevel="1">
      <c r="A81" s="21"/>
      <c r="B81" s="46" t="s">
        <v>69</v>
      </c>
      <c r="C81" s="47" t="s">
        <v>40</v>
      </c>
      <c r="D81" s="48">
        <v>115000.0</v>
      </c>
      <c r="E81" s="48">
        <v>150000.0</v>
      </c>
      <c r="F81" s="48">
        <v>149920.0</v>
      </c>
      <c r="G81" s="48">
        <v>414920.0</v>
      </c>
      <c r="H81" s="48"/>
      <c r="I81" s="21"/>
      <c r="J81" s="21"/>
      <c r="K81" s="21"/>
      <c r="L81" s="21"/>
      <c r="M81" s="21"/>
    </row>
    <row r="82" ht="18.0" hidden="1" customHeight="1" outlineLevel="1">
      <c r="A82" s="21"/>
      <c r="B82" s="46"/>
      <c r="C82" s="49" t="s">
        <v>41</v>
      </c>
      <c r="D82" s="50">
        <v>253473.0</v>
      </c>
      <c r="E82" s="50">
        <v>161591.0</v>
      </c>
      <c r="F82" s="50">
        <v>92516.0</v>
      </c>
      <c r="G82" s="50">
        <v>507580.0</v>
      </c>
      <c r="H82" s="50">
        <v>479.0</v>
      </c>
      <c r="I82" s="21"/>
      <c r="J82" s="21">
        <v>138473.0</v>
      </c>
      <c r="K82" s="21">
        <v>11591.0</v>
      </c>
      <c r="L82" s="21">
        <v>-57404.0</v>
      </c>
      <c r="M82" s="21">
        <v>92660.0</v>
      </c>
    </row>
    <row r="83" ht="18.0" hidden="1" customHeight="1" outlineLevel="1">
      <c r="A83" s="21"/>
      <c r="B83" s="46" t="s">
        <v>70</v>
      </c>
      <c r="C83" s="47" t="s">
        <v>40</v>
      </c>
      <c r="D83" s="48">
        <v>783677.0</v>
      </c>
      <c r="E83" s="48">
        <v>821867.0</v>
      </c>
      <c r="F83" s="48">
        <v>1270642.0</v>
      </c>
      <c r="G83" s="48">
        <v>2876186.0</v>
      </c>
      <c r="H83" s="48"/>
      <c r="I83" s="21"/>
      <c r="J83" s="21"/>
      <c r="K83" s="21"/>
      <c r="L83" s="21"/>
      <c r="M83" s="21"/>
    </row>
    <row r="84" ht="18.0" hidden="1" customHeight="1" outlineLevel="1">
      <c r="A84" s="21"/>
      <c r="B84" s="46"/>
      <c r="C84" s="49" t="s">
        <v>41</v>
      </c>
      <c r="D84" s="50">
        <v>680383.0</v>
      </c>
      <c r="E84" s="50">
        <v>845394.0</v>
      </c>
      <c r="F84" s="50">
        <v>1216477.0</v>
      </c>
      <c r="G84" s="50">
        <v>2742254.0</v>
      </c>
      <c r="H84" s="50">
        <v>0.0</v>
      </c>
      <c r="I84" s="21"/>
      <c r="J84" s="21">
        <v>-103294.0</v>
      </c>
      <c r="K84" s="21">
        <v>23527.0</v>
      </c>
      <c r="L84" s="21">
        <v>-54165.0</v>
      </c>
      <c r="M84" s="21">
        <v>-133932.0</v>
      </c>
    </row>
    <row r="85" ht="18.0" hidden="1" customHeight="1" outlineLevel="1">
      <c r="A85" s="21"/>
      <c r="B85" s="46" t="s">
        <v>71</v>
      </c>
      <c r="C85" s="47" t="s">
        <v>40</v>
      </c>
      <c r="D85" s="48">
        <v>10000.0</v>
      </c>
      <c r="E85" s="48">
        <v>10000.0</v>
      </c>
      <c r="F85" s="48">
        <v>105000.0</v>
      </c>
      <c r="G85" s="48">
        <v>125000.0</v>
      </c>
      <c r="H85" s="48"/>
      <c r="I85" s="21"/>
      <c r="J85" s="21"/>
      <c r="K85" s="21"/>
      <c r="L85" s="21"/>
      <c r="M85" s="21"/>
    </row>
    <row r="86" ht="18.0" hidden="1" customHeight="1" outlineLevel="1">
      <c r="A86" s="21"/>
      <c r="B86" s="46"/>
      <c r="C86" s="49" t="s">
        <v>41</v>
      </c>
      <c r="D86" s="50">
        <v>16934.0</v>
      </c>
      <c r="E86" s="50">
        <v>113490.0</v>
      </c>
      <c r="F86" s="50">
        <v>46924.0</v>
      </c>
      <c r="G86" s="50">
        <v>177348.0</v>
      </c>
      <c r="H86" s="50">
        <v>0.0</v>
      </c>
      <c r="I86" s="21"/>
      <c r="J86" s="21">
        <v>6934.0</v>
      </c>
      <c r="K86" s="21">
        <v>103490.0</v>
      </c>
      <c r="L86" s="21">
        <v>-58076.0</v>
      </c>
      <c r="M86" s="21">
        <v>52348.0</v>
      </c>
    </row>
    <row r="87" ht="18.0" hidden="1" customHeight="1" outlineLevel="1">
      <c r="A87" s="21"/>
      <c r="B87" s="46" t="s">
        <v>72</v>
      </c>
      <c r="C87" s="47" t="s">
        <v>40</v>
      </c>
      <c r="D87" s="48">
        <v>550000.0</v>
      </c>
      <c r="E87" s="48">
        <v>550000.0</v>
      </c>
      <c r="F87" s="48">
        <v>500000.0</v>
      </c>
      <c r="G87" s="48">
        <v>1600000.0</v>
      </c>
      <c r="H87" s="48"/>
      <c r="I87" s="21"/>
      <c r="J87" s="21"/>
      <c r="K87" s="21"/>
      <c r="L87" s="21"/>
      <c r="M87" s="21"/>
    </row>
    <row r="88" ht="18.0" hidden="1" customHeight="1" outlineLevel="1">
      <c r="A88" s="21"/>
      <c r="B88" s="46"/>
      <c r="C88" s="49" t="s">
        <v>41</v>
      </c>
      <c r="D88" s="50">
        <v>-21664.0</v>
      </c>
      <c r="E88" s="50">
        <v>368926.0</v>
      </c>
      <c r="F88" s="50">
        <v>461466.0</v>
      </c>
      <c r="G88" s="50">
        <v>808728.0</v>
      </c>
      <c r="H88" s="50">
        <v>180834.0</v>
      </c>
      <c r="I88" s="21"/>
      <c r="J88" s="21">
        <v>-571664.0</v>
      </c>
      <c r="K88" s="21">
        <v>-181074.0</v>
      </c>
      <c r="L88" s="21">
        <v>-38534.0</v>
      </c>
      <c r="M88" s="21">
        <v>-791272.0</v>
      </c>
    </row>
    <row r="89" ht="18.0" hidden="1" customHeight="1" outlineLevel="1">
      <c r="A89" s="21"/>
      <c r="B89" s="46" t="s">
        <v>73</v>
      </c>
      <c r="C89" s="47" t="s">
        <v>40</v>
      </c>
      <c r="D89" s="48">
        <v>94696.0</v>
      </c>
      <c r="E89" s="48">
        <v>70310.0</v>
      </c>
      <c r="F89" s="48">
        <v>101170.0</v>
      </c>
      <c r="G89" s="48">
        <v>266176.0</v>
      </c>
      <c r="H89" s="48"/>
      <c r="I89" s="21"/>
      <c r="J89" s="21"/>
      <c r="K89" s="21"/>
      <c r="L89" s="21"/>
      <c r="M89" s="21"/>
    </row>
    <row r="90" ht="18.0" hidden="1" customHeight="1" outlineLevel="1">
      <c r="A90" s="21"/>
      <c r="B90" s="46"/>
      <c r="C90" s="49" t="s">
        <v>41</v>
      </c>
      <c r="D90" s="50">
        <v>105569.0</v>
      </c>
      <c r="E90" s="50">
        <v>173643.0</v>
      </c>
      <c r="F90" s="50">
        <v>202993.0</v>
      </c>
      <c r="G90" s="50">
        <v>482205.0</v>
      </c>
      <c r="H90" s="50">
        <v>0.0</v>
      </c>
      <c r="I90" s="21"/>
      <c r="J90" s="21">
        <v>10873.0</v>
      </c>
      <c r="K90" s="21">
        <v>103333.0</v>
      </c>
      <c r="L90" s="21">
        <v>101823.0</v>
      </c>
      <c r="M90" s="21">
        <v>216029.0</v>
      </c>
    </row>
    <row r="91" ht="18.0" hidden="1" customHeight="1" outlineLevel="1">
      <c r="A91" s="21"/>
      <c r="B91" s="46" t="s">
        <v>74</v>
      </c>
      <c r="C91" s="47" t="s">
        <v>40</v>
      </c>
      <c r="D91" s="48">
        <v>220800.0</v>
      </c>
      <c r="E91" s="48">
        <v>40000.0</v>
      </c>
      <c r="F91" s="48">
        <v>0.0</v>
      </c>
      <c r="G91" s="48">
        <v>260800.0</v>
      </c>
      <c r="H91" s="48"/>
      <c r="I91" s="21"/>
      <c r="J91" s="21"/>
      <c r="K91" s="21"/>
      <c r="L91" s="21"/>
      <c r="M91" s="21"/>
    </row>
    <row r="92" ht="18.0" hidden="1" customHeight="1" outlineLevel="1">
      <c r="A92" s="21"/>
      <c r="B92" s="46"/>
      <c r="C92" s="49" t="s">
        <v>41</v>
      </c>
      <c r="D92" s="50">
        <v>263600.0</v>
      </c>
      <c r="E92" s="50">
        <v>40000.0</v>
      </c>
      <c r="F92" s="50">
        <v>0.0</v>
      </c>
      <c r="G92" s="50">
        <v>303600.0</v>
      </c>
      <c r="H92" s="50">
        <v>0.0</v>
      </c>
      <c r="I92" s="21"/>
      <c r="J92" s="21">
        <v>42800.0</v>
      </c>
      <c r="K92" s="21">
        <v>0.0</v>
      </c>
      <c r="L92" s="21">
        <v>0.0</v>
      </c>
      <c r="M92" s="21">
        <v>42800.0</v>
      </c>
    </row>
    <row r="93" ht="18.0" hidden="1" customHeight="1" outlineLevel="1">
      <c r="A93" s="21"/>
      <c r="B93" s="46" t="s">
        <v>109</v>
      </c>
      <c r="C93" s="47" t="s">
        <v>40</v>
      </c>
      <c r="D93" s="48">
        <v>7223.0</v>
      </c>
      <c r="E93" s="48">
        <v>5275.0</v>
      </c>
      <c r="F93" s="48">
        <v>21704.0</v>
      </c>
      <c r="G93" s="48">
        <v>34202.0</v>
      </c>
      <c r="H93" s="48"/>
      <c r="I93" s="21"/>
      <c r="J93" s="21"/>
      <c r="K93" s="21"/>
      <c r="L93" s="21"/>
      <c r="M93" s="21"/>
    </row>
    <row r="94" ht="18.0" hidden="1" customHeight="1" outlineLevel="1">
      <c r="A94" s="21"/>
      <c r="B94" s="46"/>
      <c r="C94" s="49" t="s">
        <v>41</v>
      </c>
      <c r="D94" s="50">
        <v>7223.0</v>
      </c>
      <c r="E94" s="50">
        <v>3704.0</v>
      </c>
      <c r="F94" s="50">
        <v>3704.0</v>
      </c>
      <c r="G94" s="50">
        <v>14631.0</v>
      </c>
      <c r="H94" s="50">
        <v>0.0</v>
      </c>
      <c r="I94" s="21"/>
      <c r="J94" s="21">
        <v>0.0</v>
      </c>
      <c r="K94" s="21">
        <v>-1571.0</v>
      </c>
      <c r="L94" s="21">
        <v>-18000.0</v>
      </c>
      <c r="M94" s="21">
        <v>-19571.0</v>
      </c>
    </row>
    <row r="95" ht="18.0" hidden="1" customHeight="1" outlineLevel="1">
      <c r="A95" s="21"/>
      <c r="B95" s="46" t="s">
        <v>77</v>
      </c>
      <c r="C95" s="47" t="s">
        <v>40</v>
      </c>
      <c r="D95" s="48">
        <v>10000.0</v>
      </c>
      <c r="E95" s="48">
        <v>50000.0</v>
      </c>
      <c r="F95" s="48">
        <v>50000.0</v>
      </c>
      <c r="G95" s="48">
        <v>110000.0</v>
      </c>
      <c r="H95" s="48"/>
      <c r="I95" s="21"/>
      <c r="J95" s="21"/>
      <c r="K95" s="21"/>
      <c r="L95" s="21"/>
      <c r="M95" s="21"/>
    </row>
    <row r="96" ht="18.0" hidden="1" customHeight="1" outlineLevel="1">
      <c r="A96" s="21"/>
      <c r="B96" s="46"/>
      <c r="C96" s="49" t="s">
        <v>41</v>
      </c>
      <c r="D96" s="50">
        <v>1000.0</v>
      </c>
      <c r="E96" s="50">
        <v>58564.0</v>
      </c>
      <c r="F96" s="50">
        <v>28336.0</v>
      </c>
      <c r="G96" s="50">
        <v>87900.0</v>
      </c>
      <c r="H96" s="50">
        <v>0.0</v>
      </c>
      <c r="I96" s="21"/>
      <c r="J96" s="21">
        <v>-9000.0</v>
      </c>
      <c r="K96" s="21">
        <v>8564.0</v>
      </c>
      <c r="L96" s="21">
        <v>-21664.0</v>
      </c>
      <c r="M96" s="21">
        <v>-22100.0</v>
      </c>
    </row>
    <row r="97" ht="18.0" hidden="1" customHeight="1" outlineLevel="1">
      <c r="A97" s="21"/>
      <c r="B97" s="46" t="s">
        <v>110</v>
      </c>
      <c r="C97" s="47" t="s">
        <v>40</v>
      </c>
      <c r="D97" s="48">
        <v>5458000.0</v>
      </c>
      <c r="E97" s="48">
        <v>5125000.0</v>
      </c>
      <c r="F97" s="48">
        <v>2905000.0</v>
      </c>
      <c r="G97" s="48">
        <v>1.3488E7</v>
      </c>
      <c r="H97" s="48"/>
      <c r="I97" s="21"/>
      <c r="J97" s="21"/>
      <c r="K97" s="21"/>
      <c r="L97" s="21"/>
      <c r="M97" s="21"/>
    </row>
    <row r="98" ht="18.0" hidden="1" customHeight="1" outlineLevel="1">
      <c r="A98" s="21"/>
      <c r="B98" s="46"/>
      <c r="C98" s="49" t="s">
        <v>41</v>
      </c>
      <c r="D98" s="50">
        <v>5968464.0</v>
      </c>
      <c r="E98" s="50">
        <v>4032988.0</v>
      </c>
      <c r="F98" s="50">
        <v>2922011.0</v>
      </c>
      <c r="G98" s="50">
        <v>1.2923463E7</v>
      </c>
      <c r="H98" s="50">
        <v>0.0</v>
      </c>
      <c r="I98" s="21"/>
      <c r="J98" s="21">
        <v>510464.0</v>
      </c>
      <c r="K98" s="21">
        <v>-1092012.0</v>
      </c>
      <c r="L98" s="21">
        <v>17011.0</v>
      </c>
      <c r="M98" s="21">
        <v>-564537.0</v>
      </c>
    </row>
    <row r="99" ht="18.0" hidden="1" customHeight="1" outlineLevel="1">
      <c r="A99" s="21"/>
      <c r="B99" s="46" t="s">
        <v>111</v>
      </c>
      <c r="C99" s="47" t="s">
        <v>40</v>
      </c>
      <c r="D99" s="48">
        <v>0.0</v>
      </c>
      <c r="E99" s="48">
        <v>446250.0</v>
      </c>
      <c r="F99" s="48">
        <v>368000.0</v>
      </c>
      <c r="G99" s="48">
        <v>814250.0</v>
      </c>
      <c r="H99" s="48"/>
      <c r="I99" s="21"/>
      <c r="J99" s="21"/>
      <c r="K99" s="21"/>
      <c r="L99" s="21"/>
      <c r="M99" s="21"/>
    </row>
    <row r="100" ht="18.0" hidden="1" customHeight="1" outlineLevel="1">
      <c r="A100" s="21"/>
      <c r="B100" s="46"/>
      <c r="C100" s="49" t="s">
        <v>41</v>
      </c>
      <c r="D100" s="50">
        <v>47760.0</v>
      </c>
      <c r="E100" s="50">
        <v>222100.0</v>
      </c>
      <c r="F100" s="50">
        <v>307031.0</v>
      </c>
      <c r="G100" s="50">
        <v>576891.0</v>
      </c>
      <c r="H100" s="50">
        <v>0.0</v>
      </c>
      <c r="I100" s="21"/>
      <c r="J100" s="21">
        <v>47760.0</v>
      </c>
      <c r="K100" s="21">
        <v>-224150.0</v>
      </c>
      <c r="L100" s="21">
        <v>-60969.0</v>
      </c>
      <c r="M100" s="21">
        <v>-237359.0</v>
      </c>
    </row>
    <row r="101" ht="18.0" hidden="1" customHeight="1" outlineLevel="1">
      <c r="A101" s="21"/>
      <c r="B101" s="46" t="s">
        <v>112</v>
      </c>
      <c r="C101" s="47" t="s">
        <v>40</v>
      </c>
      <c r="D101" s="48">
        <v>0.0</v>
      </c>
      <c r="E101" s="48">
        <v>0.0</v>
      </c>
      <c r="F101" s="48">
        <v>0.0</v>
      </c>
      <c r="G101" s="48">
        <v>0.0</v>
      </c>
      <c r="H101" s="48"/>
      <c r="I101" s="21"/>
      <c r="J101" s="21"/>
      <c r="K101" s="21"/>
      <c r="L101" s="21"/>
      <c r="M101" s="21"/>
    </row>
    <row r="102" ht="18.0" hidden="1" customHeight="1" outlineLevel="1">
      <c r="A102" s="21"/>
      <c r="B102" s="46"/>
      <c r="C102" s="49" t="s">
        <v>41</v>
      </c>
      <c r="D102" s="50">
        <v>0.0</v>
      </c>
      <c r="E102" s="50">
        <v>0.0</v>
      </c>
      <c r="F102" s="50">
        <v>0.0</v>
      </c>
      <c r="G102" s="50">
        <v>0.0</v>
      </c>
      <c r="H102" s="50">
        <v>0.0</v>
      </c>
      <c r="I102" s="21"/>
      <c r="J102" s="21">
        <v>0.0</v>
      </c>
      <c r="K102" s="21">
        <v>0.0</v>
      </c>
      <c r="L102" s="21">
        <v>0.0</v>
      </c>
      <c r="M102" s="21">
        <v>0.0</v>
      </c>
    </row>
    <row r="103" ht="18.0" hidden="1" customHeight="1" outlineLevel="1">
      <c r="A103" s="21"/>
      <c r="B103" s="46" t="s">
        <v>75</v>
      </c>
      <c r="C103" s="47" t="s">
        <v>40</v>
      </c>
      <c r="D103" s="48">
        <v>0.0</v>
      </c>
      <c r="E103" s="48">
        <v>0.0</v>
      </c>
      <c r="F103" s="48">
        <v>0.0</v>
      </c>
      <c r="G103" s="48">
        <v>0.0</v>
      </c>
      <c r="H103" s="48"/>
      <c r="I103" s="21"/>
      <c r="J103" s="21"/>
      <c r="K103" s="21"/>
      <c r="L103" s="21"/>
      <c r="M103" s="21"/>
    </row>
    <row r="104" ht="18.0" hidden="1" customHeight="1" outlineLevel="1">
      <c r="A104" s="21"/>
      <c r="B104" s="46"/>
      <c r="C104" s="49" t="s">
        <v>41</v>
      </c>
      <c r="D104" s="50">
        <v>0.0</v>
      </c>
      <c r="E104" s="50">
        <v>0.0</v>
      </c>
      <c r="F104" s="50">
        <v>0.0</v>
      </c>
      <c r="G104" s="50">
        <v>0.0</v>
      </c>
      <c r="H104" s="50">
        <v>0.0</v>
      </c>
      <c r="I104" s="21"/>
      <c r="J104" s="21">
        <v>0.0</v>
      </c>
      <c r="K104" s="21">
        <v>0.0</v>
      </c>
      <c r="L104" s="21">
        <v>0.0</v>
      </c>
      <c r="M104" s="21">
        <v>0.0</v>
      </c>
    </row>
    <row r="105" ht="18.0" hidden="1" customHeight="1" outlineLevel="1">
      <c r="A105" s="21"/>
      <c r="B105" s="46" t="s">
        <v>80</v>
      </c>
      <c r="C105" s="47" t="s">
        <v>40</v>
      </c>
      <c r="D105" s="48">
        <v>0.0</v>
      </c>
      <c r="E105" s="48">
        <v>0.0</v>
      </c>
      <c r="F105" s="48">
        <v>0.0</v>
      </c>
      <c r="G105" s="48">
        <v>0.0</v>
      </c>
      <c r="H105" s="48"/>
      <c r="I105" s="21"/>
      <c r="J105" s="21"/>
      <c r="K105" s="21"/>
      <c r="L105" s="21"/>
      <c r="M105" s="21"/>
    </row>
    <row r="106" ht="18.0" hidden="1" customHeight="1" outlineLevel="1">
      <c r="A106" s="21"/>
      <c r="B106" s="46"/>
      <c r="C106" s="49" t="s">
        <v>41</v>
      </c>
      <c r="D106" s="50">
        <v>0.0</v>
      </c>
      <c r="E106" s="50">
        <v>0.0</v>
      </c>
      <c r="F106" s="50">
        <v>0.0</v>
      </c>
      <c r="G106" s="50">
        <v>0.0</v>
      </c>
      <c r="H106" s="50">
        <v>48120.0</v>
      </c>
      <c r="I106" s="21"/>
      <c r="J106" s="21">
        <v>0.0</v>
      </c>
      <c r="K106" s="21">
        <v>0.0</v>
      </c>
      <c r="L106" s="21">
        <v>0.0</v>
      </c>
      <c r="M106" s="21">
        <v>0.0</v>
      </c>
    </row>
    <row r="107" ht="18.0" hidden="1" customHeight="1" outlineLevel="1">
      <c r="A107" s="21"/>
      <c r="B107" s="46" t="s">
        <v>79</v>
      </c>
      <c r="C107" s="47" t="s">
        <v>40</v>
      </c>
      <c r="D107" s="48">
        <v>0.0</v>
      </c>
      <c r="E107" s="48">
        <v>0.0</v>
      </c>
      <c r="F107" s="48">
        <v>0.0</v>
      </c>
      <c r="G107" s="48">
        <v>0.0</v>
      </c>
      <c r="H107" s="48"/>
      <c r="I107" s="21"/>
      <c r="J107" s="21"/>
      <c r="K107" s="21"/>
      <c r="L107" s="21"/>
      <c r="M107" s="21"/>
    </row>
    <row r="108" ht="18.0" hidden="1" customHeight="1" outlineLevel="1">
      <c r="A108" s="21"/>
      <c r="B108" s="46"/>
      <c r="C108" s="49" t="s">
        <v>41</v>
      </c>
      <c r="D108" s="50">
        <v>0.0</v>
      </c>
      <c r="E108" s="50">
        <v>491.0</v>
      </c>
      <c r="F108" s="50">
        <v>0.0</v>
      </c>
      <c r="G108" s="50">
        <v>491.0</v>
      </c>
      <c r="H108" s="50">
        <v>3725.0</v>
      </c>
      <c r="I108" s="21"/>
      <c r="J108" s="21">
        <v>0.0</v>
      </c>
      <c r="K108" s="21">
        <v>491.0</v>
      </c>
      <c r="L108" s="21">
        <v>0.0</v>
      </c>
      <c r="M108" s="21">
        <v>491.0</v>
      </c>
    </row>
    <row r="109" ht="18.0" hidden="1" customHeight="1" outlineLevel="1">
      <c r="A109" s="21"/>
      <c r="B109" s="46" t="s">
        <v>78</v>
      </c>
      <c r="C109" s="47" t="s">
        <v>40</v>
      </c>
      <c r="D109" s="48">
        <v>0.0</v>
      </c>
      <c r="E109" s="48">
        <v>0.0</v>
      </c>
      <c r="F109" s="48">
        <v>0.0</v>
      </c>
      <c r="G109" s="48">
        <v>0.0</v>
      </c>
      <c r="H109" s="50"/>
      <c r="I109" s="21"/>
      <c r="J109" s="21"/>
      <c r="K109" s="21"/>
      <c r="L109" s="21"/>
      <c r="M109" s="21"/>
    </row>
    <row r="110" ht="18.0" hidden="1" customHeight="1" outlineLevel="1">
      <c r="A110" s="21"/>
      <c r="B110" s="46"/>
      <c r="C110" s="49" t="s">
        <v>41</v>
      </c>
      <c r="D110" s="50">
        <v>0.0</v>
      </c>
      <c r="E110" s="50">
        <v>0.0</v>
      </c>
      <c r="F110" s="50">
        <v>0.0</v>
      </c>
      <c r="G110" s="50">
        <v>0.0</v>
      </c>
      <c r="H110" s="50">
        <v>275000.0</v>
      </c>
      <c r="I110" s="21"/>
      <c r="J110" s="21">
        <v>0.0</v>
      </c>
      <c r="K110" s="21">
        <v>0.0</v>
      </c>
      <c r="L110" s="21">
        <v>0.0</v>
      </c>
      <c r="M110" s="21">
        <v>0.0</v>
      </c>
    </row>
    <row r="111" ht="18.0" hidden="1" customHeight="1" outlineLevel="1">
      <c r="A111" s="21"/>
      <c r="B111" s="46" t="s">
        <v>113</v>
      </c>
      <c r="C111" s="47" t="s">
        <v>40</v>
      </c>
      <c r="D111" s="48">
        <v>0.0</v>
      </c>
      <c r="E111" s="48">
        <v>0.0</v>
      </c>
      <c r="F111" s="48">
        <v>0.0</v>
      </c>
      <c r="G111" s="48">
        <v>0.0</v>
      </c>
      <c r="H111" s="48"/>
      <c r="I111" s="21"/>
      <c r="J111" s="21"/>
      <c r="K111" s="21"/>
      <c r="L111" s="21"/>
      <c r="M111" s="21"/>
    </row>
    <row r="112" ht="18.0" hidden="1" customHeight="1" outlineLevel="1">
      <c r="A112" s="21"/>
      <c r="B112" s="46"/>
      <c r="C112" s="49" t="s">
        <v>41</v>
      </c>
      <c r="D112" s="50">
        <v>0.0</v>
      </c>
      <c r="E112" s="50">
        <v>0.0</v>
      </c>
      <c r="F112" s="50">
        <v>0.0</v>
      </c>
      <c r="G112" s="50">
        <v>0.0</v>
      </c>
      <c r="H112" s="50">
        <v>0.0</v>
      </c>
      <c r="I112" s="21"/>
      <c r="J112" s="21">
        <v>0.0</v>
      </c>
      <c r="K112" s="21">
        <v>0.0</v>
      </c>
      <c r="L112" s="21">
        <v>0.0</v>
      </c>
      <c r="M112" s="21">
        <v>0.0</v>
      </c>
    </row>
    <row r="113" ht="18.0" customHeight="1" collapsed="1">
      <c r="A113" s="21"/>
      <c r="B113" s="21" t="s">
        <v>30</v>
      </c>
      <c r="C113" s="4" t="s">
        <v>40</v>
      </c>
      <c r="D113" s="24">
        <v>5856623.0</v>
      </c>
      <c r="E113" s="24">
        <v>2651264.0</v>
      </c>
      <c r="F113" s="24">
        <v>7096642.0</v>
      </c>
      <c r="G113" s="24">
        <v>1.5604529E7</v>
      </c>
      <c r="H113" s="24">
        <v>0.0</v>
      </c>
      <c r="I113" s="21"/>
      <c r="J113" s="21"/>
      <c r="K113" s="21"/>
      <c r="L113" s="21"/>
      <c r="M113" s="21"/>
    </row>
    <row r="114" ht="18.0" customHeight="1">
      <c r="A114" s="21"/>
      <c r="B114" s="21"/>
      <c r="C114" s="38" t="s">
        <v>41</v>
      </c>
      <c r="D114" s="39">
        <v>5077668.0</v>
      </c>
      <c r="E114" s="39">
        <v>4157898.0</v>
      </c>
      <c r="F114" s="39">
        <v>7141542.0</v>
      </c>
      <c r="G114" s="39">
        <v>1.6377108E7</v>
      </c>
      <c r="H114" s="39">
        <v>102070.0</v>
      </c>
      <c r="I114" s="21"/>
      <c r="J114" s="21">
        <v>-778955.0</v>
      </c>
      <c r="K114" s="21">
        <v>1506634.0</v>
      </c>
      <c r="L114" s="21">
        <v>44900.0</v>
      </c>
      <c r="M114" s="21">
        <v>772579.0</v>
      </c>
    </row>
    <row r="115" ht="18.0" hidden="1" customHeight="1" outlineLevel="1">
      <c r="A115" s="21"/>
      <c r="B115" s="51" t="s">
        <v>35</v>
      </c>
      <c r="C115" s="52" t="s">
        <v>40</v>
      </c>
      <c r="D115" s="53">
        <v>3540801.0</v>
      </c>
      <c r="E115" s="53">
        <v>1138304.0</v>
      </c>
      <c r="F115" s="53">
        <v>4445516.0</v>
      </c>
      <c r="G115" s="53">
        <v>9124621.0</v>
      </c>
      <c r="H115" s="53"/>
      <c r="I115" s="21"/>
      <c r="J115" s="21"/>
      <c r="K115" s="21"/>
      <c r="L115" s="21"/>
      <c r="M115" s="21"/>
    </row>
    <row r="116" ht="18.0" hidden="1" customHeight="1" outlineLevel="1">
      <c r="A116" s="21"/>
      <c r="B116" s="51"/>
      <c r="C116" s="54" t="s">
        <v>41</v>
      </c>
      <c r="D116" s="55">
        <v>2296848.0</v>
      </c>
      <c r="E116" s="55">
        <v>2799643.0</v>
      </c>
      <c r="F116" s="55">
        <v>4939288.0</v>
      </c>
      <c r="G116" s="55">
        <v>1.0035779E7</v>
      </c>
      <c r="H116" s="55">
        <v>0.0</v>
      </c>
      <c r="I116" s="21"/>
      <c r="J116" s="21">
        <v>-1243953.0</v>
      </c>
      <c r="K116" s="21">
        <v>1661339.0</v>
      </c>
      <c r="L116" s="21">
        <v>493772.0</v>
      </c>
      <c r="M116" s="21">
        <v>911158.0</v>
      </c>
    </row>
    <row r="117" ht="18.0" hidden="1" customHeight="1" outlineLevel="1">
      <c r="A117" s="21"/>
      <c r="B117" s="51" t="s">
        <v>114</v>
      </c>
      <c r="C117" s="52" t="s">
        <v>40</v>
      </c>
      <c r="D117" s="53">
        <v>0.0</v>
      </c>
      <c r="E117" s="53">
        <v>0.0</v>
      </c>
      <c r="F117" s="53">
        <v>391650.0</v>
      </c>
      <c r="G117" s="53">
        <v>391650.0</v>
      </c>
      <c r="H117" s="53"/>
      <c r="I117" s="21"/>
      <c r="J117" s="21"/>
      <c r="K117" s="21"/>
      <c r="L117" s="21"/>
      <c r="M117" s="21"/>
    </row>
    <row r="118" ht="18.0" hidden="1" customHeight="1" outlineLevel="1">
      <c r="A118" s="21"/>
      <c r="B118" s="51"/>
      <c r="C118" s="54" t="s">
        <v>41</v>
      </c>
      <c r="D118" s="55">
        <v>0.0</v>
      </c>
      <c r="E118" s="55">
        <v>0.0</v>
      </c>
      <c r="F118" s="55">
        <v>391651.0</v>
      </c>
      <c r="G118" s="55">
        <v>391651.0</v>
      </c>
      <c r="H118" s="55">
        <v>0.0</v>
      </c>
      <c r="I118" s="21"/>
      <c r="J118" s="21">
        <v>0.0</v>
      </c>
      <c r="K118" s="21">
        <v>0.0</v>
      </c>
      <c r="L118" s="21">
        <v>1.0</v>
      </c>
      <c r="M118" s="21">
        <v>1.0</v>
      </c>
    </row>
    <row r="119" ht="18.0" hidden="1" customHeight="1" outlineLevel="1">
      <c r="A119" s="21"/>
      <c r="B119" s="51" t="s">
        <v>82</v>
      </c>
      <c r="C119" s="52" t="s">
        <v>40</v>
      </c>
      <c r="D119" s="53">
        <v>1043532.0</v>
      </c>
      <c r="E119" s="53">
        <v>11136.0</v>
      </c>
      <c r="F119" s="53">
        <v>247408.0</v>
      </c>
      <c r="G119" s="53">
        <v>1302076.0</v>
      </c>
      <c r="H119" s="53"/>
      <c r="I119" s="21"/>
      <c r="J119" s="21"/>
      <c r="K119" s="21"/>
      <c r="L119" s="21"/>
      <c r="M119" s="21"/>
    </row>
    <row r="120" ht="18.0" hidden="1" customHeight="1" outlineLevel="1">
      <c r="A120" s="21"/>
      <c r="B120" s="51"/>
      <c r="C120" s="54" t="s">
        <v>41</v>
      </c>
      <c r="D120" s="55">
        <v>1140153.0</v>
      </c>
      <c r="E120" s="55">
        <v>11140.0</v>
      </c>
      <c r="F120" s="55">
        <v>307727.0</v>
      </c>
      <c r="G120" s="55">
        <v>1459020.0</v>
      </c>
      <c r="H120" s="55">
        <v>30000.0</v>
      </c>
      <c r="I120" s="21"/>
      <c r="J120" s="21">
        <v>96621.0</v>
      </c>
      <c r="K120" s="21">
        <v>4.0</v>
      </c>
      <c r="L120" s="21">
        <v>60319.0</v>
      </c>
      <c r="M120" s="21">
        <v>156944.0</v>
      </c>
    </row>
    <row r="121" ht="18.0" hidden="1" customHeight="1" outlineLevel="1">
      <c r="A121" s="21"/>
      <c r="B121" s="51" t="s">
        <v>83</v>
      </c>
      <c r="C121" s="52" t="s">
        <v>40</v>
      </c>
      <c r="D121" s="53">
        <v>553770.0</v>
      </c>
      <c r="E121" s="53">
        <v>472335.0</v>
      </c>
      <c r="F121" s="53">
        <v>782061.0</v>
      </c>
      <c r="G121" s="53">
        <v>1808166.0</v>
      </c>
      <c r="H121" s="53"/>
      <c r="I121" s="21"/>
      <c r="J121" s="21"/>
      <c r="K121" s="21"/>
      <c r="L121" s="21"/>
      <c r="M121" s="21"/>
    </row>
    <row r="122" ht="18.0" hidden="1" customHeight="1" outlineLevel="1">
      <c r="A122" s="21"/>
      <c r="B122" s="51"/>
      <c r="C122" s="54" t="s">
        <v>41</v>
      </c>
      <c r="D122" s="55">
        <v>425027.0</v>
      </c>
      <c r="E122" s="55">
        <v>348824.0</v>
      </c>
      <c r="F122" s="55">
        <v>179307.0</v>
      </c>
      <c r="G122" s="55">
        <v>953158.0</v>
      </c>
      <c r="H122" s="55">
        <v>0.0</v>
      </c>
      <c r="I122" s="21"/>
      <c r="J122" s="21">
        <v>-128743.0</v>
      </c>
      <c r="K122" s="21">
        <v>-123511.0</v>
      </c>
      <c r="L122" s="21">
        <v>-602754.0</v>
      </c>
      <c r="M122" s="21">
        <v>-855008.0</v>
      </c>
    </row>
    <row r="123" ht="18.0" hidden="1" customHeight="1" outlineLevel="1">
      <c r="A123" s="21"/>
      <c r="B123" s="51" t="s">
        <v>84</v>
      </c>
      <c r="C123" s="52" t="s">
        <v>40</v>
      </c>
      <c r="D123" s="53">
        <v>267500.0</v>
      </c>
      <c r="E123" s="53">
        <v>465006.0</v>
      </c>
      <c r="F123" s="53">
        <v>559573.0</v>
      </c>
      <c r="G123" s="53">
        <v>1292079.0</v>
      </c>
      <c r="H123" s="53"/>
      <c r="I123" s="21"/>
      <c r="J123" s="21"/>
      <c r="K123" s="21"/>
      <c r="L123" s="21"/>
      <c r="M123" s="21"/>
    </row>
    <row r="124" ht="18.0" hidden="1" customHeight="1" outlineLevel="1">
      <c r="A124" s="21"/>
      <c r="B124" s="51"/>
      <c r="C124" s="54" t="s">
        <v>41</v>
      </c>
      <c r="D124" s="55">
        <v>447099.0</v>
      </c>
      <c r="E124" s="55">
        <v>379566.0</v>
      </c>
      <c r="F124" s="55">
        <v>785160.0</v>
      </c>
      <c r="G124" s="55">
        <v>1611825.0</v>
      </c>
      <c r="H124" s="55">
        <v>72070.0</v>
      </c>
      <c r="I124" s="21"/>
      <c r="J124" s="21">
        <v>179599.0</v>
      </c>
      <c r="K124" s="21">
        <v>-85440.0</v>
      </c>
      <c r="L124" s="21">
        <v>225587.0</v>
      </c>
      <c r="M124" s="21">
        <v>319746.0</v>
      </c>
    </row>
    <row r="125" ht="18.0" hidden="1" customHeight="1" outlineLevel="1">
      <c r="A125" s="21"/>
      <c r="B125" s="51" t="s">
        <v>85</v>
      </c>
      <c r="C125" s="52" t="s">
        <v>40</v>
      </c>
      <c r="D125" s="53">
        <v>354800.0</v>
      </c>
      <c r="E125" s="53">
        <v>487775.0</v>
      </c>
      <c r="F125" s="53">
        <v>570433.0</v>
      </c>
      <c r="G125" s="53">
        <v>1413008.0</v>
      </c>
      <c r="H125" s="53"/>
      <c r="I125" s="21"/>
      <c r="J125" s="21"/>
      <c r="K125" s="21"/>
      <c r="L125" s="21"/>
      <c r="M125" s="21"/>
    </row>
    <row r="126" ht="18.0" hidden="1" customHeight="1" outlineLevel="1">
      <c r="A126" s="21"/>
      <c r="B126" s="51"/>
      <c r="C126" s="54" t="s">
        <v>41</v>
      </c>
      <c r="D126" s="55">
        <v>698668.0</v>
      </c>
      <c r="E126" s="55">
        <v>560035.0</v>
      </c>
      <c r="F126" s="55">
        <v>412116.0</v>
      </c>
      <c r="G126" s="55">
        <v>1670819.0</v>
      </c>
      <c r="H126" s="55">
        <v>0.0</v>
      </c>
      <c r="I126" s="21"/>
      <c r="J126" s="21">
        <v>343868.0</v>
      </c>
      <c r="K126" s="21">
        <v>72260.0</v>
      </c>
      <c r="L126" s="21">
        <v>-158317.0</v>
      </c>
      <c r="M126" s="21">
        <v>257811.0</v>
      </c>
    </row>
    <row r="127" ht="18.0" hidden="1" customHeight="1" outlineLevel="1">
      <c r="A127" s="21"/>
      <c r="B127" s="51" t="s">
        <v>86</v>
      </c>
      <c r="C127" s="52" t="s">
        <v>40</v>
      </c>
      <c r="D127" s="53">
        <v>96220.0</v>
      </c>
      <c r="E127" s="53">
        <v>76708.0</v>
      </c>
      <c r="F127" s="53">
        <v>100001.0</v>
      </c>
      <c r="G127" s="53">
        <v>272929.0</v>
      </c>
      <c r="H127" s="53"/>
      <c r="I127" s="21"/>
      <c r="J127" s="21"/>
      <c r="K127" s="21"/>
      <c r="L127" s="21"/>
      <c r="M127" s="21"/>
    </row>
    <row r="128" ht="18.0" hidden="1" customHeight="1" outlineLevel="1">
      <c r="A128" s="21"/>
      <c r="B128" s="51"/>
      <c r="C128" s="54" t="s">
        <v>41</v>
      </c>
      <c r="D128" s="55">
        <v>69873.0</v>
      </c>
      <c r="E128" s="55">
        <v>58690.0</v>
      </c>
      <c r="F128" s="55">
        <v>126293.0</v>
      </c>
      <c r="G128" s="55">
        <v>254856.0</v>
      </c>
      <c r="H128" s="55">
        <v>0.0</v>
      </c>
      <c r="I128" s="21"/>
      <c r="J128" s="21">
        <v>-26347.0</v>
      </c>
      <c r="K128" s="21">
        <v>-18018.0</v>
      </c>
      <c r="L128" s="21">
        <v>26292.0</v>
      </c>
      <c r="M128" s="21">
        <v>-18073.0</v>
      </c>
    </row>
    <row r="129" ht="18.0" customHeight="1" collapsed="1">
      <c r="A129" s="21"/>
      <c r="B129" s="21" t="s">
        <v>31</v>
      </c>
      <c r="C129" s="21" t="s">
        <v>46</v>
      </c>
      <c r="D129" s="24">
        <v>2975591.0</v>
      </c>
      <c r="E129" s="24">
        <v>2975591.0</v>
      </c>
      <c r="F129" s="24">
        <v>2975591.0</v>
      </c>
      <c r="G129" s="24">
        <v>8926773.0</v>
      </c>
      <c r="H129" s="24">
        <v>0.0</v>
      </c>
      <c r="I129" s="21"/>
      <c r="J129" s="21"/>
      <c r="K129" s="21"/>
      <c r="L129" s="21"/>
      <c r="M129" s="21"/>
    </row>
    <row r="130" ht="18.0" customHeight="1">
      <c r="A130" s="21"/>
      <c r="B130" s="21"/>
      <c r="C130" s="30" t="s">
        <v>41</v>
      </c>
      <c r="D130" s="39">
        <v>3635041.0</v>
      </c>
      <c r="E130" s="39">
        <v>3635041.0</v>
      </c>
      <c r="F130" s="39">
        <v>3635041.0</v>
      </c>
      <c r="G130" s="39">
        <v>1.0905123E7</v>
      </c>
      <c r="H130" s="39">
        <v>0.0</v>
      </c>
      <c r="I130" s="21"/>
      <c r="J130" s="21">
        <v>659450.0</v>
      </c>
      <c r="K130" s="21">
        <v>659450.0</v>
      </c>
      <c r="L130" s="21">
        <v>659450.0</v>
      </c>
      <c r="M130" s="21">
        <v>1978350.0</v>
      </c>
    </row>
    <row r="131" ht="18.0" customHeight="1">
      <c r="A131" s="21"/>
      <c r="B131" s="22" t="s">
        <v>32</v>
      </c>
      <c r="C131" s="35" t="s">
        <v>40</v>
      </c>
      <c r="D131" s="37">
        <v>3.9001026E7</v>
      </c>
      <c r="E131" s="37">
        <v>3.4049019E7</v>
      </c>
      <c r="F131" s="37">
        <v>4.2570308E7</v>
      </c>
      <c r="G131" s="37">
        <v>1.15620353E8</v>
      </c>
      <c r="H131" s="37">
        <v>0.0</v>
      </c>
      <c r="I131" s="21"/>
      <c r="J131" s="21"/>
      <c r="K131" s="21"/>
      <c r="L131" s="21"/>
      <c r="M131" s="21"/>
    </row>
    <row r="132" ht="18.0" customHeight="1">
      <c r="A132" s="21"/>
      <c r="B132" s="22"/>
      <c r="C132" s="15" t="s">
        <v>41</v>
      </c>
      <c r="D132" s="23">
        <v>4.4048413E7</v>
      </c>
      <c r="E132" s="23">
        <v>3.7011857E7</v>
      </c>
      <c r="F132" s="23">
        <v>4.4894216E7</v>
      </c>
      <c r="G132" s="23">
        <v>1.25954486E8</v>
      </c>
      <c r="H132" s="23">
        <v>1.0905123E7</v>
      </c>
      <c r="I132" s="21"/>
      <c r="J132" s="21">
        <v>5047387.0</v>
      </c>
      <c r="K132" s="21">
        <v>2962838.0</v>
      </c>
      <c r="L132" s="21">
        <v>2323908.0</v>
      </c>
      <c r="M132" s="21">
        <v>1.0334133E7</v>
      </c>
    </row>
    <row r="133" ht="18.0" customHeight="1">
      <c r="A133" s="21"/>
      <c r="B133" s="25" t="s">
        <v>33</v>
      </c>
      <c r="C133" s="57" t="s">
        <v>40</v>
      </c>
      <c r="D133" s="58">
        <v>1.9027708E7</v>
      </c>
      <c r="E133" s="58">
        <v>9175774.0</v>
      </c>
      <c r="F133" s="58">
        <v>1.4352825E7</v>
      </c>
      <c r="G133" s="58">
        <v>4.2556307E7</v>
      </c>
      <c r="H133" s="58">
        <v>0.0</v>
      </c>
      <c r="I133" s="21"/>
      <c r="J133" s="21"/>
      <c r="K133" s="21"/>
      <c r="L133" s="21"/>
      <c r="M133" s="21"/>
    </row>
    <row r="134" ht="18.0" customHeight="1">
      <c r="A134" s="21"/>
      <c r="B134" s="25"/>
      <c r="C134" s="59" t="s">
        <v>41</v>
      </c>
      <c r="D134" s="26">
        <v>1.7200159E7</v>
      </c>
      <c r="E134" s="26">
        <v>7386090.0</v>
      </c>
      <c r="F134" s="26">
        <v>1.5637221E7</v>
      </c>
      <c r="G134" s="26">
        <v>4.022347E7</v>
      </c>
      <c r="H134" s="26">
        <v>-1.0905123E7</v>
      </c>
      <c r="I134" s="21"/>
      <c r="J134" s="21">
        <v>-1827549.0</v>
      </c>
      <c r="K134" s="21">
        <v>-1789684.0</v>
      </c>
      <c r="L134" s="21">
        <v>1284396.0</v>
      </c>
      <c r="M134" s="21">
        <v>-2332837.0</v>
      </c>
    </row>
    <row r="135" ht="18.0" customHeight="1">
      <c r="A135" s="27"/>
      <c r="B135" s="28" t="s">
        <v>34</v>
      </c>
      <c r="C135" s="28"/>
      <c r="D135" s="29">
        <v>0.25888984904693896</v>
      </c>
      <c r="E135" s="29">
        <v>0.1499177441441911</v>
      </c>
      <c r="F135" s="29">
        <v>0.22842038181000138</v>
      </c>
      <c r="G135" s="29">
        <v>0.2184113412843045</v>
      </c>
      <c r="H135" s="29" t="e">
        <v>#DIV/0!</v>
      </c>
      <c r="I135" s="27"/>
      <c r="J135" s="21"/>
      <c r="K135" s="21"/>
      <c r="L135" s="21"/>
      <c r="M135" s="21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21"/>
      <c r="K136" s="21"/>
      <c r="L136" s="21"/>
      <c r="M136" s="21"/>
    </row>
    <row r="137" ht="18.0" customHeight="1">
      <c r="A137" s="4"/>
      <c r="B137" s="25" t="s">
        <v>87</v>
      </c>
      <c r="C137" s="25"/>
      <c r="D137" s="26">
        <v>1.9294473E7</v>
      </c>
      <c r="E137" s="26">
        <v>8544659.0</v>
      </c>
      <c r="F137" s="26">
        <v>1.4946612E7</v>
      </c>
      <c r="G137" s="26">
        <v>4.2785744E7</v>
      </c>
      <c r="H137" s="26"/>
      <c r="I137" s="4"/>
      <c r="J137" s="21"/>
      <c r="K137" s="21"/>
      <c r="L137" s="21"/>
      <c r="M137" s="21"/>
    </row>
    <row r="138" ht="18.0" customHeight="1">
      <c r="A138" s="4"/>
      <c r="B138" s="25" t="s">
        <v>116</v>
      </c>
      <c r="C138" s="25"/>
      <c r="D138" s="26">
        <v>-2094314.0</v>
      </c>
      <c r="E138" s="26">
        <v>-1158569.0</v>
      </c>
      <c r="F138" s="26">
        <v>690609.0</v>
      </c>
      <c r="G138" s="26">
        <v>-2562274.0</v>
      </c>
      <c r="H138" s="26"/>
      <c r="I138" s="4"/>
      <c r="J138" s="21"/>
      <c r="K138" s="21"/>
      <c r="L138" s="21"/>
      <c r="M138" s="21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8.0" customHeight="1">
      <c r="A140" s="4"/>
      <c r="B140" s="4"/>
      <c r="C140" s="4"/>
      <c r="D140" s="4" t="s">
        <v>115</v>
      </c>
      <c r="E140" s="4"/>
      <c r="F140" s="4"/>
      <c r="G140" s="4"/>
      <c r="H140" s="4"/>
      <c r="I140" s="4"/>
      <c r="J140" s="4"/>
      <c r="K140" s="4"/>
      <c r="L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0.57"/>
    <col customWidth="1" min="2" max="3" width="11.0"/>
    <col customWidth="1" min="4" max="9" width="17.43"/>
    <col customWidth="1" min="10" max="10" width="9.0"/>
    <col customWidth="1" min="11" max="11" width="25.57"/>
    <col customWidth="1" min="12" max="19" width="9.0"/>
    <col customWidth="1" min="20" max="26" width="14.57"/>
  </cols>
  <sheetData>
    <row r="1" ht="16.5" customHeight="1">
      <c r="A1" s="98"/>
      <c r="B1" s="98"/>
      <c r="C1" s="98"/>
      <c r="D1" s="98"/>
      <c r="E1" s="98"/>
      <c r="F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76"/>
      <c r="U1" s="76"/>
      <c r="V1" s="76"/>
      <c r="W1" s="76"/>
      <c r="X1" s="76"/>
      <c r="Y1" s="76"/>
      <c r="Z1" s="76"/>
    </row>
    <row r="2" ht="16.5" customHeight="1">
      <c r="A2" s="98"/>
      <c r="B2" s="98"/>
      <c r="C2" s="98"/>
      <c r="D2" s="98"/>
      <c r="E2" s="98"/>
      <c r="F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76"/>
      <c r="U2" s="76"/>
      <c r="V2" s="76"/>
      <c r="W2" s="76"/>
      <c r="X2" s="76"/>
      <c r="Y2" s="76"/>
      <c r="Z2" s="76"/>
    </row>
    <row r="3" ht="16.5" customHeight="1">
      <c r="A3" s="98"/>
      <c r="B3" s="98"/>
      <c r="C3" s="98"/>
      <c r="D3" s="98" t="s">
        <v>117</v>
      </c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76"/>
      <c r="U3" s="76"/>
      <c r="V3" s="76"/>
      <c r="W3" s="76"/>
      <c r="X3" s="76"/>
      <c r="Y3" s="76"/>
      <c r="Z3" s="76"/>
    </row>
    <row r="4" ht="16.5" customHeight="1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76"/>
      <c r="U4" s="76"/>
      <c r="V4" s="76"/>
      <c r="W4" s="76"/>
      <c r="X4" s="76"/>
      <c r="Y4" s="76"/>
      <c r="Z4" s="76"/>
    </row>
    <row r="5" ht="12.75" customHeight="1">
      <c r="A5" s="98"/>
      <c r="B5" s="2" t="str">
        <f>【提出用】5月度TGR全体PL※編集不要!B1</f>
        <v>#ERROR!</v>
      </c>
      <c r="C5" s="99"/>
      <c r="D5" s="99" t="s">
        <v>118</v>
      </c>
      <c r="E5" s="99" t="s">
        <v>119</v>
      </c>
      <c r="F5" s="99" t="s">
        <v>120</v>
      </c>
      <c r="G5" s="99" t="s">
        <v>121</v>
      </c>
      <c r="H5" s="99" t="s">
        <v>122</v>
      </c>
      <c r="I5" s="99" t="s">
        <v>123</v>
      </c>
      <c r="J5" s="98"/>
      <c r="K5" s="98"/>
      <c r="L5" s="98"/>
      <c r="M5" s="98"/>
      <c r="N5" s="98"/>
      <c r="O5" s="98"/>
      <c r="P5" s="98"/>
      <c r="Q5" s="98"/>
      <c r="R5" s="98"/>
      <c r="S5" s="98"/>
      <c r="T5" s="76"/>
      <c r="U5" s="76"/>
      <c r="V5" s="76"/>
      <c r="W5" s="76"/>
      <c r="X5" s="76"/>
      <c r="Y5" s="76"/>
      <c r="Z5" s="76"/>
    </row>
    <row r="6" ht="15.0" customHeight="1">
      <c r="A6" s="76" t="s">
        <v>24</v>
      </c>
      <c r="B6" s="100"/>
      <c r="C6" s="101" t="s">
        <v>40</v>
      </c>
      <c r="D6" s="102">
        <v>6.1514409E7</v>
      </c>
      <c r="E6" s="103">
        <v>4.8673065E7</v>
      </c>
      <c r="F6" s="102">
        <v>6.2117763E7</v>
      </c>
      <c r="G6" s="102">
        <v>4.2862851E7</v>
      </c>
      <c r="H6" s="102">
        <v>1.9254912E7</v>
      </c>
      <c r="I6" s="104">
        <v>1.72305237E8</v>
      </c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5.0" customHeight="1">
      <c r="A7" s="76"/>
      <c r="B7" s="105"/>
      <c r="C7" s="106" t="s">
        <v>124</v>
      </c>
      <c r="D7" s="107">
        <v>6.6506545E7</v>
      </c>
      <c r="E7" s="108">
        <v>4.80795E7</v>
      </c>
      <c r="F7" s="107">
        <v>6.8745082E7</v>
      </c>
      <c r="G7" s="107">
        <v>4.7937582E7</v>
      </c>
      <c r="H7" s="107">
        <v>2.08075E7</v>
      </c>
      <c r="I7" s="109">
        <v>1.83331127E8</v>
      </c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5.0" customHeight="1">
      <c r="A8" s="76"/>
      <c r="B8" s="105"/>
      <c r="C8" s="110" t="s">
        <v>125</v>
      </c>
      <c r="D8" s="111">
        <v>1.0811539293176011</v>
      </c>
      <c r="E8" s="112">
        <v>0.9878050622043218</v>
      </c>
      <c r="F8" s="111">
        <v>1.1066895953738707</v>
      </c>
      <c r="G8" s="113">
        <v>1.1183946210204263</v>
      </c>
      <c r="H8" s="111">
        <v>1.0806333469610248</v>
      </c>
      <c r="I8" s="114">
        <v>1.0639904520139454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5.0" customHeight="1">
      <c r="A9" s="76"/>
      <c r="B9" s="105"/>
      <c r="C9" s="115" t="s">
        <v>46</v>
      </c>
      <c r="D9" s="116">
        <v>6.655815E7</v>
      </c>
      <c r="E9" s="117">
        <v>4.90671E7</v>
      </c>
      <c r="F9" s="116">
        <v>6.8745082E7</v>
      </c>
      <c r="G9" s="116">
        <v>4.7937582E7</v>
      </c>
      <c r="H9" s="116">
        <v>2.08075E7</v>
      </c>
      <c r="I9" s="118">
        <v>1.84370332E8</v>
      </c>
      <c r="J9" s="76" t="s">
        <v>24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5.0" customHeight="1">
      <c r="A10" s="76"/>
      <c r="B10" s="105"/>
      <c r="C10" s="119" t="s">
        <v>126</v>
      </c>
      <c r="D10" s="111">
        <v>1.0819928384583846</v>
      </c>
      <c r="E10" s="112">
        <v>1.008095545246637</v>
      </c>
      <c r="F10" s="111">
        <v>1.1066895953738707</v>
      </c>
      <c r="G10" s="111">
        <v>1.1183946210204263</v>
      </c>
      <c r="H10" s="111">
        <v>1.0806333469610248</v>
      </c>
      <c r="I10" s="114">
        <v>1.0700216384020875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5.0" customHeight="1">
      <c r="A11" s="76"/>
      <c r="B11" s="105"/>
      <c r="C11" s="106" t="s">
        <v>127</v>
      </c>
      <c r="D11" s="107">
        <v>5.3598791E7</v>
      </c>
      <c r="E11" s="107">
        <v>4.3096466E7</v>
      </c>
      <c r="F11" s="107">
        <v>5.5265383E7</v>
      </c>
      <c r="G11" s="107">
        <v>3.887408E7</v>
      </c>
      <c r="H11" s="107">
        <v>1.6391303E7</v>
      </c>
      <c r="I11" s="109">
        <v>1.5196064E8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5.0" customHeight="1">
      <c r="A12" s="76"/>
      <c r="B12" s="120"/>
      <c r="C12" s="121" t="s">
        <v>128</v>
      </c>
      <c r="D12" s="122">
        <v>1.2417845395057512</v>
      </c>
      <c r="E12" s="123">
        <v>1.1385411509147874</v>
      </c>
      <c r="F12" s="122">
        <v>1.2439085421700598</v>
      </c>
      <c r="G12" s="122">
        <v>1.2331502636203866</v>
      </c>
      <c r="H12" s="122">
        <v>1.2694231813053545</v>
      </c>
      <c r="I12" s="124">
        <v>1.2132768853829519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5.0" customHeight="1">
      <c r="A13" s="76" t="s">
        <v>97</v>
      </c>
      <c r="B13" s="100"/>
      <c r="C13" s="101" t="s">
        <v>40</v>
      </c>
      <c r="D13" s="102">
        <v>1548.0</v>
      </c>
      <c r="E13" s="125">
        <v>1318.0</v>
      </c>
      <c r="F13" s="126">
        <v>1450.0</v>
      </c>
      <c r="G13" s="102">
        <v>1450.0</v>
      </c>
      <c r="H13" s="102">
        <v>656.0</v>
      </c>
      <c r="I13" s="104">
        <v>4316.0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5.0" customHeight="1">
      <c r="A14" s="76"/>
      <c r="B14" s="105"/>
      <c r="C14" s="106" t="s">
        <v>124</v>
      </c>
      <c r="D14" s="107">
        <v>1522.0</v>
      </c>
      <c r="E14" s="108">
        <v>1339.0</v>
      </c>
      <c r="F14" s="107">
        <v>1482.0</v>
      </c>
      <c r="G14" s="107">
        <v>1482.0</v>
      </c>
      <c r="H14" s="107">
        <v>725.0</v>
      </c>
      <c r="I14" s="109">
        <v>4343.0</v>
      </c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5.0" customHeight="1">
      <c r="A15" s="76"/>
      <c r="B15" s="105"/>
      <c r="C15" s="110" t="s">
        <v>125</v>
      </c>
      <c r="D15" s="111">
        <v>0.9832041343669251</v>
      </c>
      <c r="E15" s="112">
        <v>1.0159332321699546</v>
      </c>
      <c r="F15" s="111">
        <v>1.0220689655172415</v>
      </c>
      <c r="G15" s="111">
        <v>1.0220689655172415</v>
      </c>
      <c r="H15" s="111">
        <v>1.1051829268292683</v>
      </c>
      <c r="I15" s="114">
        <v>1.0062557924003708</v>
      </c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5.0" customHeight="1">
      <c r="A16" s="76"/>
      <c r="B16" s="105"/>
      <c r="C16" s="115" t="s">
        <v>46</v>
      </c>
      <c r="D16" s="127">
        <v>1518.0</v>
      </c>
      <c r="E16" s="128">
        <v>1340.0</v>
      </c>
      <c r="F16" s="129">
        <v>1482.0</v>
      </c>
      <c r="G16" s="129">
        <v>1482.0</v>
      </c>
      <c r="H16" s="129">
        <v>725.0</v>
      </c>
      <c r="I16" s="130">
        <v>4340.0</v>
      </c>
      <c r="J16" s="76" t="s">
        <v>97</v>
      </c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5.0" customHeight="1">
      <c r="A17" s="76"/>
      <c r="B17" s="105"/>
      <c r="C17" s="119" t="s">
        <v>126</v>
      </c>
      <c r="D17" s="111">
        <v>0.9806201550387597</v>
      </c>
      <c r="E17" s="112">
        <v>1.0166919575113809</v>
      </c>
      <c r="F17" s="111">
        <v>1.0220689655172415</v>
      </c>
      <c r="G17" s="111">
        <v>1.0220689655172415</v>
      </c>
      <c r="H17" s="111">
        <v>1.1051829268292683</v>
      </c>
      <c r="I17" s="114">
        <v>1.0055607043558852</v>
      </c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5.0" customHeight="1">
      <c r="A18" s="76"/>
      <c r="B18" s="105"/>
      <c r="C18" s="106" t="s">
        <v>127</v>
      </c>
      <c r="D18" s="107">
        <v>1398.0</v>
      </c>
      <c r="E18" s="108">
        <v>1307.0</v>
      </c>
      <c r="F18" s="107">
        <v>1399.0</v>
      </c>
      <c r="G18" s="131">
        <v>1399.0</v>
      </c>
      <c r="H18" s="107">
        <v>639.0</v>
      </c>
      <c r="I18" s="109">
        <v>4104.0</v>
      </c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5.0" customHeight="1">
      <c r="A19" s="76"/>
      <c r="B19" s="120"/>
      <c r="C19" s="121" t="s">
        <v>128</v>
      </c>
      <c r="D19" s="122">
        <v>1.0858369098712446</v>
      </c>
      <c r="E19" s="123">
        <v>1.025248661055853</v>
      </c>
      <c r="F19" s="122">
        <v>1.0593280914939243</v>
      </c>
      <c r="G19" s="122">
        <v>1.0593280914939243</v>
      </c>
      <c r="H19" s="122">
        <v>1.134585289514867</v>
      </c>
      <c r="I19" s="124">
        <v>1.057504873294347</v>
      </c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5.0" customHeight="1">
      <c r="A20" s="76" t="s">
        <v>96</v>
      </c>
      <c r="B20" s="100"/>
      <c r="C20" s="101" t="s">
        <v>40</v>
      </c>
      <c r="D20" s="102">
        <v>5331.0</v>
      </c>
      <c r="E20" s="125">
        <v>4695.0</v>
      </c>
      <c r="F20" s="102">
        <v>4779.0</v>
      </c>
      <c r="G20" s="102">
        <v>4779.0</v>
      </c>
      <c r="H20" s="102">
        <v>1312.0</v>
      </c>
      <c r="I20" s="132">
        <v>14805.0</v>
      </c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0" customHeight="1">
      <c r="A21" s="76"/>
      <c r="B21" s="105"/>
      <c r="C21" s="106" t="s">
        <v>124</v>
      </c>
      <c r="D21" s="107">
        <v>5293.0</v>
      </c>
      <c r="E21" s="108">
        <v>4579.0</v>
      </c>
      <c r="F21" s="107">
        <v>4851.0</v>
      </c>
      <c r="G21" s="107">
        <v>4851.0</v>
      </c>
      <c r="H21" s="107">
        <v>1450.0</v>
      </c>
      <c r="I21" s="133">
        <v>14723.0</v>
      </c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0" customHeight="1">
      <c r="A22" s="76"/>
      <c r="B22" s="105"/>
      <c r="C22" s="110" t="s">
        <v>125</v>
      </c>
      <c r="D22" s="111">
        <v>0.9928718814481335</v>
      </c>
      <c r="E22" s="112">
        <v>0.9752928647497338</v>
      </c>
      <c r="F22" s="111">
        <v>1.015065913370998</v>
      </c>
      <c r="G22" s="111">
        <v>1.015065913370998</v>
      </c>
      <c r="H22" s="111">
        <v>1.1051829268292683</v>
      </c>
      <c r="I22" s="134">
        <v>0.9944613306315434</v>
      </c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0" customHeight="1">
      <c r="A23" s="76"/>
      <c r="B23" s="105"/>
      <c r="C23" s="115" t="s">
        <v>46</v>
      </c>
      <c r="D23" s="127">
        <v>5295.0</v>
      </c>
      <c r="E23" s="128">
        <v>4590.0</v>
      </c>
      <c r="F23" s="129">
        <v>4851.0</v>
      </c>
      <c r="G23" s="129">
        <v>4851.0</v>
      </c>
      <c r="H23" s="129">
        <v>1450.0</v>
      </c>
      <c r="I23" s="130">
        <v>14736.0</v>
      </c>
      <c r="J23" s="76" t="s">
        <v>96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0" customHeight="1">
      <c r="A24" s="76"/>
      <c r="B24" s="105"/>
      <c r="C24" s="119" t="s">
        <v>126</v>
      </c>
      <c r="D24" s="111">
        <v>0.9932470455824424</v>
      </c>
      <c r="E24" s="112">
        <v>0.9776357827476039</v>
      </c>
      <c r="F24" s="111">
        <v>1.015065913370998</v>
      </c>
      <c r="G24" s="111">
        <v>1.015065913370998</v>
      </c>
      <c r="H24" s="111">
        <v>1.1051829268292683</v>
      </c>
      <c r="I24" s="134">
        <v>0.9953394123606889</v>
      </c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0" customHeight="1">
      <c r="A25" s="76"/>
      <c r="B25" s="105"/>
      <c r="C25" s="106" t="s">
        <v>127</v>
      </c>
      <c r="D25" s="107">
        <v>4769.0</v>
      </c>
      <c r="E25" s="108">
        <v>4547.0</v>
      </c>
      <c r="F25" s="107">
        <v>4552.0</v>
      </c>
      <c r="G25" s="131">
        <v>4552.0</v>
      </c>
      <c r="H25" s="107">
        <v>1278.0</v>
      </c>
      <c r="I25" s="133">
        <v>13868.0</v>
      </c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0" customHeight="1">
      <c r="A26" s="76"/>
      <c r="B26" s="120"/>
      <c r="C26" s="121" t="s">
        <v>128</v>
      </c>
      <c r="D26" s="122">
        <v>1.1102956594673936</v>
      </c>
      <c r="E26" s="123">
        <v>1.0094567846932043</v>
      </c>
      <c r="F26" s="122">
        <v>1.0656854130052724</v>
      </c>
      <c r="G26" s="122">
        <v>1.0656854130052724</v>
      </c>
      <c r="H26" s="122">
        <v>1.134585289514867</v>
      </c>
      <c r="I26" s="135">
        <v>1.062590135563888</v>
      </c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0" customHeight="1">
      <c r="A27" s="76" t="s">
        <v>98</v>
      </c>
      <c r="B27" s="136"/>
      <c r="C27" s="101" t="s">
        <v>40</v>
      </c>
      <c r="D27" s="137">
        <v>0.9662921348314607</v>
      </c>
      <c r="E27" s="138">
        <v>0.7086021505376344</v>
      </c>
      <c r="F27" s="137"/>
      <c r="G27" s="137">
        <v>0.7795698924731183</v>
      </c>
      <c r="H27" s="137">
        <v>0.7053763440860215</v>
      </c>
      <c r="I27" s="139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0" customHeight="1">
      <c r="A28" s="76"/>
      <c r="B28" s="105"/>
      <c r="C28" s="106" t="s">
        <v>124</v>
      </c>
      <c r="D28" s="111">
        <v>0.9500624219725343</v>
      </c>
      <c r="E28" s="112">
        <v>0.7198924731182795</v>
      </c>
      <c r="F28" s="111"/>
      <c r="G28" s="111">
        <v>0.7967741935483871</v>
      </c>
      <c r="H28" s="111">
        <v>0.7795698924731183</v>
      </c>
      <c r="I28" s="114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0" customHeight="1">
      <c r="A29" s="76"/>
      <c r="B29" s="105"/>
      <c r="C29" s="110" t="s">
        <v>125</v>
      </c>
      <c r="D29" s="111">
        <v>0.983204134366925</v>
      </c>
      <c r="E29" s="112">
        <v>1.0159332321699543</v>
      </c>
      <c r="F29" s="111"/>
      <c r="G29" s="111">
        <v>1.0220689655172415</v>
      </c>
      <c r="H29" s="111">
        <v>1.1051829268292683</v>
      </c>
      <c r="I29" s="114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0" customHeight="1">
      <c r="A30" s="76"/>
      <c r="B30" s="105"/>
      <c r="C30" s="115" t="s">
        <v>46</v>
      </c>
      <c r="D30" s="140">
        <v>0.947565543071161</v>
      </c>
      <c r="E30" s="141">
        <v>0.7204301075268817</v>
      </c>
      <c r="F30" s="111"/>
      <c r="G30" s="140">
        <v>0.7967741935483871</v>
      </c>
      <c r="H30" s="140">
        <v>0.7795698924731183</v>
      </c>
      <c r="I30" s="114"/>
      <c r="J30" s="76" t="s">
        <v>98</v>
      </c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0" customHeight="1">
      <c r="A31" s="76"/>
      <c r="B31" s="105"/>
      <c r="C31" s="119" t="s">
        <v>126</v>
      </c>
      <c r="D31" s="111">
        <v>0.9806201550387597</v>
      </c>
      <c r="E31" s="112">
        <v>1.0166919575113809</v>
      </c>
      <c r="F31" s="111"/>
      <c r="G31" s="111">
        <v>1.0220689655172415</v>
      </c>
      <c r="H31" s="111">
        <v>1.1051829268292683</v>
      </c>
      <c r="I31" s="114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0" customHeight="1">
      <c r="A32" s="76"/>
      <c r="B32" s="105"/>
      <c r="C32" s="106" t="s">
        <v>127</v>
      </c>
      <c r="D32" s="111">
        <v>0.8726591760299626</v>
      </c>
      <c r="E32" s="112">
        <v>0.7026881720430107</v>
      </c>
      <c r="F32" s="111"/>
      <c r="G32" s="111">
        <v>0.7521505376344086</v>
      </c>
      <c r="H32" s="111">
        <v>0.6870967741935484</v>
      </c>
      <c r="I32" s="114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0" customHeight="1">
      <c r="A33" s="76"/>
      <c r="B33" s="120"/>
      <c r="C33" s="142" t="s">
        <v>128</v>
      </c>
      <c r="D33" s="122">
        <v>1.0858369098712446</v>
      </c>
      <c r="E33" s="123">
        <v>1.025248661055853</v>
      </c>
      <c r="F33" s="122"/>
      <c r="G33" s="122">
        <v>1.059328091493924</v>
      </c>
      <c r="H33" s="122">
        <v>1.134585289514867</v>
      </c>
      <c r="I33" s="135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0" customHeight="1">
      <c r="A34" s="76" t="s">
        <v>100</v>
      </c>
      <c r="B34" s="100"/>
      <c r="C34" s="101" t="s">
        <v>40</v>
      </c>
      <c r="D34" s="143">
        <v>3.444</v>
      </c>
      <c r="E34" s="144">
        <v>3.5629999999999997</v>
      </c>
      <c r="F34" s="102"/>
      <c r="G34" s="145">
        <v>3.296</v>
      </c>
      <c r="H34" s="102"/>
      <c r="I34" s="146">
        <v>3.431</v>
      </c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0" customHeight="1">
      <c r="A35" s="76"/>
      <c r="B35" s="105"/>
      <c r="C35" s="106" t="s">
        <v>124</v>
      </c>
      <c r="D35" s="147">
        <v>3.4779999999999998</v>
      </c>
      <c r="E35" s="148">
        <v>3.42</v>
      </c>
      <c r="F35" s="107"/>
      <c r="G35" s="149">
        <v>3.274</v>
      </c>
      <c r="H35" s="107"/>
      <c r="I35" s="150">
        <v>3.391</v>
      </c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0" customHeight="1">
      <c r="A36" s="76"/>
      <c r="B36" s="105"/>
      <c r="C36" s="110" t="s">
        <v>125</v>
      </c>
      <c r="D36" s="111">
        <v>1.0098722415795587</v>
      </c>
      <c r="E36" s="112">
        <v>0.959865282065675</v>
      </c>
      <c r="F36" s="111"/>
      <c r="G36" s="111">
        <v>0.9933252427184467</v>
      </c>
      <c r="H36" s="111"/>
      <c r="I36" s="114">
        <v>0.9883415913727776</v>
      </c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0" customHeight="1">
      <c r="A37" s="76"/>
      <c r="B37" s="105"/>
      <c r="C37" s="115" t="s">
        <v>46</v>
      </c>
      <c r="D37" s="151">
        <v>3.489</v>
      </c>
      <c r="E37" s="152">
        <v>3.4259999999999997</v>
      </c>
      <c r="F37" s="116"/>
      <c r="G37" s="151">
        <v>3.274</v>
      </c>
      <c r="H37" s="116"/>
      <c r="I37" s="153">
        <v>3.396</v>
      </c>
      <c r="J37" s="76" t="s">
        <v>100</v>
      </c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0" customHeight="1">
      <c r="A38" s="76"/>
      <c r="B38" s="105"/>
      <c r="C38" s="119" t="s">
        <v>126</v>
      </c>
      <c r="D38" s="111">
        <v>1.0130662020905923</v>
      </c>
      <c r="E38" s="112">
        <v>0.9615492562447375</v>
      </c>
      <c r="F38" s="111"/>
      <c r="G38" s="111">
        <v>0.9933252427184467</v>
      </c>
      <c r="H38" s="111"/>
      <c r="I38" s="114">
        <v>0.9897988924511804</v>
      </c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0" customHeight="1">
      <c r="A39" s="76"/>
      <c r="B39" s="105"/>
      <c r="C39" s="106" t="s">
        <v>127</v>
      </c>
      <c r="D39" s="149">
        <v>3.412</v>
      </c>
      <c r="E39" s="148">
        <v>3.479</v>
      </c>
      <c r="F39" s="107"/>
      <c r="G39" s="149">
        <v>3.254</v>
      </c>
      <c r="H39" s="107"/>
      <c r="I39" s="150">
        <v>3.38</v>
      </c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0" customHeight="1">
      <c r="A40" s="76"/>
      <c r="B40" s="120"/>
      <c r="C40" s="121" t="s">
        <v>128</v>
      </c>
      <c r="D40" s="122">
        <v>1.022567409144197</v>
      </c>
      <c r="E40" s="123">
        <v>0.9847657372808277</v>
      </c>
      <c r="F40" s="122"/>
      <c r="G40" s="122">
        <v>1.0061462814996927</v>
      </c>
      <c r="H40" s="122"/>
      <c r="I40" s="124">
        <v>1.004733727810651</v>
      </c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0" customHeight="1">
      <c r="A41" s="76"/>
      <c r="B41" s="100"/>
      <c r="C41" s="101" t="s">
        <v>129</v>
      </c>
      <c r="D41" s="154">
        <v>1900000.0</v>
      </c>
      <c r="E41" s="155">
        <v>1289000.0</v>
      </c>
      <c r="F41" s="137"/>
      <c r="G41" s="137"/>
      <c r="H41" s="137"/>
      <c r="I41" s="15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0" customHeight="1">
      <c r="A42" s="76"/>
      <c r="B42" s="105"/>
      <c r="C42" s="106" t="s">
        <v>130</v>
      </c>
      <c r="D42" s="131">
        <v>210.0</v>
      </c>
      <c r="E42" s="157">
        <v>377.0</v>
      </c>
      <c r="F42" s="111"/>
      <c r="G42" s="111"/>
      <c r="H42" s="111"/>
      <c r="I42" s="134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0" customHeight="1">
      <c r="A43" s="76"/>
      <c r="B43" s="105"/>
      <c r="C43" s="106" t="s">
        <v>131</v>
      </c>
      <c r="D43" s="131">
        <v>735.0</v>
      </c>
      <c r="E43" s="157">
        <v>1289.0</v>
      </c>
      <c r="F43" s="111"/>
      <c r="G43" s="111"/>
      <c r="H43" s="111"/>
      <c r="I43" s="134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0" customHeight="1">
      <c r="A44" s="76"/>
      <c r="B44" s="105"/>
      <c r="C44" s="106" t="s">
        <v>132</v>
      </c>
      <c r="D44" s="158">
        <v>0.1388101983002833</v>
      </c>
      <c r="E44" s="158">
        <v>0.28082788671023967</v>
      </c>
      <c r="F44" s="111"/>
      <c r="G44" s="111"/>
      <c r="H44" s="111"/>
      <c r="I44" s="134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0" customHeight="1">
      <c r="A45" s="76"/>
      <c r="B45" s="120"/>
      <c r="C45" s="159" t="s">
        <v>133</v>
      </c>
      <c r="D45" s="131">
        <v>359.0</v>
      </c>
      <c r="E45" s="131">
        <v>281.0</v>
      </c>
      <c r="F45" s="122"/>
      <c r="G45" s="122"/>
      <c r="H45" s="122"/>
      <c r="I45" s="135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0" customHeight="1">
      <c r="A46" s="76" t="s">
        <v>99</v>
      </c>
      <c r="B46" s="100"/>
      <c r="C46" s="101" t="s">
        <v>40</v>
      </c>
      <c r="D46" s="102">
        <v>11539.0</v>
      </c>
      <c r="E46" s="103">
        <v>10367.0</v>
      </c>
      <c r="F46" s="102">
        <v>12998.06716886378</v>
      </c>
      <c r="G46" s="102">
        <v>8969.0</v>
      </c>
      <c r="H46" s="102">
        <v>14676.0</v>
      </c>
      <c r="I46" s="104">
        <v>11638.313880445796</v>
      </c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0" customHeight="1">
      <c r="A47" s="76"/>
      <c r="B47" s="105"/>
      <c r="C47" s="106" t="s">
        <v>124</v>
      </c>
      <c r="D47" s="107">
        <v>12565.0</v>
      </c>
      <c r="E47" s="108">
        <v>10500.0</v>
      </c>
      <c r="F47" s="107">
        <v>14171.32178932179</v>
      </c>
      <c r="G47" s="107">
        <v>9882.0</v>
      </c>
      <c r="H47" s="131">
        <v>14350.0</v>
      </c>
      <c r="I47" s="109">
        <v>12452.022481831149</v>
      </c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0" customHeight="1">
      <c r="A48" s="76"/>
      <c r="B48" s="105"/>
      <c r="C48" s="110" t="s">
        <v>125</v>
      </c>
      <c r="D48" s="111">
        <v>1.088915850593639</v>
      </c>
      <c r="E48" s="112">
        <v>0.03</v>
      </c>
      <c r="F48" s="111">
        <v>1.0902637757764848</v>
      </c>
      <c r="G48" s="111">
        <v>1.1017950719143716</v>
      </c>
      <c r="H48" s="111">
        <v>0.9777868629054238</v>
      </c>
      <c r="I48" s="114">
        <v>1.0699163650116459</v>
      </c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0" customHeight="1">
      <c r="A49" s="76"/>
      <c r="B49" s="105"/>
      <c r="C49" s="115" t="s">
        <v>46</v>
      </c>
      <c r="D49" s="129">
        <v>12570.0</v>
      </c>
      <c r="E49" s="129">
        <v>10690.0</v>
      </c>
      <c r="F49" s="129">
        <v>14171.32178932179</v>
      </c>
      <c r="G49" s="129">
        <v>9882.0</v>
      </c>
      <c r="H49" s="129">
        <v>14350.0</v>
      </c>
      <c r="I49" s="130">
        <v>12511.558903365907</v>
      </c>
      <c r="J49" s="76" t="s">
        <v>99</v>
      </c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0" customHeight="1">
      <c r="A50" s="76"/>
      <c r="B50" s="105"/>
      <c r="C50" s="119" t="s">
        <v>126</v>
      </c>
      <c r="D50" s="111">
        <v>1.0893491637056938</v>
      </c>
      <c r="E50" s="112">
        <v>1.0311565544516252</v>
      </c>
      <c r="F50" s="111">
        <v>1.0902637757764848</v>
      </c>
      <c r="G50" s="111">
        <v>1.1017950719143716</v>
      </c>
      <c r="H50" s="111">
        <v>0.9777868629054238</v>
      </c>
      <c r="I50" s="114">
        <v>1.0750319188750614</v>
      </c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0" customHeight="1">
      <c r="A51" s="76"/>
      <c r="B51" s="105"/>
      <c r="C51" s="106" t="s">
        <v>127</v>
      </c>
      <c r="D51" s="107">
        <v>11239.0</v>
      </c>
      <c r="E51" s="108">
        <v>9478.0</v>
      </c>
      <c r="F51" s="107">
        <v>12140.901362038665</v>
      </c>
      <c r="G51" s="107">
        <v>8540.0</v>
      </c>
      <c r="H51" s="107">
        <v>12825.745696400625</v>
      </c>
      <c r="I51" s="109">
        <v>10957.646380155755</v>
      </c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0" customHeight="1">
      <c r="A52" s="76"/>
      <c r="B52" s="120"/>
      <c r="C52" s="121" t="s">
        <v>128</v>
      </c>
      <c r="D52" s="122">
        <v>1.1184269063083905</v>
      </c>
      <c r="E52" s="123">
        <v>1.1278750791306182</v>
      </c>
      <c r="F52" s="122">
        <v>1.1672380300882523</v>
      </c>
      <c r="G52" s="122">
        <v>1.1571428571428573</v>
      </c>
      <c r="H52" s="122">
        <v>1.1188433280746504</v>
      </c>
      <c r="I52" s="124">
        <v>1.1418107930571917</v>
      </c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2.75" customHeight="1">
      <c r="A53" s="160"/>
      <c r="B53" s="161" t="s">
        <v>134</v>
      </c>
      <c r="C53" s="162"/>
      <c r="D53" s="163">
        <f t="shared" ref="D53:H53" si="1">D9</f>
        <v>66558150</v>
      </c>
      <c r="E53" s="163">
        <f t="shared" si="1"/>
        <v>49067100</v>
      </c>
      <c r="F53" s="163">
        <f t="shared" si="1"/>
        <v>68745082</v>
      </c>
      <c r="G53" s="163">
        <f t="shared" si="1"/>
        <v>47937582</v>
      </c>
      <c r="H53" s="163">
        <f t="shared" si="1"/>
        <v>20807500</v>
      </c>
      <c r="I53" s="164">
        <f>SUM(D53:F53)</f>
        <v>184370332</v>
      </c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76"/>
      <c r="U53" s="76"/>
      <c r="V53" s="76"/>
      <c r="W53" s="76"/>
      <c r="X53" s="76"/>
      <c r="Y53" s="76"/>
      <c r="Z53" s="76"/>
    </row>
    <row r="54" ht="12.75" customHeight="1">
      <c r="A54" s="76"/>
      <c r="B54" s="165" t="s">
        <v>37</v>
      </c>
      <c r="C54" s="166"/>
      <c r="D54" s="167"/>
      <c r="E54" s="167"/>
      <c r="F54" s="167"/>
      <c r="G54" s="167"/>
      <c r="H54" s="167"/>
      <c r="I54" s="16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76"/>
      <c r="U54" s="76"/>
      <c r="V54" s="76"/>
      <c r="W54" s="76"/>
      <c r="X54" s="76"/>
      <c r="Y54" s="76"/>
      <c r="Z54" s="76"/>
    </row>
    <row r="55" ht="12.75" customHeight="1">
      <c r="A55" s="169"/>
      <c r="B55" s="170"/>
      <c r="C55" s="171" t="s">
        <v>135</v>
      </c>
      <c r="D55" s="172"/>
      <c r="E55" s="172"/>
      <c r="F55" s="173"/>
      <c r="G55" s="172"/>
      <c r="H55" s="172"/>
      <c r="I55" s="174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76"/>
      <c r="U55" s="76"/>
      <c r="V55" s="76"/>
      <c r="W55" s="76"/>
      <c r="X55" s="76"/>
      <c r="Y55" s="76"/>
      <c r="Z55" s="76"/>
    </row>
    <row r="56" ht="12.75" customHeight="1">
      <c r="A56" s="176"/>
      <c r="B56" s="177" t="s">
        <v>24</v>
      </c>
      <c r="C56" s="178" t="s">
        <v>24</v>
      </c>
      <c r="D56" s="179">
        <f t="shared" ref="D56:I56" si="2">SUM(D53:D54)</f>
        <v>66558150</v>
      </c>
      <c r="E56" s="179">
        <f t="shared" si="2"/>
        <v>49067100</v>
      </c>
      <c r="F56" s="179">
        <f t="shared" si="2"/>
        <v>68745082</v>
      </c>
      <c r="G56" s="179">
        <f t="shared" si="2"/>
        <v>47937582</v>
      </c>
      <c r="H56" s="179">
        <f t="shared" si="2"/>
        <v>20807500</v>
      </c>
      <c r="I56" s="180">
        <f t="shared" si="2"/>
        <v>184370332</v>
      </c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76"/>
      <c r="U56" s="76"/>
      <c r="V56" s="76"/>
      <c r="W56" s="76"/>
      <c r="X56" s="76"/>
      <c r="Y56" s="76"/>
      <c r="Z56" s="76"/>
    </row>
    <row r="57" ht="12.75" customHeight="1">
      <c r="A57" s="169"/>
      <c r="B57" s="181"/>
      <c r="C57" s="182"/>
      <c r="D57" s="183"/>
      <c r="E57" s="183"/>
      <c r="F57" s="183"/>
      <c r="G57" s="183"/>
      <c r="H57" s="183"/>
      <c r="I57" s="184">
        <f>I56/I$118</f>
        <v>31.09190485</v>
      </c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76"/>
      <c r="U57" s="76"/>
      <c r="V57" s="76"/>
      <c r="W57" s="76"/>
      <c r="X57" s="76"/>
      <c r="Y57" s="76"/>
      <c r="Z57" s="76"/>
    </row>
    <row r="58" ht="12.75" customHeight="1">
      <c r="A58" s="185"/>
      <c r="B58" s="186" t="s">
        <v>107</v>
      </c>
      <c r="C58" s="187"/>
      <c r="D58" s="179"/>
      <c r="E58" s="179"/>
      <c r="F58" s="179"/>
      <c r="G58" s="179"/>
      <c r="H58" s="179"/>
      <c r="I58" s="180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76"/>
      <c r="U58" s="76"/>
      <c r="V58" s="76"/>
      <c r="W58" s="76"/>
      <c r="X58" s="76"/>
      <c r="Y58" s="76"/>
      <c r="Z58" s="76"/>
    </row>
    <row r="59" ht="12.75" customHeight="1">
      <c r="A59" s="169"/>
      <c r="B59" s="189" t="str">
        <f>B58</f>
        <v>売店原価</v>
      </c>
      <c r="C59" s="190"/>
      <c r="D59" s="183"/>
      <c r="E59" s="183"/>
      <c r="F59" s="183"/>
      <c r="G59" s="183"/>
      <c r="H59" s="183"/>
      <c r="I59" s="184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76"/>
      <c r="U59" s="76"/>
      <c r="V59" s="76"/>
      <c r="W59" s="76"/>
      <c r="X59" s="76"/>
      <c r="Y59" s="76"/>
      <c r="Z59" s="76"/>
    </row>
    <row r="60" ht="12.75" customHeight="1">
      <c r="A60" s="76"/>
      <c r="B60" s="191" t="s">
        <v>136</v>
      </c>
      <c r="C60" s="192"/>
      <c r="D60" s="193">
        <v>4262930.0</v>
      </c>
      <c r="E60" s="193">
        <v>4931000.0</v>
      </c>
      <c r="F60" s="193">
        <v>9215989.0</v>
      </c>
      <c r="G60" s="193">
        <v>5094279.0</v>
      </c>
      <c r="H60" s="193">
        <v>4121710.0</v>
      </c>
      <c r="I60" s="180">
        <f>SUM(D60:F60)</f>
        <v>18409919</v>
      </c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76"/>
      <c r="U60" s="76"/>
      <c r="V60" s="76"/>
      <c r="W60" s="76"/>
      <c r="X60" s="76"/>
      <c r="Y60" s="76"/>
      <c r="Z60" s="76"/>
    </row>
    <row r="61" ht="12.75" customHeight="1">
      <c r="A61" s="76"/>
      <c r="B61" s="194" t="str">
        <f>B60</f>
        <v>食材原価</v>
      </c>
      <c r="C61" s="195" t="s">
        <v>137</v>
      </c>
      <c r="D61" s="183"/>
      <c r="E61" s="183"/>
      <c r="F61" s="183"/>
      <c r="G61" s="183"/>
      <c r="H61" s="183"/>
      <c r="I61" s="184">
        <f>I60/I$118</f>
        <v>3.104617992</v>
      </c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76"/>
      <c r="U61" s="76"/>
      <c r="V61" s="76"/>
      <c r="W61" s="76"/>
      <c r="X61" s="76"/>
      <c r="Y61" s="76"/>
      <c r="Z61" s="76"/>
    </row>
    <row r="62" ht="12.75" customHeight="1">
      <c r="A62" s="76"/>
      <c r="B62" s="197" t="s">
        <v>25</v>
      </c>
      <c r="C62" s="198" t="s">
        <v>40</v>
      </c>
      <c r="D62" s="193">
        <v>3485675.0</v>
      </c>
      <c r="E62" s="193">
        <v>5448272.0</v>
      </c>
      <c r="F62" s="193">
        <v>5194630.0</v>
      </c>
      <c r="G62" s="193">
        <v>2453547.0</v>
      </c>
      <c r="H62" s="193">
        <v>2741083.0</v>
      </c>
      <c r="I62" s="199">
        <f t="shared" ref="I62:I63" si="4">SUM(D62:F62)</f>
        <v>14128577</v>
      </c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76"/>
      <c r="U62" s="76"/>
      <c r="V62" s="76"/>
      <c r="W62" s="76"/>
      <c r="X62" s="76"/>
      <c r="Y62" s="76"/>
      <c r="Z62" s="76"/>
    </row>
    <row r="63" ht="12.75" customHeight="1">
      <c r="A63" s="76"/>
      <c r="B63" s="200"/>
      <c r="C63" s="201" t="str">
        <f>B62</f>
        <v>売上原価</v>
      </c>
      <c r="D63" s="202">
        <f t="shared" ref="D63:H63" si="3">D60</f>
        <v>4262930</v>
      </c>
      <c r="E63" s="202">
        <f t="shared" si="3"/>
        <v>4931000</v>
      </c>
      <c r="F63" s="202">
        <f t="shared" si="3"/>
        <v>9215989</v>
      </c>
      <c r="G63" s="202">
        <f t="shared" si="3"/>
        <v>5094279</v>
      </c>
      <c r="H63" s="202">
        <f t="shared" si="3"/>
        <v>4121710</v>
      </c>
      <c r="I63" s="203">
        <f t="shared" si="4"/>
        <v>18409919</v>
      </c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76"/>
      <c r="U63" s="76"/>
      <c r="V63" s="76"/>
      <c r="W63" s="76"/>
      <c r="X63" s="76"/>
      <c r="Y63" s="76"/>
      <c r="Z63" s="76"/>
    </row>
    <row r="64" ht="12.75" customHeight="1">
      <c r="A64" s="76"/>
      <c r="B64" s="204"/>
      <c r="C64" s="205"/>
      <c r="D64" s="183"/>
      <c r="E64" s="183"/>
      <c r="F64" s="183"/>
      <c r="G64" s="183"/>
      <c r="H64" s="183"/>
      <c r="I64" s="184">
        <f>I63/I$118</f>
        <v>3.104617992</v>
      </c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76"/>
      <c r="U64" s="76"/>
      <c r="V64" s="76"/>
      <c r="W64" s="76"/>
      <c r="X64" s="76"/>
      <c r="Y64" s="76"/>
      <c r="Z64" s="76"/>
    </row>
    <row r="65" ht="12.75" customHeight="1">
      <c r="A65" s="169"/>
      <c r="B65" s="206" t="s">
        <v>27</v>
      </c>
      <c r="C65" s="207" t="s">
        <v>40</v>
      </c>
      <c r="D65" s="208">
        <f t="shared" ref="D65:I65" si="5">D6-D62</f>
        <v>58028734</v>
      </c>
      <c r="E65" s="208">
        <f t="shared" si="5"/>
        <v>43224793</v>
      </c>
      <c r="F65" s="208">
        <f t="shared" si="5"/>
        <v>56923133</v>
      </c>
      <c r="G65" s="208">
        <f t="shared" si="5"/>
        <v>40409304</v>
      </c>
      <c r="H65" s="208">
        <f t="shared" si="5"/>
        <v>16513829</v>
      </c>
      <c r="I65" s="199">
        <f t="shared" si="5"/>
        <v>158176660</v>
      </c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76"/>
      <c r="U65" s="76"/>
      <c r="V65" s="76"/>
      <c r="W65" s="76"/>
      <c r="X65" s="76"/>
      <c r="Y65" s="76"/>
      <c r="Z65" s="76"/>
    </row>
    <row r="66" ht="12.75" customHeight="1">
      <c r="A66" s="76"/>
      <c r="B66" s="209"/>
      <c r="C66" s="210" t="s">
        <v>27</v>
      </c>
      <c r="D66" s="202">
        <f t="shared" ref="D66:I66" si="6">D56-D63</f>
        <v>62295220</v>
      </c>
      <c r="E66" s="202">
        <f t="shared" si="6"/>
        <v>44136100</v>
      </c>
      <c r="F66" s="202">
        <f t="shared" si="6"/>
        <v>59529093</v>
      </c>
      <c r="G66" s="202">
        <f t="shared" si="6"/>
        <v>42843303</v>
      </c>
      <c r="H66" s="202">
        <f t="shared" si="6"/>
        <v>16685790</v>
      </c>
      <c r="I66" s="203">
        <f t="shared" si="6"/>
        <v>165960413</v>
      </c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76"/>
      <c r="U66" s="76"/>
      <c r="V66" s="76"/>
      <c r="W66" s="76"/>
      <c r="X66" s="76"/>
      <c r="Y66" s="76"/>
      <c r="Z66" s="76"/>
    </row>
    <row r="67" ht="12.75" customHeight="1">
      <c r="A67" s="211"/>
      <c r="B67" s="181"/>
      <c r="C67" s="212"/>
      <c r="D67" s="183">
        <f t="shared" ref="D67:I67" si="7">D66/D$118</f>
        <v>40.42519143</v>
      </c>
      <c r="E67" s="183">
        <f t="shared" si="7"/>
        <v>29.95067948</v>
      </c>
      <c r="F67" s="183">
        <f t="shared" si="7"/>
        <v>20.4200751</v>
      </c>
      <c r="G67" s="183">
        <f t="shared" si="7"/>
        <v>23.39073122</v>
      </c>
      <c r="H67" s="183">
        <f t="shared" si="7"/>
        <v>15.39864639</v>
      </c>
      <c r="I67" s="184">
        <f t="shared" si="7"/>
        <v>27.98728686</v>
      </c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76"/>
      <c r="U67" s="76"/>
      <c r="V67" s="76"/>
      <c r="W67" s="76"/>
      <c r="X67" s="76"/>
      <c r="Y67" s="76"/>
      <c r="Z67" s="76"/>
    </row>
    <row r="68" ht="12.75" customHeight="1">
      <c r="A68" s="76"/>
      <c r="B68" s="214" t="s">
        <v>28</v>
      </c>
      <c r="C68" s="215" t="s">
        <v>40</v>
      </c>
      <c r="D68" s="216">
        <f t="shared" ref="D68:I68" si="8">SUM(D71,D73,D75,D77,D79,D81,D83,D85,D87,D89,D91,D93,D95,D97,D99,D101,D103)</f>
        <v>15106426</v>
      </c>
      <c r="E68" s="216">
        <f t="shared" si="8"/>
        <v>16353936</v>
      </c>
      <c r="F68" s="216">
        <f t="shared" si="8"/>
        <v>16629325</v>
      </c>
      <c r="G68" s="216">
        <f t="shared" si="8"/>
        <v>10918042</v>
      </c>
      <c r="H68" s="216">
        <f t="shared" si="8"/>
        <v>5711283</v>
      </c>
      <c r="I68" s="217">
        <f t="shared" si="8"/>
        <v>48089687</v>
      </c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76"/>
      <c r="U68" s="76"/>
      <c r="V68" s="76"/>
      <c r="W68" s="76"/>
      <c r="X68" s="76"/>
      <c r="Y68" s="76"/>
      <c r="Z68" s="76"/>
    </row>
    <row r="69" ht="12.75" customHeight="1">
      <c r="A69" s="76"/>
      <c r="B69" s="218" t="str">
        <f>B68</f>
        <v>人件費</v>
      </c>
      <c r="C69" s="219" t="str">
        <f>B68</f>
        <v>人件費</v>
      </c>
      <c r="D69" s="220">
        <f t="shared" ref="D69:I69" si="9">SUM(D72,D74,D76,D78,D80,D82,D84,D86,D88,D90,D92,D94,D96,D98,D100,D102,D104)</f>
        <v>16632843</v>
      </c>
      <c r="E69" s="220">
        <f t="shared" si="9"/>
        <v>17135593</v>
      </c>
      <c r="F69" s="220">
        <f t="shared" si="9"/>
        <v>18798724</v>
      </c>
      <c r="G69" s="220">
        <f t="shared" si="9"/>
        <v>12230976</v>
      </c>
      <c r="H69" s="221">
        <f t="shared" si="9"/>
        <v>6567748</v>
      </c>
      <c r="I69" s="222">
        <f t="shared" si="9"/>
        <v>52567160</v>
      </c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76"/>
      <c r="U69" s="76"/>
      <c r="V69" s="76"/>
      <c r="W69" s="76"/>
      <c r="X69" s="76"/>
      <c r="Y69" s="76"/>
      <c r="Z69" s="76"/>
    </row>
    <row r="70" ht="12.75" customHeight="1">
      <c r="A70" s="76"/>
      <c r="B70" s="223"/>
      <c r="C70" s="224"/>
      <c r="D70" s="225">
        <f t="shared" ref="D70:I70" si="10">D69/D$118</f>
        <v>10.79353861</v>
      </c>
      <c r="E70" s="225">
        <f t="shared" si="10"/>
        <v>11.62818313</v>
      </c>
      <c r="F70" s="225">
        <f t="shared" si="10"/>
        <v>6.448466396</v>
      </c>
      <c r="G70" s="225">
        <f t="shared" si="10"/>
        <v>6.677624089</v>
      </c>
      <c r="H70" s="226">
        <f t="shared" si="10"/>
        <v>6.061111222</v>
      </c>
      <c r="I70" s="227">
        <f t="shared" si="10"/>
        <v>8.864838065</v>
      </c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76"/>
      <c r="U70" s="76"/>
      <c r="V70" s="76"/>
      <c r="W70" s="76"/>
      <c r="X70" s="76"/>
      <c r="Y70" s="76"/>
      <c r="Z70" s="76"/>
    </row>
    <row r="71" ht="12.75" customHeight="1">
      <c r="A71" s="76"/>
      <c r="B71" s="228" t="s">
        <v>42</v>
      </c>
      <c r="C71" s="229" t="s">
        <v>40</v>
      </c>
      <c r="D71" s="230">
        <v>0.0</v>
      </c>
      <c r="E71" s="230">
        <v>0.0</v>
      </c>
      <c r="F71" s="230">
        <v>0.0</v>
      </c>
      <c r="G71" s="231"/>
      <c r="H71" s="231"/>
      <c r="I71" s="232">
        <f t="shared" ref="I71:I104" si="11">SUM(D71:F71)</f>
        <v>0</v>
      </c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76"/>
      <c r="U71" s="76"/>
      <c r="V71" s="76"/>
      <c r="W71" s="76"/>
      <c r="X71" s="76"/>
      <c r="Y71" s="76"/>
      <c r="Z71" s="76"/>
    </row>
    <row r="72" ht="12.75" customHeight="1">
      <c r="A72" s="76"/>
      <c r="B72" s="228"/>
      <c r="C72" s="233" t="str">
        <f>B71</f>
        <v>役員報酬</v>
      </c>
      <c r="D72" s="231">
        <v>0.0</v>
      </c>
      <c r="E72" s="231">
        <v>0.0</v>
      </c>
      <c r="F72" s="231">
        <v>0.0</v>
      </c>
      <c r="G72" s="231"/>
      <c r="H72" s="231"/>
      <c r="I72" s="234">
        <f t="shared" si="11"/>
        <v>0</v>
      </c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76"/>
      <c r="U72" s="76"/>
      <c r="V72" s="76"/>
      <c r="W72" s="76"/>
      <c r="X72" s="76"/>
      <c r="Y72" s="76"/>
      <c r="Z72" s="76"/>
    </row>
    <row r="73" ht="12.75" customHeight="1">
      <c r="A73" s="76"/>
      <c r="B73" s="228" t="s">
        <v>43</v>
      </c>
      <c r="C73" s="229" t="s">
        <v>40</v>
      </c>
      <c r="D73" s="230">
        <v>6001015.0</v>
      </c>
      <c r="E73" s="230">
        <v>6999352.0</v>
      </c>
      <c r="F73" s="230">
        <v>8759700.0</v>
      </c>
      <c r="G73" s="231">
        <v>5839800.0</v>
      </c>
      <c r="H73" s="231">
        <v>2919900.0</v>
      </c>
      <c r="I73" s="232">
        <f t="shared" si="11"/>
        <v>21760067</v>
      </c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76"/>
      <c r="U73" s="76"/>
      <c r="V73" s="76"/>
      <c r="W73" s="76"/>
      <c r="X73" s="76"/>
      <c r="Y73" s="76"/>
      <c r="Z73" s="76"/>
    </row>
    <row r="74" ht="12.75" customHeight="1">
      <c r="A74" s="76"/>
      <c r="B74" s="228"/>
      <c r="C74" s="233" t="str">
        <f>B73</f>
        <v>給与手当</v>
      </c>
      <c r="D74" s="231">
        <v>6417031.0</v>
      </c>
      <c r="E74" s="231">
        <v>7405771.0</v>
      </c>
      <c r="F74" s="231">
        <v>8250482.0</v>
      </c>
      <c r="G74" s="231">
        <v>5500322.0</v>
      </c>
      <c r="H74" s="231">
        <v>2750160.0</v>
      </c>
      <c r="I74" s="234">
        <f t="shared" si="11"/>
        <v>22073284</v>
      </c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76"/>
      <c r="U74" s="76"/>
      <c r="V74" s="76"/>
      <c r="W74" s="76"/>
      <c r="X74" s="76"/>
      <c r="Y74" s="76"/>
      <c r="Z74" s="76"/>
    </row>
    <row r="75" ht="12.75" customHeight="1">
      <c r="A75" s="76"/>
      <c r="B75" s="228" t="s">
        <v>44</v>
      </c>
      <c r="C75" s="229" t="s">
        <v>40</v>
      </c>
      <c r="D75" s="230">
        <v>6282995.0</v>
      </c>
      <c r="E75" s="230">
        <v>6127854.0</v>
      </c>
      <c r="F75" s="230">
        <v>4743099.0</v>
      </c>
      <c r="G75" s="231">
        <v>3162066.0</v>
      </c>
      <c r="H75" s="231">
        <v>1581033.0</v>
      </c>
      <c r="I75" s="232">
        <f t="shared" si="11"/>
        <v>17153948</v>
      </c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76"/>
      <c r="U75" s="76"/>
      <c r="V75" s="76"/>
      <c r="W75" s="76"/>
      <c r="X75" s="76"/>
      <c r="Y75" s="76"/>
      <c r="Z75" s="76"/>
    </row>
    <row r="76" ht="12.75" customHeight="1">
      <c r="A76" s="76"/>
      <c r="B76" s="228"/>
      <c r="C76" s="233" t="str">
        <f>B75</f>
        <v>雑給</v>
      </c>
      <c r="D76" s="231">
        <v>7182995.0</v>
      </c>
      <c r="E76" s="231">
        <v>6540441.0</v>
      </c>
      <c r="F76" s="231">
        <v>6443099.0</v>
      </c>
      <c r="G76" s="231">
        <v>4295400.0</v>
      </c>
      <c r="H76" s="231">
        <v>2147699.0</v>
      </c>
      <c r="I76" s="234">
        <f t="shared" si="11"/>
        <v>20166535</v>
      </c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76"/>
      <c r="U76" s="76"/>
      <c r="V76" s="76"/>
      <c r="W76" s="76"/>
      <c r="X76" s="76"/>
      <c r="Y76" s="76"/>
      <c r="Z76" s="76"/>
    </row>
    <row r="77" ht="12.75" customHeight="1">
      <c r="A77" s="76"/>
      <c r="B77" s="228" t="s">
        <v>45</v>
      </c>
      <c r="C77" s="229" t="s">
        <v>40</v>
      </c>
      <c r="D77" s="230">
        <v>0.0</v>
      </c>
      <c r="E77" s="230">
        <v>500000.0</v>
      </c>
      <c r="F77" s="230">
        <v>0.0</v>
      </c>
      <c r="G77" s="231"/>
      <c r="H77" s="231"/>
      <c r="I77" s="232">
        <f t="shared" si="11"/>
        <v>500000</v>
      </c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76"/>
      <c r="U77" s="76"/>
      <c r="V77" s="76"/>
      <c r="W77" s="76"/>
      <c r="X77" s="76"/>
      <c r="Y77" s="76"/>
      <c r="Z77" s="76"/>
    </row>
    <row r="78" ht="12.75" customHeight="1">
      <c r="A78" s="76"/>
      <c r="B78" s="228"/>
      <c r="C78" s="233" t="str">
        <f>B77</f>
        <v>出向人件費</v>
      </c>
      <c r="D78" s="231">
        <v>0.0</v>
      </c>
      <c r="E78" s="231">
        <v>0.0</v>
      </c>
      <c r="F78" s="231">
        <v>0.0</v>
      </c>
      <c r="G78" s="231"/>
      <c r="H78" s="231"/>
      <c r="I78" s="234">
        <f t="shared" si="11"/>
        <v>0</v>
      </c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76"/>
      <c r="U78" s="76"/>
      <c r="V78" s="76"/>
      <c r="W78" s="76"/>
      <c r="X78" s="76"/>
      <c r="Y78" s="76"/>
      <c r="Z78" s="76"/>
    </row>
    <row r="79" ht="12.75" customHeight="1">
      <c r="A79" s="76"/>
      <c r="B79" s="228" t="s">
        <v>48</v>
      </c>
      <c r="C79" s="229" t="s">
        <v>40</v>
      </c>
      <c r="D79" s="230">
        <v>1908970.0</v>
      </c>
      <c r="E79" s="230">
        <v>2130514.0</v>
      </c>
      <c r="F79" s="230">
        <v>2117470.0</v>
      </c>
      <c r="G79" s="230">
        <v>1411647.0</v>
      </c>
      <c r="H79" s="230">
        <v>705823.0</v>
      </c>
      <c r="I79" s="232">
        <f t="shared" si="11"/>
        <v>6156954</v>
      </c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76"/>
      <c r="U79" s="76"/>
      <c r="V79" s="76"/>
      <c r="W79" s="76"/>
      <c r="X79" s="76"/>
      <c r="Y79" s="76"/>
      <c r="Z79" s="76"/>
    </row>
    <row r="80" ht="12.75" customHeight="1">
      <c r="A80" s="76"/>
      <c r="B80" s="228"/>
      <c r="C80" s="233" t="str">
        <f>B79</f>
        <v>法定福利費</v>
      </c>
      <c r="D80" s="231">
        <v>2106371.0</v>
      </c>
      <c r="E80" s="231">
        <v>2178365.0</v>
      </c>
      <c r="F80" s="231">
        <v>2296087.0</v>
      </c>
      <c r="G80" s="231">
        <v>1530725.0</v>
      </c>
      <c r="H80" s="231">
        <v>765362.0</v>
      </c>
      <c r="I80" s="234">
        <f t="shared" si="11"/>
        <v>6580823</v>
      </c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76"/>
      <c r="U80" s="76"/>
      <c r="V80" s="76"/>
      <c r="W80" s="76"/>
      <c r="X80" s="76"/>
      <c r="Y80" s="76"/>
      <c r="Z80" s="76"/>
    </row>
    <row r="81" ht="12.75" customHeight="1">
      <c r="A81" s="76"/>
      <c r="B81" s="228" t="s">
        <v>49</v>
      </c>
      <c r="C81" s="229" t="s">
        <v>40</v>
      </c>
      <c r="D81" s="230">
        <v>78000.0</v>
      </c>
      <c r="E81" s="230">
        <v>20000.0</v>
      </c>
      <c r="F81" s="230">
        <v>143334.0</v>
      </c>
      <c r="G81" s="230">
        <v>71667.0</v>
      </c>
      <c r="H81" s="230">
        <v>71667.0</v>
      </c>
      <c r="I81" s="232">
        <f t="shared" si="11"/>
        <v>241334</v>
      </c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76"/>
      <c r="U81" s="76"/>
      <c r="V81" s="76"/>
      <c r="W81" s="76"/>
      <c r="X81" s="76"/>
      <c r="Y81" s="76"/>
      <c r="Z81" s="76"/>
    </row>
    <row r="82" ht="12.75" customHeight="1">
      <c r="A82" s="76"/>
      <c r="B82" s="228"/>
      <c r="C82" s="233" t="str">
        <f>B81</f>
        <v>福利厚生費</v>
      </c>
      <c r="D82" s="231">
        <v>78000.0</v>
      </c>
      <c r="E82" s="231">
        <v>20000.0</v>
      </c>
      <c r="F82" s="231">
        <v>143334.0</v>
      </c>
      <c r="G82" s="231">
        <v>71667.0</v>
      </c>
      <c r="H82" s="231">
        <v>71667.0</v>
      </c>
      <c r="I82" s="234">
        <f t="shared" si="11"/>
        <v>241334</v>
      </c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76"/>
      <c r="U82" s="76"/>
      <c r="V82" s="76"/>
      <c r="W82" s="76"/>
      <c r="X82" s="76"/>
      <c r="Y82" s="76"/>
      <c r="Z82" s="76"/>
    </row>
    <row r="83" ht="12.75" customHeight="1">
      <c r="A83" s="76"/>
      <c r="B83" s="228" t="s">
        <v>47</v>
      </c>
      <c r="C83" s="229" t="s">
        <v>40</v>
      </c>
      <c r="D83" s="230">
        <v>442446.0</v>
      </c>
      <c r="E83" s="230">
        <v>576216.0</v>
      </c>
      <c r="F83" s="230">
        <v>613661.0</v>
      </c>
      <c r="G83" s="230">
        <v>306831.0</v>
      </c>
      <c r="H83" s="230">
        <v>306830.0</v>
      </c>
      <c r="I83" s="232">
        <f t="shared" si="11"/>
        <v>1632323</v>
      </c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76"/>
      <c r="U83" s="76"/>
      <c r="V83" s="76"/>
      <c r="W83" s="76"/>
      <c r="X83" s="76"/>
      <c r="Y83" s="76"/>
      <c r="Z83" s="76"/>
    </row>
    <row r="84" ht="12.75" customHeight="1">
      <c r="A84" s="76"/>
      <c r="B84" s="228"/>
      <c r="C84" s="233" t="str">
        <f>B83</f>
        <v>賞与引当金繰入</v>
      </c>
      <c r="D84" s="231">
        <v>442446.0</v>
      </c>
      <c r="E84" s="231">
        <v>576216.0</v>
      </c>
      <c r="F84" s="231">
        <v>613661.0</v>
      </c>
      <c r="G84" s="231">
        <v>306831.0</v>
      </c>
      <c r="H84" s="231">
        <v>306830.0</v>
      </c>
      <c r="I84" s="234">
        <f t="shared" si="11"/>
        <v>1632323</v>
      </c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76"/>
      <c r="U84" s="76"/>
      <c r="V84" s="76"/>
      <c r="W84" s="76"/>
      <c r="X84" s="76"/>
      <c r="Y84" s="76"/>
      <c r="Z84" s="76"/>
    </row>
    <row r="85" ht="12.75" customHeight="1">
      <c r="A85" s="76"/>
      <c r="B85" s="228" t="s">
        <v>50</v>
      </c>
      <c r="C85" s="229" t="s">
        <v>40</v>
      </c>
      <c r="D85" s="230">
        <v>393000.0</v>
      </c>
      <c r="E85" s="230">
        <v>0.0</v>
      </c>
      <c r="F85" s="230">
        <v>252061.0</v>
      </c>
      <c r="G85" s="230">
        <v>126031.0</v>
      </c>
      <c r="H85" s="230">
        <v>126030.0</v>
      </c>
      <c r="I85" s="232">
        <f t="shared" si="11"/>
        <v>645061</v>
      </c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76"/>
      <c r="U85" s="76"/>
      <c r="V85" s="76"/>
      <c r="W85" s="76"/>
      <c r="X85" s="76"/>
      <c r="Y85" s="76"/>
      <c r="Z85" s="76"/>
    </row>
    <row r="86" ht="12.75" customHeight="1">
      <c r="A86" s="235"/>
      <c r="B86" s="228"/>
      <c r="C86" s="233" t="str">
        <f>B85</f>
        <v>派遣外注費</v>
      </c>
      <c r="D86" s="231">
        <v>406000.0</v>
      </c>
      <c r="E86" s="231">
        <v>414800.0</v>
      </c>
      <c r="F86" s="231">
        <v>1052061.0</v>
      </c>
      <c r="G86" s="231">
        <v>526031.0</v>
      </c>
      <c r="H86" s="231">
        <v>526030.0</v>
      </c>
      <c r="I86" s="234">
        <f t="shared" si="11"/>
        <v>1872861</v>
      </c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76"/>
      <c r="U86" s="76"/>
      <c r="V86" s="76"/>
      <c r="W86" s="76"/>
      <c r="X86" s="76"/>
      <c r="Y86" s="76"/>
      <c r="Z86" s="76"/>
    </row>
    <row r="87" ht="12.75" customHeight="1">
      <c r="A87" s="211"/>
      <c r="B87" s="228"/>
      <c r="C87" s="229" t="s">
        <v>40</v>
      </c>
      <c r="D87" s="237"/>
      <c r="E87" s="237"/>
      <c r="F87" s="237"/>
      <c r="G87" s="237"/>
      <c r="H87" s="237"/>
      <c r="I87" s="232">
        <f t="shared" si="11"/>
        <v>0</v>
      </c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76"/>
      <c r="U87" s="76"/>
      <c r="V87" s="76"/>
      <c r="W87" s="76"/>
      <c r="X87" s="76"/>
      <c r="Y87" s="76"/>
      <c r="Z87" s="76"/>
    </row>
    <row r="88" ht="12.75" customHeight="1">
      <c r="A88" s="176"/>
      <c r="B88" s="228"/>
      <c r="C88" s="233" t="str">
        <f>B87</f>
        <v/>
      </c>
      <c r="D88" s="238"/>
      <c r="E88" s="238"/>
      <c r="F88" s="238"/>
      <c r="G88" s="238"/>
      <c r="H88" s="238"/>
      <c r="I88" s="234">
        <f t="shared" si="11"/>
        <v>0</v>
      </c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76"/>
      <c r="U88" s="76"/>
      <c r="V88" s="76"/>
      <c r="W88" s="76"/>
      <c r="X88" s="76"/>
      <c r="Y88" s="76"/>
      <c r="Z88" s="76"/>
    </row>
    <row r="89" ht="12.75" customHeight="1">
      <c r="A89" s="176"/>
      <c r="B89" s="228"/>
      <c r="C89" s="229" t="s">
        <v>40</v>
      </c>
      <c r="D89" s="237"/>
      <c r="E89" s="237"/>
      <c r="F89" s="237"/>
      <c r="G89" s="237"/>
      <c r="H89" s="237"/>
      <c r="I89" s="232">
        <f t="shared" si="11"/>
        <v>0</v>
      </c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76"/>
      <c r="U89" s="76"/>
      <c r="V89" s="76"/>
      <c r="W89" s="76"/>
      <c r="X89" s="76"/>
      <c r="Y89" s="76"/>
      <c r="Z89" s="76"/>
    </row>
    <row r="90" ht="12.75" customHeight="1">
      <c r="A90" s="176"/>
      <c r="B90" s="228"/>
      <c r="C90" s="233" t="str">
        <f>B89</f>
        <v/>
      </c>
      <c r="D90" s="238"/>
      <c r="E90" s="238"/>
      <c r="F90" s="238"/>
      <c r="G90" s="238"/>
      <c r="H90" s="238"/>
      <c r="I90" s="234">
        <f t="shared" si="11"/>
        <v>0</v>
      </c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76"/>
      <c r="U90" s="76"/>
      <c r="V90" s="76"/>
      <c r="W90" s="76"/>
      <c r="X90" s="76"/>
      <c r="Y90" s="76"/>
      <c r="Z90" s="76"/>
    </row>
    <row r="91" ht="12.75" customHeight="1">
      <c r="A91" s="176"/>
      <c r="B91" s="228"/>
      <c r="C91" s="229" t="s">
        <v>40</v>
      </c>
      <c r="D91" s="237"/>
      <c r="E91" s="237"/>
      <c r="F91" s="237"/>
      <c r="G91" s="237"/>
      <c r="H91" s="237"/>
      <c r="I91" s="232">
        <f t="shared" si="11"/>
        <v>0</v>
      </c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76"/>
      <c r="U91" s="76"/>
      <c r="V91" s="76"/>
      <c r="W91" s="76"/>
      <c r="X91" s="76"/>
      <c r="Y91" s="76"/>
      <c r="Z91" s="76"/>
    </row>
    <row r="92" ht="12.75" customHeight="1">
      <c r="A92" s="239"/>
      <c r="B92" s="228"/>
      <c r="C92" s="233" t="str">
        <f>B91</f>
        <v/>
      </c>
      <c r="D92" s="238"/>
      <c r="E92" s="238"/>
      <c r="F92" s="238"/>
      <c r="G92" s="238"/>
      <c r="H92" s="238"/>
      <c r="I92" s="234">
        <f t="shared" si="11"/>
        <v>0</v>
      </c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76"/>
      <c r="U92" s="76"/>
      <c r="V92" s="76"/>
      <c r="W92" s="76"/>
      <c r="X92" s="76"/>
      <c r="Y92" s="76"/>
      <c r="Z92" s="76"/>
    </row>
    <row r="93" ht="13.5" customHeight="1">
      <c r="A93" s="239"/>
      <c r="B93" s="228"/>
      <c r="C93" s="229" t="s">
        <v>40</v>
      </c>
      <c r="D93" s="237"/>
      <c r="E93" s="237"/>
      <c r="F93" s="237"/>
      <c r="G93" s="237"/>
      <c r="H93" s="237"/>
      <c r="I93" s="232">
        <f t="shared" si="11"/>
        <v>0</v>
      </c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76"/>
      <c r="U93" s="76"/>
      <c r="V93" s="76"/>
      <c r="W93" s="76"/>
      <c r="X93" s="76"/>
      <c r="Y93" s="76"/>
      <c r="Z93" s="76"/>
    </row>
    <row r="94" ht="13.5" customHeight="1">
      <c r="A94" s="239"/>
      <c r="B94" s="228"/>
      <c r="C94" s="233" t="str">
        <f>B93</f>
        <v/>
      </c>
      <c r="D94" s="238"/>
      <c r="E94" s="238"/>
      <c r="F94" s="238"/>
      <c r="G94" s="238"/>
      <c r="H94" s="238"/>
      <c r="I94" s="234">
        <f t="shared" si="11"/>
        <v>0</v>
      </c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76"/>
      <c r="U94" s="76"/>
      <c r="V94" s="76"/>
      <c r="W94" s="76"/>
      <c r="X94" s="76"/>
      <c r="Y94" s="76"/>
      <c r="Z94" s="76"/>
    </row>
    <row r="95" ht="13.5" customHeight="1">
      <c r="A95" s="239"/>
      <c r="B95" s="228"/>
      <c r="C95" s="229" t="s">
        <v>40</v>
      </c>
      <c r="D95" s="237"/>
      <c r="E95" s="237"/>
      <c r="F95" s="237"/>
      <c r="G95" s="237"/>
      <c r="H95" s="237"/>
      <c r="I95" s="232">
        <f t="shared" si="11"/>
        <v>0</v>
      </c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76"/>
      <c r="U95" s="76"/>
      <c r="V95" s="76"/>
      <c r="W95" s="76"/>
      <c r="X95" s="76"/>
      <c r="Y95" s="76"/>
      <c r="Z95" s="76"/>
    </row>
    <row r="96" ht="13.5" customHeight="1">
      <c r="A96" s="239"/>
      <c r="B96" s="228"/>
      <c r="C96" s="233" t="str">
        <f>B95</f>
        <v/>
      </c>
      <c r="D96" s="238"/>
      <c r="E96" s="238"/>
      <c r="F96" s="238"/>
      <c r="G96" s="238"/>
      <c r="H96" s="238"/>
      <c r="I96" s="234">
        <f t="shared" si="11"/>
        <v>0</v>
      </c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76"/>
      <c r="U96" s="76"/>
      <c r="V96" s="76"/>
      <c r="W96" s="76"/>
      <c r="X96" s="76"/>
      <c r="Y96" s="76"/>
      <c r="Z96" s="76"/>
    </row>
    <row r="97" ht="13.5" customHeight="1">
      <c r="A97" s="239"/>
      <c r="B97" s="228"/>
      <c r="C97" s="229" t="s">
        <v>40</v>
      </c>
      <c r="D97" s="237"/>
      <c r="E97" s="237"/>
      <c r="F97" s="237"/>
      <c r="G97" s="237"/>
      <c r="H97" s="237"/>
      <c r="I97" s="232">
        <f t="shared" si="11"/>
        <v>0</v>
      </c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76"/>
      <c r="U97" s="76"/>
      <c r="V97" s="76"/>
      <c r="W97" s="76"/>
      <c r="X97" s="76"/>
      <c r="Y97" s="76"/>
      <c r="Z97" s="76"/>
    </row>
    <row r="98" ht="13.5" customHeight="1">
      <c r="A98" s="239"/>
      <c r="B98" s="228"/>
      <c r="C98" s="233" t="str">
        <f>B97</f>
        <v/>
      </c>
      <c r="D98" s="238"/>
      <c r="E98" s="238"/>
      <c r="F98" s="238"/>
      <c r="G98" s="238"/>
      <c r="H98" s="238"/>
      <c r="I98" s="234">
        <f t="shared" si="11"/>
        <v>0</v>
      </c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76"/>
      <c r="U98" s="76"/>
      <c r="V98" s="76"/>
      <c r="W98" s="76"/>
      <c r="X98" s="76"/>
      <c r="Y98" s="76"/>
      <c r="Z98" s="76"/>
    </row>
    <row r="99" ht="13.5" customHeight="1">
      <c r="A99" s="239"/>
      <c r="B99" s="228"/>
      <c r="C99" s="229" t="s">
        <v>40</v>
      </c>
      <c r="D99" s="237"/>
      <c r="E99" s="237"/>
      <c r="F99" s="237"/>
      <c r="G99" s="237"/>
      <c r="H99" s="237"/>
      <c r="I99" s="232">
        <f t="shared" si="11"/>
        <v>0</v>
      </c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76"/>
      <c r="U99" s="76"/>
      <c r="V99" s="76"/>
      <c r="W99" s="76"/>
      <c r="X99" s="76"/>
      <c r="Y99" s="76"/>
      <c r="Z99" s="76"/>
    </row>
    <row r="100" ht="13.5" customHeight="1">
      <c r="A100" s="239"/>
      <c r="B100" s="228"/>
      <c r="C100" s="233" t="str">
        <f>B99</f>
        <v/>
      </c>
      <c r="D100" s="238"/>
      <c r="E100" s="238"/>
      <c r="F100" s="238"/>
      <c r="G100" s="238"/>
      <c r="H100" s="238"/>
      <c r="I100" s="234">
        <f t="shared" si="11"/>
        <v>0</v>
      </c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76"/>
      <c r="U100" s="76"/>
      <c r="V100" s="76"/>
      <c r="W100" s="76"/>
      <c r="X100" s="76"/>
      <c r="Y100" s="76"/>
      <c r="Z100" s="76"/>
    </row>
    <row r="101" ht="13.5" customHeight="1">
      <c r="A101" s="239"/>
      <c r="B101" s="228"/>
      <c r="C101" s="229" t="s">
        <v>40</v>
      </c>
      <c r="D101" s="237"/>
      <c r="E101" s="237"/>
      <c r="F101" s="237"/>
      <c r="G101" s="237"/>
      <c r="H101" s="237"/>
      <c r="I101" s="232">
        <f t="shared" si="11"/>
        <v>0</v>
      </c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76"/>
      <c r="U101" s="76"/>
      <c r="V101" s="76"/>
      <c r="W101" s="76"/>
      <c r="X101" s="76"/>
      <c r="Y101" s="76"/>
      <c r="Z101" s="76"/>
    </row>
    <row r="102" ht="13.5" customHeight="1">
      <c r="A102" s="239"/>
      <c r="B102" s="228"/>
      <c r="C102" s="233" t="str">
        <f>B101</f>
        <v/>
      </c>
      <c r="D102" s="238"/>
      <c r="E102" s="238"/>
      <c r="F102" s="238"/>
      <c r="G102" s="238"/>
      <c r="H102" s="238"/>
      <c r="I102" s="234">
        <f t="shared" si="11"/>
        <v>0</v>
      </c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76"/>
      <c r="U102" s="76"/>
      <c r="V102" s="76"/>
      <c r="W102" s="76"/>
      <c r="X102" s="76"/>
      <c r="Y102" s="76"/>
      <c r="Z102" s="76"/>
    </row>
    <row r="103" ht="13.5" customHeight="1">
      <c r="A103" s="239"/>
      <c r="B103" s="228"/>
      <c r="C103" s="229" t="s">
        <v>40</v>
      </c>
      <c r="D103" s="237"/>
      <c r="E103" s="237"/>
      <c r="F103" s="237"/>
      <c r="G103" s="237"/>
      <c r="H103" s="237"/>
      <c r="I103" s="232">
        <f t="shared" si="11"/>
        <v>0</v>
      </c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76"/>
      <c r="U103" s="76"/>
      <c r="V103" s="76"/>
      <c r="W103" s="76"/>
      <c r="X103" s="76"/>
      <c r="Y103" s="76"/>
      <c r="Z103" s="76"/>
    </row>
    <row r="104" ht="13.5" customHeight="1">
      <c r="A104" s="239"/>
      <c r="B104" s="228"/>
      <c r="C104" s="233" t="str">
        <f>B103</f>
        <v/>
      </c>
      <c r="D104" s="238"/>
      <c r="E104" s="238"/>
      <c r="F104" s="238"/>
      <c r="G104" s="238"/>
      <c r="H104" s="238"/>
      <c r="I104" s="234">
        <f t="shared" si="11"/>
        <v>0</v>
      </c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76"/>
      <c r="U104" s="76"/>
      <c r="V104" s="76"/>
      <c r="W104" s="76"/>
      <c r="X104" s="76"/>
      <c r="Y104" s="76"/>
      <c r="Z104" s="76"/>
    </row>
    <row r="105" ht="13.5" customHeight="1">
      <c r="A105" s="239"/>
      <c r="B105" s="214" t="s">
        <v>29</v>
      </c>
      <c r="C105" s="215" t="s">
        <v>40</v>
      </c>
      <c r="D105" s="240">
        <f t="shared" ref="D105:I105" si="12">SUM(D108,D110,D112,D114,D116,D118,D120,D122,D124,D126,D128,D130,D132,D134,D136,D138,D140,D142,D144,D146,D148,D150,D152,D154,D156,D158,D160)</f>
        <v>15062386</v>
      </c>
      <c r="E105" s="240">
        <f t="shared" si="12"/>
        <v>12068228</v>
      </c>
      <c r="F105" s="240">
        <f t="shared" si="12"/>
        <v>15868750</v>
      </c>
      <c r="G105" s="240">
        <f t="shared" si="12"/>
        <v>12102010.52</v>
      </c>
      <c r="H105" s="240">
        <f t="shared" si="12"/>
        <v>3766739.481</v>
      </c>
      <c r="I105" s="241">
        <f t="shared" si="12"/>
        <v>42999364</v>
      </c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76"/>
      <c r="U105" s="76"/>
      <c r="V105" s="76"/>
      <c r="W105" s="76"/>
      <c r="X105" s="76"/>
      <c r="Y105" s="76"/>
      <c r="Z105" s="76"/>
    </row>
    <row r="106" ht="13.5" customHeight="1">
      <c r="A106" s="239"/>
      <c r="B106" s="218"/>
      <c r="C106" s="242" t="str">
        <f>B105</f>
        <v>運営費</v>
      </c>
      <c r="D106" s="243">
        <f t="shared" ref="D106:I106" si="13">SUM(D109,D111,D113,D115,D117,D119,D121,D123,D125,D127,D129,D131,D133,D135,D137,D139,D141,D143,D145,D147,D149,D151,D153,D155,D157,D159,D161)</f>
        <v>18921204</v>
      </c>
      <c r="E106" s="243">
        <f t="shared" si="13"/>
        <v>11514840</v>
      </c>
      <c r="F106" s="243">
        <f t="shared" si="13"/>
        <v>15580597</v>
      </c>
      <c r="G106" s="243">
        <f t="shared" si="13"/>
        <v>11738753.52</v>
      </c>
      <c r="H106" s="244">
        <f t="shared" si="13"/>
        <v>3841843.481</v>
      </c>
      <c r="I106" s="222">
        <f t="shared" si="13"/>
        <v>46016641</v>
      </c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76"/>
      <c r="U106" s="76"/>
      <c r="V106" s="76"/>
      <c r="W106" s="76"/>
      <c r="X106" s="76"/>
      <c r="Y106" s="76"/>
      <c r="Z106" s="76"/>
    </row>
    <row r="107" ht="13.5" customHeight="1">
      <c r="A107" s="239"/>
      <c r="B107" s="223"/>
      <c r="C107" s="224"/>
      <c r="D107" s="225">
        <f t="shared" ref="D107:I107" si="14">D106/D$118</f>
        <v>12.27852304</v>
      </c>
      <c r="E107" s="225">
        <f t="shared" si="14"/>
        <v>7.81395008</v>
      </c>
      <c r="F107" s="225">
        <f t="shared" si="14"/>
        <v>5.344562545</v>
      </c>
      <c r="G107" s="225">
        <f t="shared" si="14"/>
        <v>6.408890285</v>
      </c>
      <c r="H107" s="226">
        <f t="shared" si="14"/>
        <v>3.545483267</v>
      </c>
      <c r="I107" s="227">
        <f t="shared" si="14"/>
        <v>7.760169482</v>
      </c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76"/>
      <c r="U107" s="76"/>
      <c r="V107" s="76"/>
      <c r="W107" s="76"/>
      <c r="X107" s="76"/>
      <c r="Y107" s="76"/>
      <c r="Z107" s="76"/>
    </row>
    <row r="108" ht="13.5" customHeight="1">
      <c r="A108" s="239"/>
      <c r="B108" s="245" t="s">
        <v>55</v>
      </c>
      <c r="C108" s="229" t="s">
        <v>40</v>
      </c>
      <c r="D108" s="230">
        <v>80000.0</v>
      </c>
      <c r="E108" s="230">
        <v>80000.0</v>
      </c>
      <c r="F108" s="230">
        <v>80000.0</v>
      </c>
      <c r="G108" s="230">
        <v>55785.9042193011</v>
      </c>
      <c r="H108" s="230">
        <v>24214.095780698903</v>
      </c>
      <c r="I108" s="232">
        <f t="shared" ref="I108:I161" si="15">SUM(D108:F108)</f>
        <v>240000</v>
      </c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76"/>
      <c r="U108" s="76"/>
      <c r="V108" s="76"/>
      <c r="W108" s="76"/>
      <c r="X108" s="76"/>
      <c r="Y108" s="76"/>
      <c r="Z108" s="76"/>
    </row>
    <row r="109" ht="13.5" customHeight="1">
      <c r="A109" s="239"/>
      <c r="B109" s="245"/>
      <c r="C109" s="246" t="str">
        <f>B108</f>
        <v>広告宣伝費</v>
      </c>
      <c r="D109" s="231">
        <v>80000.0</v>
      </c>
      <c r="E109" s="231">
        <v>80000.0</v>
      </c>
      <c r="F109" s="231">
        <v>80000.0</v>
      </c>
      <c r="G109" s="231">
        <v>55785.9042193011</v>
      </c>
      <c r="H109" s="231">
        <v>24214.095780698903</v>
      </c>
      <c r="I109" s="234">
        <f t="shared" si="15"/>
        <v>240000</v>
      </c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76"/>
      <c r="U109" s="76"/>
      <c r="V109" s="76"/>
      <c r="W109" s="76"/>
      <c r="X109" s="76"/>
      <c r="Y109" s="76"/>
      <c r="Z109" s="76"/>
    </row>
    <row r="110" ht="13.5" customHeight="1">
      <c r="A110" s="239"/>
      <c r="B110" s="245" t="s">
        <v>56</v>
      </c>
      <c r="C110" s="229" t="s">
        <v>40</v>
      </c>
      <c r="D110" s="230">
        <v>3263300.0</v>
      </c>
      <c r="E110" s="230">
        <v>970000.0</v>
      </c>
      <c r="F110" s="230">
        <v>880000.0</v>
      </c>
      <c r="G110" s="230">
        <v>613644.9464123121</v>
      </c>
      <c r="H110" s="230">
        <v>266355.0535876879</v>
      </c>
      <c r="I110" s="232">
        <f t="shared" si="15"/>
        <v>5113300</v>
      </c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76"/>
      <c r="U110" s="76"/>
      <c r="V110" s="76"/>
      <c r="W110" s="76"/>
      <c r="X110" s="76"/>
      <c r="Y110" s="76"/>
      <c r="Z110" s="76"/>
    </row>
    <row r="111" ht="13.5" customHeight="1">
      <c r="A111" s="239"/>
      <c r="B111" s="245"/>
      <c r="C111" s="246" t="str">
        <f>B110</f>
        <v>販売促進費</v>
      </c>
      <c r="D111" s="231">
        <v>3389999.0</v>
      </c>
      <c r="E111" s="231">
        <v>1933900.0</v>
      </c>
      <c r="F111" s="231">
        <v>880000.0</v>
      </c>
      <c r="G111" s="231">
        <v>613644.9464123121</v>
      </c>
      <c r="H111" s="231">
        <v>266355.0535876879</v>
      </c>
      <c r="I111" s="234">
        <f t="shared" si="15"/>
        <v>6203899</v>
      </c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76"/>
      <c r="U111" s="76"/>
      <c r="V111" s="76"/>
      <c r="W111" s="76"/>
      <c r="X111" s="76"/>
      <c r="Y111" s="76"/>
      <c r="Z111" s="76"/>
    </row>
    <row r="112" ht="13.5" customHeight="1">
      <c r="A112" s="239"/>
      <c r="B112" s="245" t="s">
        <v>67</v>
      </c>
      <c r="C112" s="229" t="s">
        <v>40</v>
      </c>
      <c r="D112" s="230">
        <v>10000.0</v>
      </c>
      <c r="E112" s="230">
        <v>5000.0</v>
      </c>
      <c r="F112" s="230">
        <v>5000.0</v>
      </c>
      <c r="G112" s="230">
        <v>5000.0</v>
      </c>
      <c r="H112" s="230">
        <v>0.0</v>
      </c>
      <c r="I112" s="232">
        <f t="shared" si="15"/>
        <v>20000</v>
      </c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76"/>
      <c r="U112" s="76"/>
      <c r="V112" s="76"/>
      <c r="W112" s="76"/>
      <c r="X112" s="76"/>
      <c r="Y112" s="76"/>
      <c r="Z112" s="76"/>
    </row>
    <row r="113" ht="13.5" customHeight="1">
      <c r="A113" s="239"/>
      <c r="B113" s="245"/>
      <c r="C113" s="246" t="str">
        <f>B112</f>
        <v>荷造運賃</v>
      </c>
      <c r="D113" s="231">
        <v>10000.0</v>
      </c>
      <c r="E113" s="231">
        <v>5000.0</v>
      </c>
      <c r="F113" s="231">
        <v>5000.0</v>
      </c>
      <c r="G113" s="231">
        <v>5000.0</v>
      </c>
      <c r="H113" s="231">
        <v>0.0</v>
      </c>
      <c r="I113" s="234">
        <f t="shared" si="15"/>
        <v>20000</v>
      </c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76"/>
      <c r="U113" s="76"/>
      <c r="V113" s="76"/>
      <c r="W113" s="76"/>
      <c r="X113" s="76"/>
      <c r="Y113" s="76"/>
      <c r="Z113" s="76"/>
    </row>
    <row r="114" ht="13.5" customHeight="1">
      <c r="A114" s="239"/>
      <c r="B114" s="245" t="s">
        <v>57</v>
      </c>
      <c r="C114" s="229" t="s">
        <v>40</v>
      </c>
      <c r="D114" s="230">
        <v>924000.0</v>
      </c>
      <c r="E114" s="230">
        <v>936576.0</v>
      </c>
      <c r="F114" s="230">
        <v>3013775.0</v>
      </c>
      <c r="G114" s="230">
        <v>2482820.0</v>
      </c>
      <c r="H114" s="230">
        <v>530955.0</v>
      </c>
      <c r="I114" s="232">
        <f t="shared" si="15"/>
        <v>4874351</v>
      </c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76"/>
      <c r="U114" s="76"/>
      <c r="V114" s="76"/>
      <c r="W114" s="76"/>
      <c r="X114" s="76"/>
      <c r="Y114" s="76"/>
      <c r="Z114" s="76"/>
    </row>
    <row r="115" ht="13.5" customHeight="1">
      <c r="A115" s="239"/>
      <c r="B115" s="247"/>
      <c r="C115" s="248" t="str">
        <f>B114</f>
        <v>送客手数料</v>
      </c>
      <c r="D115" s="231">
        <v>794250.0</v>
      </c>
      <c r="E115" s="231">
        <v>1189728.0</v>
      </c>
      <c r="F115" s="231">
        <v>2673180.0</v>
      </c>
      <c r="G115" s="231">
        <v>2085930.0</v>
      </c>
      <c r="H115" s="231">
        <v>587250.0</v>
      </c>
      <c r="I115" s="234">
        <f t="shared" si="15"/>
        <v>4657158</v>
      </c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76"/>
      <c r="U115" s="76"/>
      <c r="V115" s="76"/>
      <c r="W115" s="76"/>
      <c r="X115" s="76"/>
      <c r="Y115" s="76"/>
      <c r="Z115" s="76"/>
    </row>
    <row r="116" ht="13.5" customHeight="1">
      <c r="A116" s="239"/>
      <c r="B116" s="247" t="s">
        <v>59</v>
      </c>
      <c r="C116" s="249" t="s">
        <v>40</v>
      </c>
      <c r="D116" s="230">
        <v>774690.0</v>
      </c>
      <c r="E116" s="230">
        <v>475244.0</v>
      </c>
      <c r="F116" s="230">
        <v>592734.0</v>
      </c>
      <c r="G116" s="230">
        <v>361853.0</v>
      </c>
      <c r="H116" s="230">
        <v>230881.0</v>
      </c>
      <c r="I116" s="232">
        <f t="shared" si="15"/>
        <v>1842668</v>
      </c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76"/>
      <c r="U116" s="76"/>
      <c r="V116" s="76"/>
      <c r="W116" s="76"/>
      <c r="X116" s="76"/>
      <c r="Y116" s="76"/>
      <c r="Z116" s="76"/>
    </row>
    <row r="117" ht="12.75" customHeight="1">
      <c r="A117" s="76"/>
      <c r="B117" s="250"/>
      <c r="C117" s="251" t="str">
        <f>B116</f>
        <v>クレジット手数料</v>
      </c>
      <c r="D117" s="231">
        <v>824856.0</v>
      </c>
      <c r="E117" s="231">
        <v>404804.0</v>
      </c>
      <c r="F117" s="231">
        <v>645176.0</v>
      </c>
      <c r="G117" s="231">
        <v>395486.0</v>
      </c>
      <c r="H117" s="231">
        <v>249690.0</v>
      </c>
      <c r="I117" s="234">
        <f t="shared" si="15"/>
        <v>1874836</v>
      </c>
      <c r="J117" s="98"/>
      <c r="K117" s="239"/>
      <c r="L117" s="98" t="s">
        <v>138</v>
      </c>
      <c r="M117" s="98" t="s">
        <v>139</v>
      </c>
      <c r="N117" s="98" t="s">
        <v>140</v>
      </c>
      <c r="O117" s="98"/>
      <c r="P117" s="98"/>
      <c r="Q117" s="98"/>
      <c r="R117" s="98"/>
      <c r="S117" s="98"/>
      <c r="T117" s="76"/>
      <c r="U117" s="76"/>
      <c r="V117" s="76"/>
      <c r="W117" s="76"/>
      <c r="X117" s="76"/>
      <c r="Y117" s="76"/>
      <c r="Z117" s="76"/>
    </row>
    <row r="118" ht="12.75" customHeight="1">
      <c r="A118" s="211"/>
      <c r="B118" s="252" t="s">
        <v>60</v>
      </c>
      <c r="C118" s="253" t="s">
        <v>40</v>
      </c>
      <c r="D118" s="230">
        <v>1541000.0</v>
      </c>
      <c r="E118" s="230">
        <v>1473626.0</v>
      </c>
      <c r="F118" s="230">
        <v>2915224.0</v>
      </c>
      <c r="G118" s="230">
        <v>1831635.898918783</v>
      </c>
      <c r="H118" s="230">
        <v>1083588.101081217</v>
      </c>
      <c r="I118" s="232">
        <f t="shared" si="15"/>
        <v>5929850</v>
      </c>
      <c r="J118" s="213"/>
      <c r="K118" s="98" t="s">
        <v>141</v>
      </c>
      <c r="L118" s="254">
        <v>2236.5</v>
      </c>
      <c r="M118" s="254">
        <v>1216.0</v>
      </c>
      <c r="N118" s="254">
        <v>524.5</v>
      </c>
      <c r="O118" s="213"/>
      <c r="P118" s="213"/>
      <c r="Q118" s="213"/>
      <c r="R118" s="213"/>
      <c r="S118" s="213"/>
      <c r="T118" s="76"/>
      <c r="U118" s="76"/>
      <c r="V118" s="76"/>
      <c r="W118" s="76"/>
      <c r="X118" s="76"/>
      <c r="Y118" s="76"/>
      <c r="Z118" s="76"/>
    </row>
    <row r="119" ht="12.75" customHeight="1">
      <c r="A119" s="211"/>
      <c r="B119" s="255"/>
      <c r="C119" s="256" t="str">
        <f>B118</f>
        <v>水道光熱費</v>
      </c>
      <c r="D119" s="231">
        <v>1541000.0</v>
      </c>
      <c r="E119" s="231">
        <v>1473626.0</v>
      </c>
      <c r="F119" s="231">
        <v>2915224.0</v>
      </c>
      <c r="G119" s="231">
        <v>1831635.898918783</v>
      </c>
      <c r="H119" s="231">
        <v>1083588.101081217</v>
      </c>
      <c r="I119" s="234">
        <f t="shared" si="15"/>
        <v>5929850</v>
      </c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76"/>
      <c r="U119" s="76"/>
      <c r="V119" s="76"/>
      <c r="W119" s="76"/>
      <c r="X119" s="76"/>
      <c r="Y119" s="76"/>
      <c r="Z119" s="76"/>
    </row>
    <row r="120" ht="12.75" customHeight="1">
      <c r="A120" s="211"/>
      <c r="B120" s="255" t="s">
        <v>61</v>
      </c>
      <c r="C120" s="229" t="s">
        <v>40</v>
      </c>
      <c r="D120" s="230">
        <v>500000.0</v>
      </c>
      <c r="E120" s="230">
        <v>500000.0</v>
      </c>
      <c r="F120" s="230">
        <v>500000.0</v>
      </c>
      <c r="G120" s="230">
        <v>314150.11315061606</v>
      </c>
      <c r="H120" s="230">
        <v>185849.88684938397</v>
      </c>
      <c r="I120" s="232">
        <f t="shared" si="15"/>
        <v>1500000</v>
      </c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76"/>
      <c r="U120" s="76"/>
      <c r="V120" s="76"/>
      <c r="W120" s="76"/>
      <c r="X120" s="76"/>
      <c r="Y120" s="76"/>
      <c r="Z120" s="76"/>
    </row>
    <row r="121" ht="12.75" customHeight="1">
      <c r="A121" s="211"/>
      <c r="B121" s="255"/>
      <c r="C121" s="257" t="str">
        <f>B120</f>
        <v>修繕引当金繰入</v>
      </c>
      <c r="D121" s="231">
        <v>4197703.0</v>
      </c>
      <c r="E121" s="231">
        <v>500000.0</v>
      </c>
      <c r="F121" s="231">
        <v>500000.0</v>
      </c>
      <c r="G121" s="231">
        <v>314150.11315061606</v>
      </c>
      <c r="H121" s="231">
        <v>185849.88684938397</v>
      </c>
      <c r="I121" s="234">
        <f t="shared" si="15"/>
        <v>5197703</v>
      </c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76"/>
      <c r="U121" s="76"/>
      <c r="V121" s="76"/>
      <c r="W121" s="76"/>
      <c r="X121" s="76"/>
      <c r="Y121" s="76"/>
      <c r="Z121" s="76"/>
    </row>
    <row r="122" ht="12.75" customHeight="1">
      <c r="A122" s="76"/>
      <c r="B122" s="255" t="s">
        <v>63</v>
      </c>
      <c r="C122" s="229" t="s">
        <v>40</v>
      </c>
      <c r="D122" s="230">
        <v>0.0</v>
      </c>
      <c r="E122" s="230">
        <v>0.0</v>
      </c>
      <c r="F122" s="230">
        <v>83334.0</v>
      </c>
      <c r="G122" s="230">
        <v>83334.0</v>
      </c>
      <c r="H122" s="230">
        <v>0.0</v>
      </c>
      <c r="I122" s="232">
        <f t="shared" si="15"/>
        <v>83334</v>
      </c>
      <c r="J122" s="98"/>
      <c r="K122" s="98"/>
      <c r="L122" s="98"/>
      <c r="M122" s="98" t="s">
        <v>138</v>
      </c>
      <c r="N122" s="98" t="s">
        <v>139</v>
      </c>
      <c r="O122" s="98" t="s">
        <v>140</v>
      </c>
      <c r="P122" s="98"/>
      <c r="Q122" s="98"/>
      <c r="R122" s="98"/>
      <c r="S122" s="98"/>
      <c r="T122" s="76"/>
      <c r="U122" s="76"/>
      <c r="V122" s="76"/>
      <c r="W122" s="76"/>
      <c r="X122" s="76"/>
      <c r="Y122" s="76"/>
      <c r="Z122" s="76"/>
    </row>
    <row r="123" ht="12.75" customHeight="1">
      <c r="A123" s="239"/>
      <c r="B123" s="255"/>
      <c r="C123" s="257" t="str">
        <f>B122</f>
        <v>特別修繕引当金繰入</v>
      </c>
      <c r="D123" s="231">
        <v>0.0</v>
      </c>
      <c r="E123" s="231">
        <v>0.0</v>
      </c>
      <c r="F123" s="231">
        <v>83334.0</v>
      </c>
      <c r="G123" s="231">
        <v>83334.0</v>
      </c>
      <c r="H123" s="231">
        <v>0.0</v>
      </c>
      <c r="I123" s="234">
        <f t="shared" si="15"/>
        <v>83334</v>
      </c>
      <c r="J123" s="98"/>
      <c r="K123" s="239" t="s">
        <v>142</v>
      </c>
      <c r="L123" s="258">
        <v>111000.0</v>
      </c>
      <c r="M123" s="258">
        <f t="shared" ref="M123:N123" si="16">$L123/2</f>
        <v>55500</v>
      </c>
      <c r="N123" s="258">
        <f t="shared" si="16"/>
        <v>55500</v>
      </c>
      <c r="O123" s="98"/>
      <c r="P123" s="98"/>
      <c r="Q123" s="98"/>
      <c r="R123" s="98"/>
      <c r="S123" s="98"/>
      <c r="T123" s="76"/>
      <c r="U123" s="76"/>
      <c r="V123" s="76"/>
      <c r="W123" s="76"/>
      <c r="X123" s="76"/>
      <c r="Y123" s="76"/>
      <c r="Z123" s="76"/>
    </row>
    <row r="124" ht="12.75" customHeight="1">
      <c r="A124" s="239"/>
      <c r="B124" s="255" t="s">
        <v>65</v>
      </c>
      <c r="C124" s="229" t="s">
        <v>40</v>
      </c>
      <c r="D124" s="230">
        <v>0.0</v>
      </c>
      <c r="E124" s="230">
        <v>0.0</v>
      </c>
      <c r="F124" s="230">
        <v>0.0</v>
      </c>
      <c r="G124" s="230"/>
      <c r="H124" s="230"/>
      <c r="I124" s="232">
        <f t="shared" si="15"/>
        <v>0</v>
      </c>
      <c r="J124" s="98"/>
      <c r="K124" s="239" t="s">
        <v>143</v>
      </c>
      <c r="L124" s="258">
        <v>40820.0</v>
      </c>
      <c r="M124" s="258">
        <f t="shared" ref="M124:N124" si="17">$L124/2</f>
        <v>20410</v>
      </c>
      <c r="N124" s="258">
        <f t="shared" si="17"/>
        <v>20410</v>
      </c>
      <c r="O124" s="98"/>
      <c r="P124" s="98"/>
      <c r="Q124" s="98"/>
      <c r="R124" s="98"/>
      <c r="S124" s="98"/>
      <c r="T124" s="76"/>
      <c r="U124" s="76"/>
      <c r="V124" s="76"/>
      <c r="W124" s="76"/>
      <c r="X124" s="76"/>
      <c r="Y124" s="76"/>
      <c r="Z124" s="76"/>
    </row>
    <row r="125" ht="12.75" customHeight="1">
      <c r="A125" s="239"/>
      <c r="B125" s="255"/>
      <c r="C125" s="257" t="str">
        <f>B124</f>
        <v>客用消耗品費</v>
      </c>
      <c r="D125" s="231">
        <v>0.0</v>
      </c>
      <c r="E125" s="231">
        <v>0.0</v>
      </c>
      <c r="F125" s="231">
        <v>0.0</v>
      </c>
      <c r="G125" s="231">
        <v>0.0</v>
      </c>
      <c r="H125" s="231">
        <v>0.0</v>
      </c>
      <c r="I125" s="234">
        <f t="shared" si="15"/>
        <v>0</v>
      </c>
      <c r="J125" s="98"/>
      <c r="K125" s="239" t="s">
        <v>144</v>
      </c>
      <c r="L125" s="258">
        <v>20000.0</v>
      </c>
      <c r="M125" s="258">
        <f t="shared" ref="M125:N125" si="18">$L125/2</f>
        <v>10000</v>
      </c>
      <c r="N125" s="258">
        <f t="shared" si="18"/>
        <v>10000</v>
      </c>
      <c r="O125" s="98"/>
      <c r="P125" s="98"/>
      <c r="Q125" s="98"/>
      <c r="R125" s="98"/>
      <c r="S125" s="98"/>
      <c r="T125" s="76"/>
      <c r="U125" s="76"/>
      <c r="V125" s="76"/>
      <c r="W125" s="76"/>
      <c r="X125" s="76"/>
      <c r="Y125" s="76"/>
      <c r="Z125" s="76"/>
    </row>
    <row r="126" ht="12.75" customHeight="1">
      <c r="A126" s="239"/>
      <c r="B126" s="255" t="s">
        <v>75</v>
      </c>
      <c r="C126" s="229" t="s">
        <v>40</v>
      </c>
      <c r="D126" s="230">
        <v>0.0</v>
      </c>
      <c r="E126" s="230">
        <v>0.0</v>
      </c>
      <c r="F126" s="230">
        <v>0.0</v>
      </c>
      <c r="G126" s="230"/>
      <c r="H126" s="230"/>
      <c r="I126" s="232">
        <f t="shared" si="15"/>
        <v>0</v>
      </c>
      <c r="J126" s="98"/>
      <c r="K126" s="239" t="s">
        <v>145</v>
      </c>
      <c r="L126" s="258">
        <v>15000.0</v>
      </c>
      <c r="M126" s="258">
        <f t="shared" ref="M126:N126" si="19">$L126/2</f>
        <v>7500</v>
      </c>
      <c r="N126" s="258">
        <f t="shared" si="19"/>
        <v>7500</v>
      </c>
      <c r="O126" s="98"/>
      <c r="P126" s="98"/>
      <c r="Q126" s="98"/>
      <c r="R126" s="98"/>
      <c r="S126" s="98"/>
      <c r="T126" s="76"/>
      <c r="U126" s="76"/>
      <c r="V126" s="76"/>
      <c r="W126" s="76"/>
      <c r="X126" s="76"/>
      <c r="Y126" s="76"/>
      <c r="Z126" s="76"/>
    </row>
    <row r="127" ht="12.75" customHeight="1">
      <c r="A127" s="239"/>
      <c r="B127" s="255"/>
      <c r="C127" s="257" t="str">
        <f>B126</f>
        <v>事務用品費</v>
      </c>
      <c r="D127" s="231">
        <v>0.0</v>
      </c>
      <c r="E127" s="231">
        <v>0.0</v>
      </c>
      <c r="F127" s="231">
        <v>0.0</v>
      </c>
      <c r="G127" s="231">
        <v>0.0</v>
      </c>
      <c r="H127" s="231"/>
      <c r="I127" s="234">
        <f t="shared" si="15"/>
        <v>0</v>
      </c>
      <c r="J127" s="98"/>
      <c r="K127" s="239" t="s">
        <v>146</v>
      </c>
      <c r="L127" s="258">
        <v>34000.0</v>
      </c>
      <c r="M127" s="258">
        <f t="shared" ref="M127:N127" si="20">$L127/2</f>
        <v>17000</v>
      </c>
      <c r="N127" s="258">
        <f t="shared" si="20"/>
        <v>17000</v>
      </c>
      <c r="O127" s="98"/>
      <c r="P127" s="98"/>
      <c r="Q127" s="98"/>
      <c r="R127" s="98"/>
      <c r="S127" s="98"/>
      <c r="T127" s="76"/>
      <c r="U127" s="76"/>
      <c r="V127" s="76"/>
      <c r="W127" s="76"/>
      <c r="X127" s="76"/>
      <c r="Y127" s="76"/>
      <c r="Z127" s="76"/>
    </row>
    <row r="128" ht="12.75" customHeight="1">
      <c r="A128" s="259"/>
      <c r="B128" s="255" t="s">
        <v>64</v>
      </c>
      <c r="C128" s="229" t="s">
        <v>40</v>
      </c>
      <c r="D128" s="230">
        <v>600000.0</v>
      </c>
      <c r="E128" s="230">
        <v>349080.0</v>
      </c>
      <c r="F128" s="230">
        <v>1337562.0</v>
      </c>
      <c r="G128" s="230">
        <v>1012352.0</v>
      </c>
      <c r="H128" s="230">
        <v>325210.0</v>
      </c>
      <c r="I128" s="232">
        <f t="shared" si="15"/>
        <v>2286642</v>
      </c>
      <c r="J128" s="260"/>
      <c r="K128" s="259" t="s">
        <v>147</v>
      </c>
      <c r="L128" s="261">
        <v>32000.0</v>
      </c>
      <c r="M128" s="258">
        <f t="shared" ref="M128:N128" si="21">$L128/2</f>
        <v>16000</v>
      </c>
      <c r="N128" s="258">
        <f t="shared" si="21"/>
        <v>16000</v>
      </c>
      <c r="O128" s="260"/>
      <c r="P128" s="260"/>
      <c r="Q128" s="260"/>
      <c r="R128" s="260"/>
      <c r="S128" s="260"/>
      <c r="T128" s="76"/>
      <c r="U128" s="76"/>
      <c r="V128" s="76"/>
      <c r="W128" s="76"/>
      <c r="X128" s="76"/>
      <c r="Y128" s="76"/>
      <c r="Z128" s="76"/>
    </row>
    <row r="129" ht="12.75" customHeight="1">
      <c r="A129" s="211"/>
      <c r="B129" s="255"/>
      <c r="C129" s="257" t="str">
        <f>B128</f>
        <v>備品消耗品費</v>
      </c>
      <c r="D129" s="231">
        <v>600000.0</v>
      </c>
      <c r="E129" s="231">
        <v>349080.0</v>
      </c>
      <c r="F129" s="231">
        <v>1337562.0</v>
      </c>
      <c r="G129" s="231">
        <v>1012352.0</v>
      </c>
      <c r="H129" s="231">
        <v>325210.0</v>
      </c>
      <c r="I129" s="234">
        <f t="shared" si="15"/>
        <v>2286642</v>
      </c>
      <c r="J129" s="213"/>
      <c r="K129" s="211" t="s">
        <v>148</v>
      </c>
      <c r="L129" s="262">
        <v>9000.0</v>
      </c>
      <c r="M129" s="258">
        <f t="shared" ref="M129:N129" si="22">$L129/2</f>
        <v>4500</v>
      </c>
      <c r="N129" s="258">
        <f t="shared" si="22"/>
        <v>4500</v>
      </c>
      <c r="O129" s="213"/>
      <c r="P129" s="213"/>
      <c r="Q129" s="213"/>
      <c r="R129" s="213"/>
      <c r="S129" s="213"/>
      <c r="T129" s="76"/>
      <c r="U129" s="76"/>
      <c r="V129" s="76"/>
      <c r="W129" s="76"/>
      <c r="X129" s="76"/>
      <c r="Y129" s="76"/>
      <c r="Z129" s="76"/>
    </row>
    <row r="130" ht="12.75" customHeight="1">
      <c r="A130" s="76"/>
      <c r="B130" s="255" t="s">
        <v>66</v>
      </c>
      <c r="C130" s="229" t="s">
        <v>40</v>
      </c>
      <c r="D130" s="230">
        <v>120000.0</v>
      </c>
      <c r="E130" s="230">
        <v>10000.0</v>
      </c>
      <c r="F130" s="230">
        <v>989685.0</v>
      </c>
      <c r="G130" s="230">
        <v>342296.0</v>
      </c>
      <c r="H130" s="230">
        <v>647389.0</v>
      </c>
      <c r="I130" s="232">
        <f t="shared" si="15"/>
        <v>1119685</v>
      </c>
      <c r="J130" s="98"/>
      <c r="K130" s="239" t="s">
        <v>149</v>
      </c>
      <c r="L130" s="258">
        <v>54000.0</v>
      </c>
      <c r="M130" s="258">
        <f t="shared" ref="M130:N130" si="23">$L130/2</f>
        <v>27000</v>
      </c>
      <c r="N130" s="258">
        <f t="shared" si="23"/>
        <v>27000</v>
      </c>
      <c r="O130" s="98"/>
      <c r="P130" s="98"/>
      <c r="Q130" s="98"/>
      <c r="R130" s="98"/>
      <c r="S130" s="98"/>
      <c r="T130" s="76"/>
      <c r="U130" s="76"/>
      <c r="V130" s="76"/>
      <c r="W130" s="76"/>
      <c r="X130" s="76"/>
      <c r="Y130" s="76"/>
      <c r="Z130" s="76"/>
    </row>
    <row r="131" ht="12.75" customHeight="1">
      <c r="A131" s="263"/>
      <c r="B131" s="255"/>
      <c r="C131" s="257" t="str">
        <f>B130</f>
        <v>クリーニング費</v>
      </c>
      <c r="D131" s="231">
        <v>120000.0</v>
      </c>
      <c r="E131" s="231">
        <v>10000.0</v>
      </c>
      <c r="F131" s="231">
        <v>989685.0</v>
      </c>
      <c r="G131" s="231">
        <v>342296.0</v>
      </c>
      <c r="H131" s="231">
        <v>647389.0</v>
      </c>
      <c r="I131" s="234">
        <f t="shared" si="15"/>
        <v>1119685</v>
      </c>
      <c r="J131" s="264"/>
      <c r="K131" s="263" t="s">
        <v>150</v>
      </c>
      <c r="L131" s="254">
        <v>25000.0</v>
      </c>
      <c r="M131" s="258">
        <f t="shared" ref="M131:N131" si="24">$L131/2</f>
        <v>12500</v>
      </c>
      <c r="N131" s="258">
        <f t="shared" si="24"/>
        <v>12500</v>
      </c>
      <c r="O131" s="264"/>
      <c r="P131" s="264"/>
      <c r="Q131" s="264"/>
      <c r="R131" s="264"/>
      <c r="S131" s="264"/>
      <c r="T131" s="76"/>
      <c r="U131" s="76"/>
      <c r="V131" s="76"/>
      <c r="W131" s="76"/>
      <c r="X131" s="76"/>
      <c r="Y131" s="76"/>
      <c r="Z131" s="76"/>
    </row>
    <row r="132" ht="12.75" customHeight="1">
      <c r="A132" s="76"/>
      <c r="B132" s="255" t="s">
        <v>68</v>
      </c>
      <c r="C132" s="229" t="s">
        <v>40</v>
      </c>
      <c r="D132" s="230">
        <v>0.0</v>
      </c>
      <c r="E132" s="230">
        <v>0.0</v>
      </c>
      <c r="F132" s="230">
        <v>0.0</v>
      </c>
      <c r="G132" s="230">
        <v>0.0</v>
      </c>
      <c r="H132" s="230"/>
      <c r="I132" s="232">
        <f t="shared" si="15"/>
        <v>0</v>
      </c>
      <c r="J132" s="98"/>
      <c r="K132" s="239" t="s">
        <v>151</v>
      </c>
      <c r="L132" s="258">
        <v>54600.0</v>
      </c>
      <c r="M132" s="258">
        <f t="shared" ref="M132:N132" si="25">$L132/2</f>
        <v>27300</v>
      </c>
      <c r="N132" s="258">
        <f t="shared" si="25"/>
        <v>27300</v>
      </c>
      <c r="O132" s="98"/>
      <c r="P132" s="98"/>
      <c r="Q132" s="98"/>
      <c r="R132" s="98"/>
      <c r="S132" s="98"/>
      <c r="T132" s="76"/>
      <c r="U132" s="76"/>
      <c r="V132" s="76"/>
      <c r="W132" s="76"/>
      <c r="X132" s="76"/>
      <c r="Y132" s="76"/>
      <c r="Z132" s="76"/>
    </row>
    <row r="133" ht="12.75" customHeight="1">
      <c r="A133" s="76"/>
      <c r="B133" s="255"/>
      <c r="C133" s="257" t="str">
        <f>B132</f>
        <v>接待交際費</v>
      </c>
      <c r="D133" s="231">
        <v>0.0</v>
      </c>
      <c r="E133" s="231">
        <v>0.0</v>
      </c>
      <c r="F133" s="231">
        <v>0.0</v>
      </c>
      <c r="G133" s="231">
        <v>0.0</v>
      </c>
      <c r="H133" s="231"/>
      <c r="I133" s="234">
        <f t="shared" si="15"/>
        <v>0</v>
      </c>
      <c r="J133" s="98"/>
      <c r="K133" s="239" t="s">
        <v>152</v>
      </c>
      <c r="L133" s="258">
        <v>21000.0</v>
      </c>
      <c r="M133" s="258">
        <f t="shared" ref="M133:N133" si="26">$L133/2</f>
        <v>10500</v>
      </c>
      <c r="N133" s="258">
        <f t="shared" si="26"/>
        <v>10500</v>
      </c>
      <c r="O133" s="98"/>
      <c r="P133" s="98"/>
      <c r="Q133" s="98"/>
      <c r="R133" s="98"/>
      <c r="S133" s="98"/>
      <c r="T133" s="76"/>
      <c r="U133" s="76"/>
      <c r="V133" s="76"/>
      <c r="W133" s="76"/>
      <c r="X133" s="76"/>
      <c r="Y133" s="76"/>
      <c r="Z133" s="76"/>
    </row>
    <row r="134" ht="12.75" customHeight="1">
      <c r="A134" s="76"/>
      <c r="B134" s="255" t="s">
        <v>69</v>
      </c>
      <c r="C134" s="229" t="s">
        <v>40</v>
      </c>
      <c r="D134" s="230">
        <v>115000.0</v>
      </c>
      <c r="E134" s="230">
        <v>150000.0</v>
      </c>
      <c r="F134" s="230">
        <v>149920.0</v>
      </c>
      <c r="G134" s="230">
        <v>149920.0</v>
      </c>
      <c r="H134" s="230"/>
      <c r="I134" s="232">
        <f t="shared" si="15"/>
        <v>414920</v>
      </c>
      <c r="J134" s="98"/>
      <c r="K134" s="239" t="s">
        <v>153</v>
      </c>
      <c r="L134" s="258">
        <v>34500.0</v>
      </c>
      <c r="M134" s="258">
        <f>L134</f>
        <v>34500</v>
      </c>
      <c r="N134" s="98"/>
      <c r="O134" s="98"/>
      <c r="P134" s="98"/>
      <c r="Q134" s="98"/>
      <c r="R134" s="98"/>
      <c r="S134" s="98"/>
      <c r="T134" s="76"/>
      <c r="U134" s="76"/>
      <c r="V134" s="76"/>
      <c r="W134" s="76"/>
      <c r="X134" s="76"/>
      <c r="Y134" s="76"/>
      <c r="Z134" s="76"/>
    </row>
    <row r="135" ht="12.75" customHeight="1">
      <c r="A135" s="76"/>
      <c r="B135" s="255"/>
      <c r="C135" s="257" t="str">
        <f>B134</f>
        <v>通信費</v>
      </c>
      <c r="D135" s="231">
        <v>115000.0</v>
      </c>
      <c r="E135" s="231">
        <v>150000.0</v>
      </c>
      <c r="F135" s="231">
        <v>149920.0</v>
      </c>
      <c r="G135" s="231">
        <v>149920.0</v>
      </c>
      <c r="H135" s="231"/>
      <c r="I135" s="234">
        <f t="shared" si="15"/>
        <v>414920</v>
      </c>
      <c r="J135" s="98"/>
      <c r="K135" s="239" t="s">
        <v>154</v>
      </c>
      <c r="L135" s="258">
        <v>16000.0</v>
      </c>
      <c r="M135" s="258">
        <f t="shared" ref="M135:N135" si="27">$L135/2</f>
        <v>8000</v>
      </c>
      <c r="N135" s="258">
        <f t="shared" si="27"/>
        <v>8000</v>
      </c>
      <c r="O135" s="98"/>
      <c r="P135" s="98"/>
      <c r="Q135" s="98"/>
      <c r="R135" s="98"/>
      <c r="S135" s="98"/>
      <c r="T135" s="76"/>
      <c r="U135" s="76"/>
      <c r="V135" s="76"/>
      <c r="W135" s="76"/>
      <c r="X135" s="76"/>
      <c r="Y135" s="76"/>
      <c r="Z135" s="76"/>
    </row>
    <row r="136" ht="12.75" customHeight="1">
      <c r="A136" s="76"/>
      <c r="B136" s="255" t="s">
        <v>70</v>
      </c>
      <c r="C136" s="229" t="s">
        <v>40</v>
      </c>
      <c r="D136" s="230">
        <v>783677.0</v>
      </c>
      <c r="E136" s="230">
        <v>821867.0</v>
      </c>
      <c r="F136" s="230">
        <v>1270642.0</v>
      </c>
      <c r="G136" s="230">
        <v>798344.6561478502</v>
      </c>
      <c r="H136" s="230">
        <v>472297.34385214985</v>
      </c>
      <c r="I136" s="232">
        <f t="shared" si="15"/>
        <v>2876186</v>
      </c>
      <c r="J136" s="98"/>
      <c r="K136" s="239" t="s">
        <v>155</v>
      </c>
      <c r="L136" s="258">
        <v>49600.0</v>
      </c>
      <c r="M136" s="258">
        <f t="shared" ref="M136:N136" si="28">$L136/2</f>
        <v>24800</v>
      </c>
      <c r="N136" s="258">
        <f t="shared" si="28"/>
        <v>24800</v>
      </c>
      <c r="O136" s="98"/>
      <c r="P136" s="98"/>
      <c r="Q136" s="98"/>
      <c r="R136" s="98"/>
      <c r="S136" s="98"/>
      <c r="T136" s="76"/>
      <c r="U136" s="76"/>
      <c r="V136" s="76"/>
      <c r="W136" s="76"/>
      <c r="X136" s="76"/>
      <c r="Y136" s="76"/>
      <c r="Z136" s="76"/>
    </row>
    <row r="137" ht="12.75" customHeight="1">
      <c r="A137" s="76"/>
      <c r="B137" s="255"/>
      <c r="C137" s="257" t="str">
        <f>B136</f>
        <v>租税公課</v>
      </c>
      <c r="D137" s="231">
        <v>783677.0</v>
      </c>
      <c r="E137" s="231">
        <v>821867.0</v>
      </c>
      <c r="F137" s="231">
        <v>1270642.0</v>
      </c>
      <c r="G137" s="231">
        <v>798344.6561478502</v>
      </c>
      <c r="H137" s="231">
        <v>472297.34385214985</v>
      </c>
      <c r="I137" s="234">
        <f t="shared" si="15"/>
        <v>2876186</v>
      </c>
      <c r="J137" s="98"/>
      <c r="K137" s="239" t="s">
        <v>156</v>
      </c>
      <c r="L137" s="258">
        <v>0.0</v>
      </c>
      <c r="M137" s="258">
        <f t="shared" ref="M137:N137" si="29">$L137/2</f>
        <v>0</v>
      </c>
      <c r="N137" s="258">
        <f t="shared" si="29"/>
        <v>0</v>
      </c>
      <c r="O137" s="98"/>
      <c r="P137" s="98"/>
      <c r="Q137" s="98"/>
      <c r="R137" s="98"/>
      <c r="S137" s="98"/>
      <c r="T137" s="76"/>
      <c r="U137" s="76"/>
      <c r="V137" s="76"/>
      <c r="W137" s="76"/>
      <c r="X137" s="76"/>
      <c r="Y137" s="76"/>
      <c r="Z137" s="76"/>
    </row>
    <row r="138" ht="12.75" customHeight="1">
      <c r="A138" s="76"/>
      <c r="B138" s="255" t="s">
        <v>71</v>
      </c>
      <c r="C138" s="229" t="s">
        <v>40</v>
      </c>
      <c r="D138" s="230">
        <v>10000.0</v>
      </c>
      <c r="E138" s="230">
        <v>10000.0</v>
      </c>
      <c r="F138" s="230">
        <v>105000.0</v>
      </c>
      <c r="G138" s="230">
        <v>105000.0</v>
      </c>
      <c r="H138" s="230"/>
      <c r="I138" s="232">
        <f t="shared" si="15"/>
        <v>125000</v>
      </c>
      <c r="J138" s="98"/>
      <c r="K138" s="239" t="s">
        <v>157</v>
      </c>
      <c r="L138" s="258">
        <v>61500.0</v>
      </c>
      <c r="M138" s="258">
        <f t="shared" ref="M138:N138" si="30">$L138/2</f>
        <v>30750</v>
      </c>
      <c r="N138" s="258">
        <f t="shared" si="30"/>
        <v>30750</v>
      </c>
      <c r="O138" s="98"/>
      <c r="P138" s="98"/>
      <c r="Q138" s="98"/>
      <c r="R138" s="98"/>
      <c r="S138" s="98"/>
      <c r="T138" s="76"/>
      <c r="U138" s="76"/>
      <c r="V138" s="76"/>
      <c r="W138" s="76"/>
      <c r="X138" s="76"/>
      <c r="Y138" s="76"/>
      <c r="Z138" s="76"/>
    </row>
    <row r="139" ht="12.75" customHeight="1">
      <c r="A139" s="265"/>
      <c r="B139" s="255"/>
      <c r="C139" s="257" t="str">
        <f>B138</f>
        <v>車両費</v>
      </c>
      <c r="D139" s="231">
        <v>10000.0</v>
      </c>
      <c r="E139" s="231">
        <v>10000.0</v>
      </c>
      <c r="F139" s="231">
        <v>105000.0</v>
      </c>
      <c r="G139" s="231">
        <v>105000.0</v>
      </c>
      <c r="H139" s="231"/>
      <c r="I139" s="234">
        <f t="shared" si="15"/>
        <v>125000</v>
      </c>
      <c r="J139" s="266"/>
      <c r="K139" s="265" t="s">
        <v>158</v>
      </c>
      <c r="L139" s="258">
        <v>11000.0</v>
      </c>
      <c r="M139" s="258">
        <f t="shared" ref="M139:N139" si="31">$L139/2</f>
        <v>5500</v>
      </c>
      <c r="N139" s="258">
        <f t="shared" si="31"/>
        <v>5500</v>
      </c>
      <c r="O139" s="266"/>
      <c r="P139" s="266"/>
      <c r="Q139" s="266"/>
      <c r="R139" s="266"/>
      <c r="S139" s="266"/>
      <c r="T139" s="76"/>
      <c r="U139" s="76"/>
      <c r="V139" s="76"/>
      <c r="W139" s="76"/>
      <c r="X139" s="76"/>
      <c r="Y139" s="76"/>
      <c r="Z139" s="76"/>
    </row>
    <row r="140" ht="12.75" customHeight="1">
      <c r="A140" s="265"/>
      <c r="B140" s="255" t="s">
        <v>72</v>
      </c>
      <c r="C140" s="229" t="s">
        <v>40</v>
      </c>
      <c r="D140" s="230">
        <v>550000.0</v>
      </c>
      <c r="E140" s="230">
        <v>550000.0</v>
      </c>
      <c r="F140" s="230">
        <v>500000.0</v>
      </c>
      <c r="G140" s="230">
        <v>500000.0</v>
      </c>
      <c r="H140" s="230"/>
      <c r="I140" s="232">
        <f t="shared" si="15"/>
        <v>1600000</v>
      </c>
      <c r="J140" s="266"/>
      <c r="K140" s="265" t="s">
        <v>159</v>
      </c>
      <c r="L140" s="258">
        <v>0.0</v>
      </c>
      <c r="M140" s="258">
        <f t="shared" ref="M140:N140" si="32">$L140/2</f>
        <v>0</v>
      </c>
      <c r="N140" s="258">
        <f t="shared" si="32"/>
        <v>0</v>
      </c>
      <c r="O140" s="266"/>
      <c r="P140" s="266"/>
      <c r="Q140" s="266"/>
      <c r="R140" s="266"/>
      <c r="S140" s="266"/>
      <c r="T140" s="76"/>
      <c r="U140" s="76"/>
      <c r="V140" s="76"/>
      <c r="W140" s="76"/>
      <c r="X140" s="76"/>
      <c r="Y140" s="76"/>
      <c r="Z140" s="76"/>
    </row>
    <row r="141" ht="12.75" customHeight="1">
      <c r="A141" s="265"/>
      <c r="B141" s="255"/>
      <c r="C141" s="257" t="str">
        <f>B140</f>
        <v>旅費交通費</v>
      </c>
      <c r="D141" s="231">
        <v>550000.0</v>
      </c>
      <c r="E141" s="231">
        <v>550000.0</v>
      </c>
      <c r="F141" s="231">
        <v>500000.0</v>
      </c>
      <c r="G141" s="231">
        <v>500000.0</v>
      </c>
      <c r="H141" s="231"/>
      <c r="I141" s="234">
        <f t="shared" si="15"/>
        <v>1600000</v>
      </c>
      <c r="J141" s="266"/>
      <c r="K141" s="265" t="s">
        <v>160</v>
      </c>
      <c r="L141" s="258">
        <v>16000.0</v>
      </c>
      <c r="M141" s="258">
        <f t="shared" ref="M141:N141" si="33">$L141/2</f>
        <v>8000</v>
      </c>
      <c r="N141" s="258">
        <f t="shared" si="33"/>
        <v>8000</v>
      </c>
      <c r="O141" s="266"/>
      <c r="P141" s="266"/>
      <c r="Q141" s="266"/>
      <c r="R141" s="266"/>
      <c r="S141" s="266"/>
      <c r="T141" s="76"/>
      <c r="U141" s="76"/>
      <c r="V141" s="76"/>
      <c r="W141" s="76"/>
      <c r="X141" s="76"/>
      <c r="Y141" s="76"/>
      <c r="Z141" s="76"/>
    </row>
    <row r="142" ht="12.75" customHeight="1">
      <c r="A142" s="265"/>
      <c r="B142" s="255" t="s">
        <v>73</v>
      </c>
      <c r="C142" s="229" t="s">
        <v>40</v>
      </c>
      <c r="D142" s="230">
        <v>94696.0</v>
      </c>
      <c r="E142" s="230">
        <v>70310.0</v>
      </c>
      <c r="F142" s="230">
        <v>101170.0</v>
      </c>
      <c r="G142" s="230">
        <v>101170.0</v>
      </c>
      <c r="H142" s="230"/>
      <c r="I142" s="232">
        <f t="shared" si="15"/>
        <v>266176</v>
      </c>
      <c r="J142" s="266"/>
      <c r="K142" s="265" t="s">
        <v>161</v>
      </c>
      <c r="L142" s="258">
        <v>0.0</v>
      </c>
      <c r="M142" s="258">
        <f t="shared" ref="M142:N142" si="34">$L142/2</f>
        <v>0</v>
      </c>
      <c r="N142" s="258">
        <f t="shared" si="34"/>
        <v>0</v>
      </c>
      <c r="O142" s="266"/>
      <c r="P142" s="266"/>
      <c r="Q142" s="266"/>
      <c r="R142" s="266"/>
      <c r="S142" s="266"/>
      <c r="T142" s="76"/>
      <c r="U142" s="76"/>
      <c r="V142" s="76"/>
      <c r="W142" s="76"/>
      <c r="X142" s="76"/>
      <c r="Y142" s="76"/>
      <c r="Z142" s="76"/>
    </row>
    <row r="143" ht="12.75" customHeight="1">
      <c r="A143" s="265"/>
      <c r="B143" s="255"/>
      <c r="C143" s="257" t="str">
        <f>B142</f>
        <v>保険料</v>
      </c>
      <c r="D143" s="231">
        <v>94696.0</v>
      </c>
      <c r="E143" s="231">
        <v>70310.0</v>
      </c>
      <c r="F143" s="231">
        <v>101170.0</v>
      </c>
      <c r="G143" s="231">
        <v>101170.0</v>
      </c>
      <c r="H143" s="231"/>
      <c r="I143" s="234">
        <f t="shared" si="15"/>
        <v>266176</v>
      </c>
      <c r="J143" s="266"/>
      <c r="K143" s="265" t="s">
        <v>162</v>
      </c>
      <c r="L143" s="258">
        <v>0.0</v>
      </c>
      <c r="M143" s="258">
        <f t="shared" ref="M143:N143" si="35">$L143/2</f>
        <v>0</v>
      </c>
      <c r="N143" s="258">
        <f t="shared" si="35"/>
        <v>0</v>
      </c>
      <c r="O143" s="266"/>
      <c r="P143" s="266"/>
      <c r="Q143" s="266"/>
      <c r="R143" s="266"/>
      <c r="S143" s="266"/>
      <c r="T143" s="76"/>
      <c r="U143" s="76"/>
      <c r="V143" s="76"/>
      <c r="W143" s="76"/>
      <c r="X143" s="76"/>
      <c r="Y143" s="76"/>
      <c r="Z143" s="76"/>
    </row>
    <row r="144" ht="12.75" customHeight="1">
      <c r="A144" s="265"/>
      <c r="B144" s="255" t="s">
        <v>74</v>
      </c>
      <c r="C144" s="229" t="s">
        <v>40</v>
      </c>
      <c r="D144" s="230">
        <v>220800.0</v>
      </c>
      <c r="E144" s="230">
        <v>40000.0</v>
      </c>
      <c r="F144" s="230">
        <v>0.0</v>
      </c>
      <c r="G144" s="230">
        <v>0.0</v>
      </c>
      <c r="H144" s="230"/>
      <c r="I144" s="232">
        <f t="shared" si="15"/>
        <v>260800</v>
      </c>
      <c r="J144" s="266"/>
      <c r="K144" s="265" t="s">
        <v>163</v>
      </c>
      <c r="L144" s="258">
        <v>0.0</v>
      </c>
      <c r="M144" s="258">
        <f t="shared" ref="M144:N144" si="36">$L144/2</f>
        <v>0</v>
      </c>
      <c r="N144" s="258">
        <f t="shared" si="36"/>
        <v>0</v>
      </c>
      <c r="O144" s="266"/>
      <c r="P144" s="266"/>
      <c r="Q144" s="266"/>
      <c r="R144" s="266"/>
      <c r="S144" s="266"/>
      <c r="T144" s="76"/>
      <c r="U144" s="76"/>
      <c r="V144" s="76"/>
      <c r="W144" s="76"/>
      <c r="X144" s="76"/>
      <c r="Y144" s="76"/>
      <c r="Z144" s="76"/>
    </row>
    <row r="145" ht="12.75" customHeight="1">
      <c r="A145" s="265"/>
      <c r="B145" s="255"/>
      <c r="C145" s="257" t="str">
        <f>B144</f>
        <v>清掃費</v>
      </c>
      <c r="D145" s="231">
        <v>220800.0</v>
      </c>
      <c r="E145" s="231">
        <v>40000.0</v>
      </c>
      <c r="F145" s="231">
        <v>0.0</v>
      </c>
      <c r="G145" s="231">
        <v>0.0</v>
      </c>
      <c r="H145" s="231"/>
      <c r="I145" s="234">
        <f t="shared" si="15"/>
        <v>260800</v>
      </c>
      <c r="J145" s="266"/>
      <c r="K145" s="266"/>
      <c r="L145" s="266"/>
      <c r="M145" s="266">
        <f t="shared" ref="M145:N145" si="37">SUM(M123:M144)</f>
        <v>319760</v>
      </c>
      <c r="N145" s="266">
        <f t="shared" si="37"/>
        <v>285260</v>
      </c>
      <c r="O145" s="266"/>
      <c r="P145" s="266"/>
      <c r="Q145" s="266"/>
      <c r="R145" s="266"/>
      <c r="S145" s="266"/>
      <c r="T145" s="76"/>
      <c r="U145" s="76"/>
      <c r="V145" s="76"/>
      <c r="W145" s="76"/>
      <c r="X145" s="76"/>
      <c r="Y145" s="76"/>
      <c r="Z145" s="76"/>
    </row>
    <row r="146" ht="12.75" customHeight="1">
      <c r="A146" s="76"/>
      <c r="B146" s="255" t="s">
        <v>76</v>
      </c>
      <c r="C146" s="229" t="s">
        <v>40</v>
      </c>
      <c r="D146" s="230">
        <v>0.0</v>
      </c>
      <c r="E146" s="230">
        <v>0.0</v>
      </c>
      <c r="F146" s="230">
        <v>0.0</v>
      </c>
      <c r="G146" s="230">
        <v>0.0</v>
      </c>
      <c r="H146" s="230"/>
      <c r="I146" s="232">
        <f t="shared" si="15"/>
        <v>0</v>
      </c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76"/>
      <c r="U146" s="76"/>
      <c r="V146" s="76"/>
      <c r="W146" s="76"/>
      <c r="X146" s="76"/>
      <c r="Y146" s="76"/>
      <c r="Z146" s="76"/>
    </row>
    <row r="147" ht="12.75" customHeight="1">
      <c r="A147" s="76"/>
      <c r="B147" s="255"/>
      <c r="C147" s="257" t="str">
        <f>B146</f>
        <v>温泉使用料</v>
      </c>
      <c r="D147" s="231">
        <v>0.0</v>
      </c>
      <c r="E147" s="231">
        <v>0.0</v>
      </c>
      <c r="F147" s="231">
        <v>0.0</v>
      </c>
      <c r="G147" s="231">
        <v>0.0</v>
      </c>
      <c r="H147" s="231"/>
      <c r="I147" s="234">
        <f t="shared" si="15"/>
        <v>0</v>
      </c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76"/>
      <c r="U147" s="76"/>
      <c r="V147" s="76"/>
      <c r="W147" s="76"/>
      <c r="X147" s="76"/>
      <c r="Y147" s="76"/>
      <c r="Z147" s="76"/>
    </row>
    <row r="148" ht="12.75" customHeight="1">
      <c r="A148" s="76"/>
      <c r="B148" s="255" t="s">
        <v>109</v>
      </c>
      <c r="C148" s="229" t="s">
        <v>40</v>
      </c>
      <c r="D148" s="230">
        <v>7223.0</v>
      </c>
      <c r="E148" s="230">
        <v>5275.0</v>
      </c>
      <c r="F148" s="230">
        <v>21704.0</v>
      </c>
      <c r="G148" s="230">
        <v>21704.0</v>
      </c>
      <c r="H148" s="230"/>
      <c r="I148" s="232">
        <f t="shared" si="15"/>
        <v>34202</v>
      </c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76"/>
      <c r="U148" s="76"/>
      <c r="V148" s="76"/>
      <c r="W148" s="76"/>
      <c r="X148" s="76"/>
      <c r="Y148" s="76"/>
      <c r="Z148" s="76"/>
    </row>
    <row r="149" ht="12.75" customHeight="1">
      <c r="A149" s="76"/>
      <c r="B149" s="255"/>
      <c r="C149" s="257" t="str">
        <f>B148</f>
        <v>新聞図書費</v>
      </c>
      <c r="D149" s="231">
        <v>7223.0</v>
      </c>
      <c r="E149" s="231">
        <v>5275.0</v>
      </c>
      <c r="F149" s="231">
        <v>21704.0</v>
      </c>
      <c r="G149" s="231">
        <v>21704.0</v>
      </c>
      <c r="H149" s="231"/>
      <c r="I149" s="234">
        <f t="shared" si="15"/>
        <v>34202</v>
      </c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76"/>
      <c r="U149" s="76"/>
      <c r="V149" s="76"/>
      <c r="W149" s="76"/>
      <c r="X149" s="76"/>
      <c r="Y149" s="76"/>
      <c r="Z149" s="76"/>
    </row>
    <row r="150" ht="12.75" customHeight="1">
      <c r="A150" s="76"/>
      <c r="B150" s="255" t="s">
        <v>110</v>
      </c>
      <c r="C150" s="229" t="s">
        <v>40</v>
      </c>
      <c r="D150" s="230">
        <v>5458000.0</v>
      </c>
      <c r="E150" s="230">
        <v>5125000.0</v>
      </c>
      <c r="F150" s="230">
        <v>2905000.0</v>
      </c>
      <c r="G150" s="230">
        <v>2905000.0</v>
      </c>
      <c r="H150" s="230"/>
      <c r="I150" s="232">
        <f t="shared" si="15"/>
        <v>13488000</v>
      </c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76"/>
      <c r="U150" s="76"/>
      <c r="V150" s="76"/>
      <c r="W150" s="76"/>
      <c r="X150" s="76"/>
      <c r="Y150" s="76"/>
      <c r="Z150" s="76"/>
    </row>
    <row r="151" ht="12.75" customHeight="1">
      <c r="A151" s="76"/>
      <c r="B151" s="255"/>
      <c r="C151" s="257" t="str">
        <f>B150</f>
        <v>コース管理費</v>
      </c>
      <c r="D151" s="231">
        <v>5572000.0</v>
      </c>
      <c r="E151" s="231">
        <v>3425000.0</v>
      </c>
      <c r="F151" s="231">
        <v>2905000.0</v>
      </c>
      <c r="G151" s="231">
        <v>2905000.0</v>
      </c>
      <c r="H151" s="231"/>
      <c r="I151" s="234">
        <f t="shared" si="15"/>
        <v>11902000</v>
      </c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76"/>
      <c r="U151" s="76"/>
      <c r="V151" s="76"/>
      <c r="W151" s="76"/>
      <c r="X151" s="76"/>
      <c r="Y151" s="76"/>
      <c r="Z151" s="76"/>
    </row>
    <row r="152" ht="12.75" customHeight="1">
      <c r="A152" s="76"/>
      <c r="B152" s="255" t="s">
        <v>111</v>
      </c>
      <c r="C152" s="229" t="s">
        <v>40</v>
      </c>
      <c r="D152" s="230">
        <v>0.0</v>
      </c>
      <c r="E152" s="230">
        <v>446250.0</v>
      </c>
      <c r="F152" s="230">
        <v>368000.0</v>
      </c>
      <c r="G152" s="230">
        <v>368000.0</v>
      </c>
      <c r="H152" s="230"/>
      <c r="I152" s="232">
        <f t="shared" si="15"/>
        <v>814250</v>
      </c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76"/>
      <c r="U152" s="76"/>
      <c r="V152" s="76"/>
      <c r="W152" s="76"/>
      <c r="X152" s="76"/>
      <c r="Y152" s="76"/>
      <c r="Z152" s="76"/>
    </row>
    <row r="153" ht="12.75" customHeight="1">
      <c r="A153" s="76"/>
      <c r="B153" s="255"/>
      <c r="C153" s="257" t="str">
        <f>B152</f>
        <v>カート管理費</v>
      </c>
      <c r="D153" s="231">
        <v>0.0</v>
      </c>
      <c r="E153" s="231">
        <v>446250.0</v>
      </c>
      <c r="F153" s="231">
        <v>368000.0</v>
      </c>
      <c r="G153" s="231">
        <v>368000.0</v>
      </c>
      <c r="H153" s="231"/>
      <c r="I153" s="234">
        <f t="shared" si="15"/>
        <v>814250</v>
      </c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76"/>
      <c r="U153" s="76"/>
      <c r="V153" s="76"/>
      <c r="W153" s="76"/>
      <c r="X153" s="76"/>
      <c r="Y153" s="76"/>
      <c r="Z153" s="76"/>
    </row>
    <row r="154" ht="12.75" customHeight="1">
      <c r="A154" s="263"/>
      <c r="B154" s="255" t="s">
        <v>113</v>
      </c>
      <c r="C154" s="229" t="s">
        <v>40</v>
      </c>
      <c r="D154" s="230">
        <v>0.0</v>
      </c>
      <c r="E154" s="230">
        <v>0.0</v>
      </c>
      <c r="F154" s="230">
        <v>0.0</v>
      </c>
      <c r="G154" s="230">
        <v>0.0</v>
      </c>
      <c r="H154" s="230"/>
      <c r="I154" s="232">
        <f t="shared" si="15"/>
        <v>0</v>
      </c>
      <c r="J154" s="264"/>
      <c r="K154" s="264"/>
      <c r="L154" s="264"/>
      <c r="M154" s="264"/>
      <c r="N154" s="264"/>
      <c r="O154" s="264"/>
      <c r="P154" s="264"/>
      <c r="Q154" s="264"/>
      <c r="R154" s="264"/>
      <c r="S154" s="264"/>
      <c r="T154" s="76"/>
      <c r="U154" s="76"/>
      <c r="V154" s="76"/>
      <c r="W154" s="76"/>
      <c r="X154" s="76"/>
      <c r="Y154" s="76"/>
      <c r="Z154" s="76"/>
    </row>
    <row r="155" ht="12.75" customHeight="1">
      <c r="A155" s="267"/>
      <c r="B155" s="255"/>
      <c r="C155" s="257" t="str">
        <f>B154</f>
        <v>寄附金</v>
      </c>
      <c r="D155" s="231">
        <v>0.0</v>
      </c>
      <c r="E155" s="231">
        <v>0.0</v>
      </c>
      <c r="F155" s="231">
        <v>0.0</v>
      </c>
      <c r="G155" s="231">
        <v>0.0</v>
      </c>
      <c r="H155" s="231"/>
      <c r="I155" s="234">
        <f t="shared" si="15"/>
        <v>0</v>
      </c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76"/>
      <c r="U155" s="76"/>
      <c r="V155" s="76"/>
      <c r="W155" s="76"/>
      <c r="X155" s="76"/>
      <c r="Y155" s="76"/>
      <c r="Z155" s="76"/>
    </row>
    <row r="156" ht="12.75" customHeight="1">
      <c r="A156" s="211"/>
      <c r="B156" s="255" t="s">
        <v>112</v>
      </c>
      <c r="C156" s="229" t="s">
        <v>40</v>
      </c>
      <c r="D156" s="230">
        <v>0.0</v>
      </c>
      <c r="E156" s="230">
        <v>0.0</v>
      </c>
      <c r="F156" s="230">
        <v>0.0</v>
      </c>
      <c r="G156" s="230">
        <v>0.0</v>
      </c>
      <c r="H156" s="230"/>
      <c r="I156" s="232">
        <f t="shared" si="15"/>
        <v>0</v>
      </c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76"/>
      <c r="U156" s="76"/>
      <c r="V156" s="76"/>
      <c r="W156" s="76"/>
      <c r="X156" s="76"/>
      <c r="Y156" s="76"/>
      <c r="Z156" s="76"/>
    </row>
    <row r="157" ht="12.75" customHeight="1">
      <c r="A157" s="267"/>
      <c r="B157" s="255"/>
      <c r="C157" s="257" t="str">
        <f>B156</f>
        <v>会議費</v>
      </c>
      <c r="D157" s="231">
        <v>0.0</v>
      </c>
      <c r="E157" s="231">
        <v>0.0</v>
      </c>
      <c r="F157" s="231">
        <v>0.0</v>
      </c>
      <c r="G157" s="231">
        <v>0.0</v>
      </c>
      <c r="H157" s="231"/>
      <c r="I157" s="234">
        <f t="shared" si="15"/>
        <v>0</v>
      </c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76"/>
      <c r="U157" s="76"/>
      <c r="V157" s="76"/>
      <c r="W157" s="76"/>
      <c r="X157" s="76"/>
      <c r="Y157" s="76"/>
      <c r="Z157" s="76"/>
    </row>
    <row r="158" ht="12.75" customHeight="1">
      <c r="A158" s="211"/>
      <c r="B158" s="255" t="s">
        <v>78</v>
      </c>
      <c r="C158" s="229" t="s">
        <v>40</v>
      </c>
      <c r="D158" s="230">
        <v>0.0</v>
      </c>
      <c r="E158" s="230">
        <v>0.0</v>
      </c>
      <c r="F158" s="230">
        <v>0.0</v>
      </c>
      <c r="G158" s="230">
        <v>0.0</v>
      </c>
      <c r="H158" s="230"/>
      <c r="I158" s="232">
        <f t="shared" si="15"/>
        <v>0</v>
      </c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76"/>
      <c r="U158" s="76"/>
      <c r="V158" s="76"/>
      <c r="W158" s="76"/>
      <c r="X158" s="76"/>
      <c r="Y158" s="76"/>
      <c r="Z158" s="76"/>
    </row>
    <row r="159" ht="12.75" customHeight="1">
      <c r="A159" s="269"/>
      <c r="B159" s="255"/>
      <c r="C159" s="257" t="str">
        <f>B158</f>
        <v>採用費</v>
      </c>
      <c r="D159" s="231">
        <v>0.0</v>
      </c>
      <c r="E159" s="231">
        <v>0.0</v>
      </c>
      <c r="F159" s="231">
        <v>0.0</v>
      </c>
      <c r="G159" s="231">
        <v>0.0</v>
      </c>
      <c r="H159" s="231"/>
      <c r="I159" s="234">
        <f t="shared" si="15"/>
        <v>0</v>
      </c>
      <c r="J159" s="270"/>
      <c r="K159" s="270"/>
      <c r="L159" s="270"/>
      <c r="M159" s="270"/>
      <c r="N159" s="270"/>
      <c r="O159" s="270"/>
      <c r="P159" s="270"/>
      <c r="Q159" s="270"/>
      <c r="R159" s="270"/>
      <c r="S159" s="270"/>
      <c r="T159" s="76"/>
      <c r="U159" s="76"/>
      <c r="V159" s="76"/>
      <c r="W159" s="76"/>
      <c r="X159" s="76"/>
      <c r="Y159" s="76"/>
      <c r="Z159" s="76"/>
    </row>
    <row r="160" ht="12.75" customHeight="1">
      <c r="A160" s="271"/>
      <c r="B160" s="255" t="s">
        <v>77</v>
      </c>
      <c r="C160" s="229" t="s">
        <v>40</v>
      </c>
      <c r="D160" s="230">
        <v>10000.0</v>
      </c>
      <c r="E160" s="230">
        <v>50000.0</v>
      </c>
      <c r="F160" s="230">
        <v>50000.0</v>
      </c>
      <c r="G160" s="230">
        <v>50000.0</v>
      </c>
      <c r="H160" s="230"/>
      <c r="I160" s="232">
        <f t="shared" si="15"/>
        <v>110000</v>
      </c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76"/>
      <c r="U160" s="76"/>
      <c r="V160" s="76"/>
      <c r="W160" s="76"/>
      <c r="X160" s="76"/>
      <c r="Y160" s="76"/>
      <c r="Z160" s="76"/>
    </row>
    <row r="161" ht="15.0" customHeight="1">
      <c r="A161" s="76"/>
      <c r="B161" s="272"/>
      <c r="C161" s="273" t="str">
        <f>B160</f>
        <v>支払手数料</v>
      </c>
      <c r="D161" s="231">
        <v>10000.0</v>
      </c>
      <c r="E161" s="231">
        <v>50000.0</v>
      </c>
      <c r="F161" s="231">
        <v>50000.0</v>
      </c>
      <c r="G161" s="231">
        <v>50000.0</v>
      </c>
      <c r="H161" s="231"/>
      <c r="I161" s="274">
        <f t="shared" si="15"/>
        <v>110000</v>
      </c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0" customHeight="1">
      <c r="A162" s="76"/>
      <c r="B162" s="214" t="s">
        <v>30</v>
      </c>
      <c r="C162" s="215" t="s">
        <v>40</v>
      </c>
      <c r="D162" s="240">
        <f t="shared" ref="D162:I162" si="38">SUM(D165,D167,D169,D171,D173,D175,D177,D179)</f>
        <v>5856623</v>
      </c>
      <c r="E162" s="240">
        <f t="shared" si="38"/>
        <v>2651264</v>
      </c>
      <c r="F162" s="240">
        <f t="shared" si="38"/>
        <v>7096642</v>
      </c>
      <c r="G162" s="240">
        <f t="shared" si="38"/>
        <v>5070077.211</v>
      </c>
      <c r="H162" s="240">
        <f t="shared" si="38"/>
        <v>2026564.789</v>
      </c>
      <c r="I162" s="241">
        <f t="shared" si="38"/>
        <v>15604529</v>
      </c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0" customHeight="1">
      <c r="A163" s="76"/>
      <c r="B163" s="218"/>
      <c r="C163" s="242" t="str">
        <f>B162</f>
        <v>固定費</v>
      </c>
      <c r="D163" s="220">
        <f t="shared" ref="D163:I163" si="39">SUM(D166,D168,D170,D172,D174,D176,D178,D180)</f>
        <v>4471109</v>
      </c>
      <c r="E163" s="220">
        <f t="shared" si="39"/>
        <v>3965417</v>
      </c>
      <c r="F163" s="220">
        <f t="shared" si="39"/>
        <v>7227569</v>
      </c>
      <c r="G163" s="220">
        <f t="shared" si="39"/>
        <v>4993800.916</v>
      </c>
      <c r="H163" s="221">
        <f t="shared" si="39"/>
        <v>2233768.084</v>
      </c>
      <c r="I163" s="222">
        <f t="shared" si="39"/>
        <v>15664095</v>
      </c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0" customHeight="1">
      <c r="A164" s="76"/>
      <c r="B164" s="223"/>
      <c r="C164" s="224"/>
      <c r="D164" s="225">
        <f t="shared" ref="D164:I164" si="40">D163/D$118</f>
        <v>2.901433485</v>
      </c>
      <c r="E164" s="225">
        <f t="shared" si="40"/>
        <v>2.69092497</v>
      </c>
      <c r="F164" s="225">
        <f t="shared" si="40"/>
        <v>2.479249965</v>
      </c>
      <c r="G164" s="225">
        <f t="shared" si="40"/>
        <v>2.726415724</v>
      </c>
      <c r="H164" s="226">
        <f t="shared" si="40"/>
        <v>2.061454977</v>
      </c>
      <c r="I164" s="227">
        <f t="shared" si="40"/>
        <v>2.641566819</v>
      </c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0" customHeight="1">
      <c r="A165" s="76"/>
      <c r="B165" s="275" t="s">
        <v>35</v>
      </c>
      <c r="C165" s="249" t="s">
        <v>40</v>
      </c>
      <c r="D165" s="230">
        <v>3540801.0</v>
      </c>
      <c r="E165" s="230">
        <v>1138304.0</v>
      </c>
      <c r="F165" s="230">
        <v>4445516.0</v>
      </c>
      <c r="G165" s="230">
        <v>2793118.708825748</v>
      </c>
      <c r="H165" s="230">
        <v>1652397.291174252</v>
      </c>
      <c r="I165" s="232">
        <f t="shared" ref="I165:I182" si="41">SUM(D165:F165)</f>
        <v>9124621</v>
      </c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0" customHeight="1">
      <c r="A166" s="76"/>
      <c r="B166" s="275"/>
      <c r="C166" s="256" t="str">
        <f>B165</f>
        <v>減価償却費</v>
      </c>
      <c r="D166" s="231">
        <v>2084941.0</v>
      </c>
      <c r="E166" s="231">
        <v>2799672.0</v>
      </c>
      <c r="F166" s="231">
        <v>4940560.0</v>
      </c>
      <c r="G166" s="231">
        <v>3104154.966054815</v>
      </c>
      <c r="H166" s="231">
        <v>1836405.033945185</v>
      </c>
      <c r="I166" s="234">
        <f t="shared" si="41"/>
        <v>9825173</v>
      </c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0" customHeight="1">
      <c r="A167" s="76"/>
      <c r="B167" s="275" t="s">
        <v>82</v>
      </c>
      <c r="C167" s="249" t="s">
        <v>40</v>
      </c>
      <c r="D167" s="230">
        <v>1043532.0</v>
      </c>
      <c r="E167" s="230">
        <v>11136.0</v>
      </c>
      <c r="F167" s="230">
        <v>247408.0</v>
      </c>
      <c r="G167" s="230">
        <v>155446.50238873524</v>
      </c>
      <c r="H167" s="230">
        <v>91961.49761126477</v>
      </c>
      <c r="I167" s="232">
        <f t="shared" si="41"/>
        <v>1302076</v>
      </c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0" customHeight="1">
      <c r="A168" s="76"/>
      <c r="B168" s="250"/>
      <c r="C168" s="256" t="str">
        <f>B167</f>
        <v>地代家賃</v>
      </c>
      <c r="D168" s="231">
        <v>1129238.0</v>
      </c>
      <c r="E168" s="231">
        <v>11136.0</v>
      </c>
      <c r="F168" s="231">
        <v>309812.0</v>
      </c>
      <c r="G168" s="231">
        <v>194654.94971083733</v>
      </c>
      <c r="H168" s="231">
        <v>115157.05028916268</v>
      </c>
      <c r="I168" s="234">
        <f t="shared" si="41"/>
        <v>1450186</v>
      </c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0" customHeight="1">
      <c r="A169" s="76"/>
      <c r="B169" s="250" t="s">
        <v>83</v>
      </c>
      <c r="C169" s="249" t="s">
        <v>40</v>
      </c>
      <c r="D169" s="230">
        <v>553770.0</v>
      </c>
      <c r="E169" s="230">
        <v>472335.0</v>
      </c>
      <c r="F169" s="230">
        <v>782061.0</v>
      </c>
      <c r="G169" s="230">
        <v>643361.0</v>
      </c>
      <c r="H169" s="230">
        <v>138700.0</v>
      </c>
      <c r="I169" s="232">
        <f t="shared" si="41"/>
        <v>1808166</v>
      </c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0" customHeight="1">
      <c r="A170" s="76"/>
      <c r="B170" s="250"/>
      <c r="C170" s="256" t="str">
        <f>B169</f>
        <v>リース料</v>
      </c>
      <c r="D170" s="231">
        <v>458910.0</v>
      </c>
      <c r="E170" s="231">
        <v>352527.0</v>
      </c>
      <c r="F170" s="231">
        <v>205540.0</v>
      </c>
      <c r="G170" s="231">
        <v>66840.0</v>
      </c>
      <c r="H170" s="231">
        <v>138700.0</v>
      </c>
      <c r="I170" s="234">
        <f t="shared" si="41"/>
        <v>1016977</v>
      </c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0" customHeight="1">
      <c r="A171" s="76"/>
      <c r="B171" s="250" t="s">
        <v>84</v>
      </c>
      <c r="C171" s="249" t="s">
        <v>40</v>
      </c>
      <c r="D171" s="230">
        <v>267500.0</v>
      </c>
      <c r="E171" s="230">
        <v>465006.0</v>
      </c>
      <c r="F171" s="230">
        <v>559573.0</v>
      </c>
      <c r="G171" s="230">
        <v>416067.0</v>
      </c>
      <c r="H171" s="230">
        <v>143506.0</v>
      </c>
      <c r="I171" s="232">
        <f t="shared" si="41"/>
        <v>1292079</v>
      </c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0" customHeight="1">
      <c r="A172" s="76"/>
      <c r="B172" s="250"/>
      <c r="C172" s="256" t="str">
        <f>B171</f>
        <v>システム利用料</v>
      </c>
      <c r="D172" s="231">
        <v>267500.0</v>
      </c>
      <c r="E172" s="231">
        <v>285599.0</v>
      </c>
      <c r="F172" s="231">
        <v>709573.0</v>
      </c>
      <c r="G172" s="231">
        <v>566067.0</v>
      </c>
      <c r="H172" s="231">
        <v>143506.0</v>
      </c>
      <c r="I172" s="234">
        <f t="shared" si="41"/>
        <v>1262672</v>
      </c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0" customHeight="1">
      <c r="A173" s="76"/>
      <c r="B173" s="250" t="s">
        <v>85</v>
      </c>
      <c r="C173" s="249" t="s">
        <v>40</v>
      </c>
      <c r="D173" s="230">
        <v>354800.0</v>
      </c>
      <c r="E173" s="230">
        <v>487775.0</v>
      </c>
      <c r="F173" s="230">
        <v>570433.0</v>
      </c>
      <c r="G173" s="230">
        <v>570433.0</v>
      </c>
      <c r="H173" s="230">
        <v>0.0</v>
      </c>
      <c r="I173" s="232">
        <f t="shared" si="41"/>
        <v>1413008</v>
      </c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0" customHeight="1">
      <c r="A174" s="76"/>
      <c r="B174" s="250"/>
      <c r="C174" s="256" t="str">
        <f>B173</f>
        <v>保守管理費</v>
      </c>
      <c r="D174" s="231">
        <v>434300.0</v>
      </c>
      <c r="E174" s="231">
        <v>439775.0</v>
      </c>
      <c r="F174" s="231">
        <v>570433.0</v>
      </c>
      <c r="G174" s="231">
        <v>570433.0</v>
      </c>
      <c r="H174" s="231">
        <v>0.0</v>
      </c>
      <c r="I174" s="234">
        <f t="shared" si="41"/>
        <v>1444508</v>
      </c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0" customHeight="1">
      <c r="A175" s="76"/>
      <c r="B175" s="250" t="s">
        <v>86</v>
      </c>
      <c r="C175" s="249" t="s">
        <v>40</v>
      </c>
      <c r="D175" s="230">
        <v>96220.0</v>
      </c>
      <c r="E175" s="230">
        <v>76708.0</v>
      </c>
      <c r="F175" s="230">
        <v>100001.0</v>
      </c>
      <c r="G175" s="230">
        <v>100001.0</v>
      </c>
      <c r="H175" s="237"/>
      <c r="I175" s="232">
        <f t="shared" si="41"/>
        <v>272929</v>
      </c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0" customHeight="1">
      <c r="A176" s="76"/>
      <c r="B176" s="250"/>
      <c r="C176" s="256" t="str">
        <f>B175</f>
        <v>諸会費</v>
      </c>
      <c r="D176" s="231">
        <v>96220.0</v>
      </c>
      <c r="E176" s="231">
        <v>76708.0</v>
      </c>
      <c r="F176" s="231">
        <v>100001.0</v>
      </c>
      <c r="G176" s="231">
        <v>100001.0</v>
      </c>
      <c r="H176" s="238"/>
      <c r="I176" s="234">
        <f t="shared" si="41"/>
        <v>272929</v>
      </c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0" customHeight="1">
      <c r="A177" s="76"/>
      <c r="B177" s="250" t="s">
        <v>114</v>
      </c>
      <c r="C177" s="249" t="s">
        <v>40</v>
      </c>
      <c r="D177" s="230">
        <v>0.0</v>
      </c>
      <c r="E177" s="230">
        <v>0.0</v>
      </c>
      <c r="F177" s="230">
        <v>391650.0</v>
      </c>
      <c r="G177" s="230">
        <v>391650.0</v>
      </c>
      <c r="H177" s="237"/>
      <c r="I177" s="232">
        <f t="shared" si="41"/>
        <v>391650</v>
      </c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0" customHeight="1">
      <c r="A178" s="76"/>
      <c r="B178" s="250"/>
      <c r="C178" s="256" t="str">
        <f>B177</f>
        <v>繰延資産償却</v>
      </c>
      <c r="D178" s="231">
        <v>0.0</v>
      </c>
      <c r="E178" s="231">
        <v>0.0</v>
      </c>
      <c r="F178" s="231">
        <v>391650.0</v>
      </c>
      <c r="G178" s="231">
        <v>391650.0</v>
      </c>
      <c r="H178" s="238"/>
      <c r="I178" s="234">
        <f t="shared" si="41"/>
        <v>391650</v>
      </c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0" customHeight="1">
      <c r="A179" s="76"/>
      <c r="B179" s="250"/>
      <c r="C179" s="249" t="s">
        <v>40</v>
      </c>
      <c r="D179" s="237"/>
      <c r="E179" s="237"/>
      <c r="F179" s="237"/>
      <c r="G179" s="237">
        <v>0.0</v>
      </c>
      <c r="H179" s="237"/>
      <c r="I179" s="232">
        <f t="shared" si="41"/>
        <v>0</v>
      </c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0" customHeight="1">
      <c r="A180" s="76"/>
      <c r="B180" s="250"/>
      <c r="C180" s="256" t="str">
        <f>B179</f>
        <v/>
      </c>
      <c r="D180" s="238"/>
      <c r="E180" s="238"/>
      <c r="F180" s="238"/>
      <c r="G180" s="238">
        <v>0.0</v>
      </c>
      <c r="H180" s="238"/>
      <c r="I180" s="234">
        <f t="shared" si="41"/>
        <v>0</v>
      </c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0" customHeight="1">
      <c r="A181" s="76"/>
      <c r="B181" s="214" t="s">
        <v>31</v>
      </c>
      <c r="C181" s="215" t="s">
        <v>40</v>
      </c>
      <c r="D181" s="276">
        <v>2975591.0</v>
      </c>
      <c r="E181" s="276">
        <v>2975591.0</v>
      </c>
      <c r="F181" s="276">
        <v>2975591.0</v>
      </c>
      <c r="G181" s="276">
        <v>1487796.0</v>
      </c>
      <c r="H181" s="276">
        <v>1487795.0</v>
      </c>
      <c r="I181" s="241">
        <f t="shared" si="41"/>
        <v>8926773</v>
      </c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0" customHeight="1">
      <c r="A182" s="76"/>
      <c r="B182" s="218"/>
      <c r="C182" s="219" t="str">
        <f>B181</f>
        <v>本部費</v>
      </c>
      <c r="D182" s="277">
        <v>2975591.0</v>
      </c>
      <c r="E182" s="277">
        <v>2975591.0</v>
      </c>
      <c r="F182" s="277">
        <v>2975591.0</v>
      </c>
      <c r="G182" s="277">
        <v>1487796.0</v>
      </c>
      <c r="H182" s="277">
        <v>1487795.0</v>
      </c>
      <c r="I182" s="278">
        <f t="shared" si="41"/>
        <v>8926773</v>
      </c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0" customHeight="1">
      <c r="A183" s="76"/>
      <c r="B183" s="223"/>
      <c r="C183" s="279"/>
      <c r="D183" s="225">
        <f t="shared" ref="D183:I183" si="42">D182/D$118</f>
        <v>1.930948086</v>
      </c>
      <c r="E183" s="225">
        <f t="shared" si="42"/>
        <v>2.019230795</v>
      </c>
      <c r="F183" s="225">
        <f t="shared" si="42"/>
        <v>1.0207075</v>
      </c>
      <c r="G183" s="225">
        <f t="shared" si="42"/>
        <v>0.8122771567</v>
      </c>
      <c r="H183" s="226">
        <f t="shared" si="42"/>
        <v>1.373026336</v>
      </c>
      <c r="I183" s="227">
        <f t="shared" si="42"/>
        <v>1.505396089</v>
      </c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0" customHeight="1">
      <c r="A184" s="76"/>
      <c r="B184" s="280" t="s">
        <v>164</v>
      </c>
      <c r="C184" s="215" t="s">
        <v>40</v>
      </c>
      <c r="D184" s="240">
        <f t="shared" ref="D184:I184" si="43">SUM(D187,D189,D191,D193,D195,D197,D199,D201,D203,D205,D207,D209)</f>
        <v>0</v>
      </c>
      <c r="E184" s="240">
        <f t="shared" si="43"/>
        <v>0</v>
      </c>
      <c r="F184" s="240">
        <f t="shared" si="43"/>
        <v>0</v>
      </c>
      <c r="G184" s="240">
        <f t="shared" si="43"/>
        <v>0</v>
      </c>
      <c r="H184" s="240">
        <f t="shared" si="43"/>
        <v>0</v>
      </c>
      <c r="I184" s="241">
        <f t="shared" si="43"/>
        <v>0</v>
      </c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0" customHeight="1">
      <c r="A185" s="76"/>
      <c r="B185" s="218"/>
      <c r="C185" s="219" t="str">
        <f>B184</f>
        <v>その他経費</v>
      </c>
      <c r="D185" s="220">
        <f t="shared" ref="D185:I185" si="44">SUM(D188,D190,D192,D194,D196,D198,D200,D202,D204,D206,D208,D210)</f>
        <v>0</v>
      </c>
      <c r="E185" s="220">
        <f t="shared" si="44"/>
        <v>0</v>
      </c>
      <c r="F185" s="220">
        <f t="shared" si="44"/>
        <v>0</v>
      </c>
      <c r="G185" s="220">
        <f t="shared" si="44"/>
        <v>0</v>
      </c>
      <c r="H185" s="221">
        <f t="shared" si="44"/>
        <v>0</v>
      </c>
      <c r="I185" s="281">
        <f t="shared" si="44"/>
        <v>0</v>
      </c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0" customHeight="1">
      <c r="A186" s="76"/>
      <c r="B186" s="223"/>
      <c r="C186" s="279"/>
      <c r="D186" s="225">
        <f t="shared" ref="D186:I186" si="45">D185/D$118</f>
        <v>0</v>
      </c>
      <c r="E186" s="225">
        <f t="shared" si="45"/>
        <v>0</v>
      </c>
      <c r="F186" s="225">
        <f t="shared" si="45"/>
        <v>0</v>
      </c>
      <c r="G186" s="225">
        <f t="shared" si="45"/>
        <v>0</v>
      </c>
      <c r="H186" s="226">
        <f t="shared" si="45"/>
        <v>0</v>
      </c>
      <c r="I186" s="282">
        <f t="shared" si="45"/>
        <v>0</v>
      </c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0" customHeight="1">
      <c r="A187" s="76"/>
      <c r="B187" s="283"/>
      <c r="C187" s="249" t="s">
        <v>40</v>
      </c>
      <c r="D187" s="237"/>
      <c r="E187" s="237"/>
      <c r="F187" s="237"/>
      <c r="G187" s="237"/>
      <c r="H187" s="237"/>
      <c r="I187" s="232">
        <f t="shared" ref="I187:I210" si="46">SUM(D187:F187)</f>
        <v>0</v>
      </c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0" customHeight="1">
      <c r="A188" s="76"/>
      <c r="B188" s="284"/>
      <c r="C188" s="256" t="str">
        <f>B187</f>
        <v/>
      </c>
      <c r="D188" s="238"/>
      <c r="E188" s="238"/>
      <c r="F188" s="238"/>
      <c r="G188" s="238"/>
      <c r="H188" s="238"/>
      <c r="I188" s="234">
        <f t="shared" si="46"/>
        <v>0</v>
      </c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0" customHeight="1">
      <c r="A189" s="76"/>
      <c r="B189" s="250"/>
      <c r="C189" s="249" t="s">
        <v>40</v>
      </c>
      <c r="D189" s="237"/>
      <c r="E189" s="237"/>
      <c r="F189" s="237"/>
      <c r="G189" s="237"/>
      <c r="H189" s="237"/>
      <c r="I189" s="232">
        <f t="shared" si="46"/>
        <v>0</v>
      </c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0" customHeight="1">
      <c r="A190" s="76"/>
      <c r="B190" s="284"/>
      <c r="C190" s="256" t="str">
        <f>B189</f>
        <v/>
      </c>
      <c r="D190" s="238"/>
      <c r="E190" s="238"/>
      <c r="F190" s="238"/>
      <c r="G190" s="238"/>
      <c r="H190" s="238"/>
      <c r="I190" s="234">
        <f t="shared" si="46"/>
        <v>0</v>
      </c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0" customHeight="1">
      <c r="A191" s="76"/>
      <c r="B191" s="250"/>
      <c r="C191" s="249" t="s">
        <v>40</v>
      </c>
      <c r="D191" s="237"/>
      <c r="E191" s="237"/>
      <c r="F191" s="237"/>
      <c r="G191" s="237"/>
      <c r="H191" s="237"/>
      <c r="I191" s="232">
        <f t="shared" si="46"/>
        <v>0</v>
      </c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0" customHeight="1">
      <c r="A192" s="76"/>
      <c r="B192" s="284"/>
      <c r="C192" s="256" t="str">
        <f>B191</f>
        <v/>
      </c>
      <c r="D192" s="238"/>
      <c r="E192" s="238"/>
      <c r="F192" s="238"/>
      <c r="G192" s="238"/>
      <c r="H192" s="238"/>
      <c r="I192" s="234">
        <f t="shared" si="46"/>
        <v>0</v>
      </c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0" customHeight="1">
      <c r="A193" s="76"/>
      <c r="B193" s="250"/>
      <c r="C193" s="249" t="s">
        <v>40</v>
      </c>
      <c r="D193" s="237"/>
      <c r="E193" s="237"/>
      <c r="F193" s="237"/>
      <c r="G193" s="237"/>
      <c r="H193" s="237"/>
      <c r="I193" s="232">
        <f t="shared" si="46"/>
        <v>0</v>
      </c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0" customHeight="1">
      <c r="A194" s="76"/>
      <c r="B194" s="285"/>
      <c r="C194" s="256" t="str">
        <f>B193</f>
        <v/>
      </c>
      <c r="D194" s="238"/>
      <c r="E194" s="238"/>
      <c r="F194" s="238"/>
      <c r="G194" s="238"/>
      <c r="H194" s="238"/>
      <c r="I194" s="234">
        <f t="shared" si="46"/>
        <v>0</v>
      </c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0" customHeight="1">
      <c r="A195" s="76"/>
      <c r="B195" s="250"/>
      <c r="C195" s="249" t="s">
        <v>40</v>
      </c>
      <c r="D195" s="237"/>
      <c r="E195" s="237"/>
      <c r="F195" s="237"/>
      <c r="G195" s="237"/>
      <c r="H195" s="237"/>
      <c r="I195" s="232">
        <f t="shared" si="46"/>
        <v>0</v>
      </c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0" customHeight="1">
      <c r="A196" s="76"/>
      <c r="B196" s="285"/>
      <c r="C196" s="256" t="str">
        <f>B195</f>
        <v/>
      </c>
      <c r="D196" s="238"/>
      <c r="E196" s="238"/>
      <c r="F196" s="238"/>
      <c r="G196" s="238"/>
      <c r="H196" s="238"/>
      <c r="I196" s="234">
        <f t="shared" si="46"/>
        <v>0</v>
      </c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0" customHeight="1">
      <c r="A197" s="76"/>
      <c r="B197" s="250"/>
      <c r="C197" s="249" t="s">
        <v>40</v>
      </c>
      <c r="D197" s="237"/>
      <c r="E197" s="237"/>
      <c r="F197" s="237"/>
      <c r="G197" s="237"/>
      <c r="H197" s="237"/>
      <c r="I197" s="232">
        <f t="shared" si="46"/>
        <v>0</v>
      </c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0" customHeight="1">
      <c r="A198" s="76"/>
      <c r="B198" s="286"/>
      <c r="C198" s="256" t="str">
        <f>B197</f>
        <v/>
      </c>
      <c r="D198" s="238"/>
      <c r="E198" s="238"/>
      <c r="F198" s="238"/>
      <c r="G198" s="238"/>
      <c r="H198" s="238"/>
      <c r="I198" s="234">
        <f t="shared" si="46"/>
        <v>0</v>
      </c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0" customHeight="1">
      <c r="A199" s="76"/>
      <c r="B199" s="285"/>
      <c r="C199" s="249" t="s">
        <v>40</v>
      </c>
      <c r="D199" s="237"/>
      <c r="E199" s="237"/>
      <c r="F199" s="237"/>
      <c r="G199" s="237"/>
      <c r="H199" s="237"/>
      <c r="I199" s="232">
        <f t="shared" si="46"/>
        <v>0</v>
      </c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0" customHeight="1">
      <c r="A200" s="76"/>
      <c r="B200" s="285"/>
      <c r="C200" s="287" t="str">
        <f>B199</f>
        <v/>
      </c>
      <c r="D200" s="238"/>
      <c r="E200" s="238"/>
      <c r="F200" s="238"/>
      <c r="G200" s="238"/>
      <c r="H200" s="238"/>
      <c r="I200" s="234">
        <f t="shared" si="46"/>
        <v>0</v>
      </c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0" customHeight="1">
      <c r="A201" s="76"/>
      <c r="B201" s="285"/>
      <c r="C201" s="249" t="s">
        <v>40</v>
      </c>
      <c r="D201" s="237"/>
      <c r="E201" s="237"/>
      <c r="F201" s="237"/>
      <c r="G201" s="237"/>
      <c r="H201" s="237"/>
      <c r="I201" s="232">
        <f t="shared" si="46"/>
        <v>0</v>
      </c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0" customHeight="1">
      <c r="A202" s="76"/>
      <c r="B202" s="284"/>
      <c r="C202" s="287" t="str">
        <f>B201</f>
        <v/>
      </c>
      <c r="D202" s="238"/>
      <c r="E202" s="238"/>
      <c r="F202" s="238"/>
      <c r="G202" s="238"/>
      <c r="H202" s="238"/>
      <c r="I202" s="234">
        <f t="shared" si="46"/>
        <v>0</v>
      </c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0" customHeight="1">
      <c r="A203" s="76"/>
      <c r="B203" s="284"/>
      <c r="C203" s="249" t="s">
        <v>40</v>
      </c>
      <c r="D203" s="237"/>
      <c r="E203" s="237"/>
      <c r="F203" s="237"/>
      <c r="G203" s="237"/>
      <c r="H203" s="237"/>
      <c r="I203" s="232">
        <f t="shared" si="46"/>
        <v>0</v>
      </c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0" customHeight="1">
      <c r="A204" s="76"/>
      <c r="B204" s="286"/>
      <c r="C204" s="288" t="str">
        <f>B203</f>
        <v/>
      </c>
      <c r="D204" s="238"/>
      <c r="E204" s="238"/>
      <c r="F204" s="238"/>
      <c r="G204" s="238"/>
      <c r="H204" s="238"/>
      <c r="I204" s="234">
        <f t="shared" si="46"/>
        <v>0</v>
      </c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0" customHeight="1">
      <c r="A205" s="76"/>
      <c r="B205" s="284"/>
      <c r="C205" s="249" t="s">
        <v>40</v>
      </c>
      <c r="D205" s="237"/>
      <c r="E205" s="237"/>
      <c r="F205" s="237"/>
      <c r="G205" s="237"/>
      <c r="H205" s="237"/>
      <c r="I205" s="232">
        <f t="shared" si="46"/>
        <v>0</v>
      </c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0" customHeight="1">
      <c r="A206" s="76"/>
      <c r="B206" s="284"/>
      <c r="C206" s="288" t="str">
        <f>B205</f>
        <v/>
      </c>
      <c r="D206" s="238"/>
      <c r="E206" s="238"/>
      <c r="F206" s="238"/>
      <c r="G206" s="238"/>
      <c r="H206" s="238"/>
      <c r="I206" s="234">
        <f t="shared" si="46"/>
        <v>0</v>
      </c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0" customHeight="1">
      <c r="A207" s="76"/>
      <c r="B207" s="286"/>
      <c r="C207" s="249" t="s">
        <v>40</v>
      </c>
      <c r="D207" s="237"/>
      <c r="E207" s="237"/>
      <c r="F207" s="237"/>
      <c r="G207" s="237"/>
      <c r="H207" s="237"/>
      <c r="I207" s="232">
        <f t="shared" si="46"/>
        <v>0</v>
      </c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0" customHeight="1">
      <c r="A208" s="76"/>
      <c r="B208" s="284"/>
      <c r="C208" s="288" t="str">
        <f>B207</f>
        <v/>
      </c>
      <c r="D208" s="238"/>
      <c r="E208" s="238"/>
      <c r="F208" s="238"/>
      <c r="G208" s="238"/>
      <c r="H208" s="238"/>
      <c r="I208" s="234">
        <f t="shared" si="46"/>
        <v>0</v>
      </c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0" customHeight="1">
      <c r="A209" s="76"/>
      <c r="B209" s="284"/>
      <c r="C209" s="249" t="s">
        <v>40</v>
      </c>
      <c r="D209" s="289"/>
      <c r="E209" s="289"/>
      <c r="F209" s="290"/>
      <c r="G209" s="289"/>
      <c r="H209" s="289"/>
      <c r="I209" s="232">
        <f t="shared" si="46"/>
        <v>0</v>
      </c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0" customHeight="1">
      <c r="A210" s="76"/>
      <c r="B210" s="291"/>
      <c r="C210" s="292" t="str">
        <f>B209</f>
        <v/>
      </c>
      <c r="D210" s="293"/>
      <c r="E210" s="293"/>
      <c r="F210" s="294"/>
      <c r="G210" s="293"/>
      <c r="H210" s="293"/>
      <c r="I210" s="295">
        <f t="shared" si="46"/>
        <v>0</v>
      </c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0" customHeight="1">
      <c r="A211" s="76"/>
      <c r="B211" s="206" t="s">
        <v>165</v>
      </c>
      <c r="C211" s="296" t="s">
        <v>40</v>
      </c>
      <c r="D211" s="297">
        <f t="shared" ref="D211:I211" si="47">SUM(D68,D105,D162,D181,D184)</f>
        <v>39001026</v>
      </c>
      <c r="E211" s="297">
        <f t="shared" si="47"/>
        <v>34049019</v>
      </c>
      <c r="F211" s="297">
        <f t="shared" si="47"/>
        <v>42570308</v>
      </c>
      <c r="G211" s="297">
        <f t="shared" si="47"/>
        <v>29577925.73</v>
      </c>
      <c r="H211" s="297">
        <f t="shared" si="47"/>
        <v>12992382.27</v>
      </c>
      <c r="I211" s="298">
        <f t="shared" si="47"/>
        <v>115620353</v>
      </c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0" customHeight="1">
      <c r="A212" s="76"/>
      <c r="B212" s="209"/>
      <c r="C212" s="299" t="str">
        <f>B211</f>
        <v>販管費合計</v>
      </c>
      <c r="D212" s="202">
        <f t="shared" ref="D212:I212" si="48">SUM(D69,D106,D163,D182,D185)</f>
        <v>43000747</v>
      </c>
      <c r="E212" s="202">
        <f t="shared" si="48"/>
        <v>35591441</v>
      </c>
      <c r="F212" s="202">
        <f t="shared" si="48"/>
        <v>44582481</v>
      </c>
      <c r="G212" s="202">
        <f t="shared" si="48"/>
        <v>30451326.43</v>
      </c>
      <c r="H212" s="202">
        <f t="shared" si="48"/>
        <v>14131154.57</v>
      </c>
      <c r="I212" s="203">
        <f t="shared" si="48"/>
        <v>123174669</v>
      </c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0" customHeight="1">
      <c r="A213" s="76"/>
      <c r="B213" s="209"/>
      <c r="C213" s="299"/>
      <c r="D213" s="183">
        <f t="shared" ref="D213:I213" si="49">D211/D$118</f>
        <v>25.3089072</v>
      </c>
      <c r="E213" s="183">
        <f t="shared" si="49"/>
        <v>23.10560414</v>
      </c>
      <c r="F213" s="183">
        <f t="shared" si="49"/>
        <v>14.60275711</v>
      </c>
      <c r="G213" s="183">
        <f t="shared" si="49"/>
        <v>16.14836538</v>
      </c>
      <c r="H213" s="183">
        <f t="shared" si="49"/>
        <v>11.99014852</v>
      </c>
      <c r="I213" s="184">
        <f t="shared" si="49"/>
        <v>19.49802322</v>
      </c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0" customHeight="1">
      <c r="A214" s="76"/>
      <c r="B214" s="300" t="s">
        <v>166</v>
      </c>
      <c r="C214" s="301"/>
      <c r="D214" s="302">
        <f t="shared" ref="D214:I214" si="50">D66-D212</f>
        <v>19294473</v>
      </c>
      <c r="E214" s="303">
        <f t="shared" si="50"/>
        <v>8544659</v>
      </c>
      <c r="F214" s="303">
        <f t="shared" si="50"/>
        <v>14946612</v>
      </c>
      <c r="G214" s="303">
        <f t="shared" si="50"/>
        <v>12391976.57</v>
      </c>
      <c r="H214" s="303">
        <f t="shared" si="50"/>
        <v>2554635.435</v>
      </c>
      <c r="I214" s="304">
        <f t="shared" si="50"/>
        <v>42785744</v>
      </c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0" customHeight="1">
      <c r="A215" s="76"/>
      <c r="B215" s="305"/>
      <c r="C215" s="306"/>
      <c r="D215" s="307">
        <f t="shared" ref="D215:I215" si="51">D214/D$118</f>
        <v>12.52074822</v>
      </c>
      <c r="E215" s="307">
        <f t="shared" si="51"/>
        <v>5.798390501</v>
      </c>
      <c r="F215" s="307">
        <f t="shared" si="51"/>
        <v>5.12708869</v>
      </c>
      <c r="G215" s="307">
        <f t="shared" si="51"/>
        <v>6.765523963</v>
      </c>
      <c r="H215" s="307">
        <f t="shared" si="51"/>
        <v>2.357570586</v>
      </c>
      <c r="I215" s="308">
        <f t="shared" si="51"/>
        <v>7.215316408</v>
      </c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0" customHeight="1">
      <c r="A216" s="76"/>
      <c r="B216" s="309" t="s">
        <v>167</v>
      </c>
      <c r="C216" s="310"/>
      <c r="D216" s="311"/>
      <c r="E216" s="311"/>
      <c r="F216" s="311"/>
      <c r="G216" s="311"/>
      <c r="H216" s="311"/>
      <c r="I216" s="312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0" customHeight="1">
      <c r="A217" s="76"/>
      <c r="B217" s="313"/>
      <c r="C217" s="314"/>
      <c r="D217" s="315"/>
      <c r="E217" s="315"/>
      <c r="F217" s="315"/>
      <c r="G217" s="316"/>
      <c r="H217" s="315"/>
      <c r="I217" s="317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0" customHeight="1">
      <c r="A218" s="76"/>
      <c r="B218" s="318" t="s">
        <v>90</v>
      </c>
      <c r="C218" s="319"/>
      <c r="D218" s="319">
        <f t="shared" ref="D218:I218" si="52">D65-D211</f>
        <v>19027708</v>
      </c>
      <c r="E218" s="319">
        <f t="shared" si="52"/>
        <v>9175774</v>
      </c>
      <c r="F218" s="319">
        <f t="shared" si="52"/>
        <v>14352825</v>
      </c>
      <c r="G218" s="319">
        <f t="shared" si="52"/>
        <v>10831378.27</v>
      </c>
      <c r="H218" s="319">
        <f t="shared" si="52"/>
        <v>3521446.73</v>
      </c>
      <c r="I218" s="319">
        <f t="shared" si="52"/>
        <v>42556307</v>
      </c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0" customHeight="1">
      <c r="A219" s="76"/>
      <c r="B219" s="320" t="s">
        <v>168</v>
      </c>
      <c r="C219" s="320"/>
      <c r="D219" s="321">
        <v>4110738.0</v>
      </c>
      <c r="E219" s="321">
        <v>1.0643378E7</v>
      </c>
      <c r="F219" s="321">
        <v>9437064.0</v>
      </c>
      <c r="G219" s="321">
        <v>6291376.0</v>
      </c>
      <c r="H219" s="321">
        <v>3145688.0</v>
      </c>
      <c r="I219" s="322">
        <v>2.419118E7</v>
      </c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rintOptions/>
  <pageMargins bottom="0.7480314960629921" footer="0.0" header="0.0" left="0.7086614173228347" right="0.5118110236220472" top="0.7480314960629921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71"/>
    <col customWidth="1" min="2" max="2" width="17.14"/>
    <col customWidth="1" min="3" max="3" width="31.14"/>
    <col customWidth="1" min="4" max="4" width="12.43"/>
    <col customWidth="1" min="5" max="5" width="13.0"/>
    <col customWidth="1" min="6" max="7" width="12.43"/>
    <col customWidth="1" min="8" max="8" width="14.57"/>
    <col customWidth="1" min="9" max="9" width="11.57"/>
    <col customWidth="1" min="10" max="11" width="12.43"/>
    <col customWidth="1" min="12" max="26" width="8.71"/>
  </cols>
  <sheetData>
    <row r="1" ht="14.25" customHeight="1">
      <c r="B1" s="92"/>
      <c r="C1" s="92"/>
    </row>
    <row r="2" ht="14.25" customHeight="1">
      <c r="B2" s="92"/>
      <c r="C2" s="92"/>
      <c r="D2" s="239" t="s">
        <v>169</v>
      </c>
    </row>
    <row r="3" ht="14.25" customHeight="1">
      <c r="B3" s="92"/>
      <c r="C3" s="92"/>
    </row>
    <row r="4" ht="14.25" customHeight="1">
      <c r="B4" s="323" t="str">
        <f>【提出用】5月度TGR全体PL※編集不要!B1</f>
        <v>#ERROR!</v>
      </c>
      <c r="C4" s="324"/>
      <c r="D4" s="325" t="s">
        <v>170</v>
      </c>
      <c r="E4" s="326" t="s">
        <v>171</v>
      </c>
      <c r="F4" s="325" t="s">
        <v>3</v>
      </c>
      <c r="G4" s="326" t="s">
        <v>4</v>
      </c>
      <c r="H4" s="326" t="s">
        <v>5</v>
      </c>
      <c r="I4" s="325" t="s">
        <v>6</v>
      </c>
      <c r="J4" s="325" t="s">
        <v>8</v>
      </c>
      <c r="K4" s="327" t="s">
        <v>123</v>
      </c>
    </row>
    <row r="5" ht="14.25" customHeight="1">
      <c r="B5" s="328" t="s">
        <v>38</v>
      </c>
      <c r="C5" s="329"/>
      <c r="D5" s="330">
        <v>6261519.999999999</v>
      </c>
      <c r="E5" s="331">
        <v>1.0948E7</v>
      </c>
      <c r="F5" s="331">
        <v>3.096072693E7</v>
      </c>
      <c r="G5" s="331">
        <v>3943296.5</v>
      </c>
      <c r="H5" s="331">
        <v>6117123.25</v>
      </c>
      <c r="I5" s="330">
        <v>5911717.0</v>
      </c>
      <c r="J5" s="330">
        <v>7766400.0</v>
      </c>
      <c r="K5" s="332">
        <v>7.190878368E7</v>
      </c>
    </row>
    <row r="6" ht="14.25" customHeight="1">
      <c r="B6" s="333" t="s">
        <v>37</v>
      </c>
      <c r="C6" s="334"/>
      <c r="D6" s="335">
        <v>7350480.000000001</v>
      </c>
      <c r="E6" s="336">
        <v>4692000.0</v>
      </c>
      <c r="F6" s="336">
        <v>1.818328407E7</v>
      </c>
      <c r="G6" s="336">
        <v>1571803.4999999998</v>
      </c>
      <c r="H6" s="336">
        <v>1985026.75</v>
      </c>
      <c r="I6" s="335">
        <v>0.0</v>
      </c>
      <c r="J6" s="335">
        <v>1833600.0</v>
      </c>
      <c r="K6" s="337">
        <v>3.561619432E7</v>
      </c>
    </row>
    <row r="7" ht="14.25" customHeight="1">
      <c r="B7" s="338" t="s">
        <v>172</v>
      </c>
      <c r="C7" s="339"/>
      <c r="D7" s="340">
        <v>0.54</v>
      </c>
      <c r="E7" s="341">
        <v>0.3</v>
      </c>
      <c r="F7" s="341">
        <v>0.37</v>
      </c>
      <c r="G7" s="341">
        <v>0.285</v>
      </c>
      <c r="H7" s="341">
        <v>0.245</v>
      </c>
      <c r="I7" s="342"/>
      <c r="J7" s="342">
        <v>0.191</v>
      </c>
      <c r="K7" s="343"/>
    </row>
    <row r="8" ht="14.25" customHeight="1">
      <c r="B8" s="344" t="s">
        <v>24</v>
      </c>
      <c r="C8" s="345" t="s">
        <v>24</v>
      </c>
      <c r="D8" s="346">
        <v>1.3612E7</v>
      </c>
      <c r="E8" s="347">
        <v>1.564E7</v>
      </c>
      <c r="F8" s="347">
        <v>4.9144011E7</v>
      </c>
      <c r="G8" s="347">
        <v>5515100.0</v>
      </c>
      <c r="H8" s="347">
        <v>8102150.0</v>
      </c>
      <c r="I8" s="346">
        <v>5911717.0</v>
      </c>
      <c r="J8" s="346">
        <v>9600000.0</v>
      </c>
      <c r="K8" s="348">
        <v>1.07524978E8</v>
      </c>
    </row>
    <row r="9" ht="14.25" customHeight="1">
      <c r="B9" s="181"/>
      <c r="C9" s="182"/>
      <c r="D9" s="349">
        <v>1.0</v>
      </c>
      <c r="E9" s="183">
        <v>1.0</v>
      </c>
      <c r="F9" s="183">
        <v>1.0</v>
      </c>
      <c r="G9" s="183">
        <v>1.0</v>
      </c>
      <c r="H9" s="183">
        <v>1.0</v>
      </c>
      <c r="I9" s="349">
        <v>1.0</v>
      </c>
      <c r="J9" s="349">
        <v>1.0</v>
      </c>
      <c r="K9" s="184">
        <v>1.0</v>
      </c>
    </row>
    <row r="10" ht="14.25" customHeight="1">
      <c r="B10" s="186" t="s">
        <v>107</v>
      </c>
      <c r="C10" s="350" t="s">
        <v>40</v>
      </c>
      <c r="D10" s="351"/>
      <c r="E10" s="352"/>
      <c r="F10" s="352"/>
      <c r="G10" s="352"/>
      <c r="H10" s="352"/>
      <c r="I10" s="351"/>
      <c r="J10" s="351"/>
      <c r="K10" s="353">
        <v>0.0</v>
      </c>
    </row>
    <row r="11" ht="14.25" customHeight="1">
      <c r="B11" s="354"/>
      <c r="C11" s="355" t="str">
        <f>B10</f>
        <v>売店原価</v>
      </c>
      <c r="D11" s="356"/>
      <c r="E11" s="357">
        <v>291216.8</v>
      </c>
      <c r="F11" s="357">
        <v>208984.90677750003</v>
      </c>
      <c r="G11" s="357"/>
      <c r="H11" s="357"/>
      <c r="I11" s="356"/>
      <c r="J11" s="356"/>
      <c r="K11" s="358">
        <v>500201.7067775</v>
      </c>
    </row>
    <row r="12" ht="14.25" customHeight="1">
      <c r="B12" s="189"/>
      <c r="C12" s="359"/>
      <c r="D12" s="360"/>
      <c r="E12" s="361">
        <v>0.7</v>
      </c>
      <c r="F12" s="361">
        <v>0.5</v>
      </c>
      <c r="G12" s="361"/>
      <c r="H12" s="361"/>
      <c r="I12" s="360"/>
      <c r="J12" s="360"/>
      <c r="K12" s="362"/>
    </row>
    <row r="13" ht="14.25" customHeight="1">
      <c r="B13" s="333" t="s">
        <v>136</v>
      </c>
      <c r="C13" s="363" t="s">
        <v>40</v>
      </c>
      <c r="D13" s="364">
        <v>2023238.0</v>
      </c>
      <c r="E13" s="365">
        <v>2209039.0</v>
      </c>
      <c r="F13" s="365">
        <v>8468856.0</v>
      </c>
      <c r="G13" s="365">
        <v>837000.0</v>
      </c>
      <c r="H13" s="365">
        <v>905407.0</v>
      </c>
      <c r="I13" s="364">
        <v>0.0</v>
      </c>
      <c r="J13" s="364">
        <v>325696.0</v>
      </c>
      <c r="K13" s="366">
        <v>1.4769236E7</v>
      </c>
    </row>
    <row r="14" ht="14.25" customHeight="1">
      <c r="B14" s="367"/>
      <c r="C14" s="368" t="str">
        <f>B13</f>
        <v>食材原価</v>
      </c>
      <c r="D14" s="356">
        <v>2425658.4000000004</v>
      </c>
      <c r="E14" s="357">
        <v>2111400.0</v>
      </c>
      <c r="F14" s="357">
        <v>8727976.3536</v>
      </c>
      <c r="G14" s="369">
        <v>705739.7714999999</v>
      </c>
      <c r="H14" s="369">
        <v>891277.01075</v>
      </c>
      <c r="I14" s="356">
        <v>0.0</v>
      </c>
      <c r="J14" s="356">
        <v>641760.0</v>
      </c>
      <c r="K14" s="358">
        <v>1.550381153585E7</v>
      </c>
    </row>
    <row r="15" ht="14.25" customHeight="1">
      <c r="B15" s="194"/>
      <c r="C15" s="370" t="s">
        <v>173</v>
      </c>
      <c r="D15" s="360">
        <v>0.33</v>
      </c>
      <c r="E15" s="361">
        <v>0.45</v>
      </c>
      <c r="F15" s="361">
        <v>0.48</v>
      </c>
      <c r="G15" s="361">
        <v>0.449</v>
      </c>
      <c r="H15" s="361">
        <v>0.449</v>
      </c>
      <c r="I15" s="360"/>
      <c r="J15" s="361">
        <v>0.35</v>
      </c>
      <c r="K15" s="371"/>
    </row>
    <row r="16" ht="14.25" customHeight="1">
      <c r="B16" s="372" t="s">
        <v>25</v>
      </c>
      <c r="C16" s="373" t="s">
        <v>40</v>
      </c>
      <c r="D16" s="374">
        <v>2023238.0</v>
      </c>
      <c r="E16" s="375">
        <v>2209039.0</v>
      </c>
      <c r="F16" s="375">
        <v>8468856.0</v>
      </c>
      <c r="G16" s="375">
        <v>837000.0</v>
      </c>
      <c r="H16" s="375">
        <v>905407.0</v>
      </c>
      <c r="I16" s="374">
        <v>0.0</v>
      </c>
      <c r="J16" s="374">
        <v>325696.0</v>
      </c>
      <c r="K16" s="376">
        <v>1.4769236E7</v>
      </c>
    </row>
    <row r="17" ht="14.25" customHeight="1">
      <c r="B17" s="200"/>
      <c r="C17" s="377" t="str">
        <f>B16</f>
        <v>売上原価</v>
      </c>
      <c r="D17" s="378">
        <v>2425658.4000000004</v>
      </c>
      <c r="E17" s="379">
        <v>2402616.8</v>
      </c>
      <c r="F17" s="379">
        <v>8936961.260377498</v>
      </c>
      <c r="G17" s="379">
        <v>705739.7714999999</v>
      </c>
      <c r="H17" s="379">
        <v>891277.01075</v>
      </c>
      <c r="I17" s="378">
        <v>0.0</v>
      </c>
      <c r="J17" s="379">
        <v>641760.0</v>
      </c>
      <c r="K17" s="203">
        <v>1.60040132426275E7</v>
      </c>
    </row>
    <row r="18" ht="14.25" customHeight="1">
      <c r="B18" s="200"/>
      <c r="C18" s="380"/>
      <c r="D18" s="381">
        <v>0.17820000000000003</v>
      </c>
      <c r="E18" s="382">
        <v>0.15361999999999998</v>
      </c>
      <c r="F18" s="382">
        <v>0.18185249999999997</v>
      </c>
      <c r="G18" s="382">
        <v>0.127965</v>
      </c>
      <c r="H18" s="382">
        <v>0.110005</v>
      </c>
      <c r="I18" s="381">
        <v>0.0</v>
      </c>
      <c r="J18" s="381">
        <v>0.06685</v>
      </c>
      <c r="K18" s="383">
        <v>0.1488399583083616</v>
      </c>
    </row>
    <row r="19" ht="14.25" customHeight="1">
      <c r="B19" s="384" t="s">
        <v>27</v>
      </c>
      <c r="C19" s="373" t="s">
        <v>40</v>
      </c>
      <c r="D19" s="385">
        <v>1.3812802E7</v>
      </c>
      <c r="E19" s="386">
        <v>1.3205711E7</v>
      </c>
      <c r="F19" s="386">
        <v>3.4974544E7</v>
      </c>
      <c r="G19" s="386">
        <v>5487000.0</v>
      </c>
      <c r="H19" s="386">
        <v>7745692.0</v>
      </c>
      <c r="I19" s="385">
        <v>3720000.0</v>
      </c>
      <c r="J19" s="385">
        <v>1.0410224E7</v>
      </c>
      <c r="K19" s="387">
        <v>8.9355973E7</v>
      </c>
    </row>
    <row r="20" ht="14.25" customHeight="1">
      <c r="B20" s="209"/>
      <c r="C20" s="388" t="str">
        <f>B19</f>
        <v>売上総利益</v>
      </c>
      <c r="D20" s="389">
        <v>1.11863416E7</v>
      </c>
      <c r="E20" s="202">
        <v>1.32373832E7</v>
      </c>
      <c r="F20" s="202">
        <v>4.02070497396225E7</v>
      </c>
      <c r="G20" s="202">
        <v>4809360.2285</v>
      </c>
      <c r="H20" s="202">
        <v>7210872.98925</v>
      </c>
      <c r="I20" s="389">
        <v>5911717.0</v>
      </c>
      <c r="J20" s="389">
        <v>8958240.0</v>
      </c>
      <c r="K20" s="203">
        <v>9.15209647573725E7</v>
      </c>
    </row>
    <row r="21" ht="14.25" customHeight="1">
      <c r="B21" s="209"/>
      <c r="C21" s="390"/>
      <c r="D21" s="381">
        <v>0.8218</v>
      </c>
      <c r="E21" s="382">
        <v>0.8463799999999999</v>
      </c>
      <c r="F21" s="382">
        <v>0.8181475</v>
      </c>
      <c r="G21" s="382">
        <v>0.872035</v>
      </c>
      <c r="H21" s="382">
        <v>0.889995</v>
      </c>
      <c r="I21" s="381">
        <v>1.0</v>
      </c>
      <c r="J21" s="381">
        <v>0.93315</v>
      </c>
      <c r="K21" s="184">
        <v>0.8511600416916384</v>
      </c>
    </row>
    <row r="22" ht="14.25" customHeight="1">
      <c r="B22" s="333" t="s">
        <v>28</v>
      </c>
      <c r="C22" s="363" t="s">
        <v>40</v>
      </c>
      <c r="D22" s="364">
        <v>6227052.0</v>
      </c>
      <c r="E22" s="365">
        <v>3652890.0</v>
      </c>
      <c r="F22" s="365">
        <v>1.1820689E7</v>
      </c>
      <c r="G22" s="365">
        <v>2701842.0</v>
      </c>
      <c r="H22" s="365">
        <v>2435000.0</v>
      </c>
      <c r="I22" s="365">
        <v>1671350.0</v>
      </c>
      <c r="J22" s="365">
        <v>3105800.0</v>
      </c>
      <c r="K22" s="366">
        <v>3.1614623E7</v>
      </c>
    </row>
    <row r="23" ht="14.25" customHeight="1">
      <c r="B23" s="391"/>
      <c r="C23" s="368" t="str">
        <f>B22</f>
        <v>人件費</v>
      </c>
      <c r="D23" s="356">
        <v>5448985.0</v>
      </c>
      <c r="E23" s="357">
        <v>4303670.0</v>
      </c>
      <c r="F23" s="357">
        <v>1.0907073E7</v>
      </c>
      <c r="G23" s="357">
        <v>2324908.0</v>
      </c>
      <c r="H23" s="357">
        <v>2625726.0</v>
      </c>
      <c r="I23" s="356">
        <v>1966482.0</v>
      </c>
      <c r="J23" s="356">
        <v>3335879.0</v>
      </c>
      <c r="K23" s="358">
        <v>3.0912723E7</v>
      </c>
    </row>
    <row r="24" ht="14.25" customHeight="1">
      <c r="B24" s="392"/>
      <c r="C24" s="393"/>
      <c r="D24" s="342">
        <v>0.40030744930943285</v>
      </c>
      <c r="E24" s="394">
        <v>0.27517071611253197</v>
      </c>
      <c r="F24" s="394">
        <v>0.22194104180873636</v>
      </c>
      <c r="G24" s="394">
        <v>0.4215531903319976</v>
      </c>
      <c r="H24" s="394">
        <v>0.32407768308411966</v>
      </c>
      <c r="I24" s="342">
        <v>0.3326414305691561</v>
      </c>
      <c r="J24" s="342">
        <v>0.3474873958333333</v>
      </c>
      <c r="K24" s="343">
        <v>0.28749341385589494</v>
      </c>
    </row>
    <row r="25" ht="14.25" customHeight="1">
      <c r="B25" s="395" t="s">
        <v>42</v>
      </c>
      <c r="C25" s="396" t="s">
        <v>40</v>
      </c>
      <c r="D25" s="397">
        <v>0.0</v>
      </c>
      <c r="E25" s="398">
        <v>0.0</v>
      </c>
      <c r="F25" s="398">
        <v>0.0</v>
      </c>
      <c r="G25" s="398">
        <v>0.0</v>
      </c>
      <c r="H25" s="398">
        <v>0.0</v>
      </c>
      <c r="I25" s="397">
        <v>0.0</v>
      </c>
      <c r="J25" s="397">
        <v>0.0</v>
      </c>
      <c r="K25" s="399">
        <v>0.0</v>
      </c>
    </row>
    <row r="26" ht="14.25" customHeight="1">
      <c r="B26" s="395"/>
      <c r="C26" s="400" t="str">
        <f>B25</f>
        <v>役員報酬</v>
      </c>
      <c r="D26" s="401">
        <v>0.0</v>
      </c>
      <c r="E26" s="402">
        <v>0.0</v>
      </c>
      <c r="F26" s="402">
        <v>0.0</v>
      </c>
      <c r="G26" s="402">
        <v>0.0</v>
      </c>
      <c r="H26" s="402">
        <v>0.0</v>
      </c>
      <c r="I26" s="403">
        <v>0.0</v>
      </c>
      <c r="J26" s="403">
        <v>0.0</v>
      </c>
      <c r="K26" s="404">
        <v>0.0</v>
      </c>
    </row>
    <row r="27" ht="14.25" customHeight="1">
      <c r="B27" s="395" t="s">
        <v>43</v>
      </c>
      <c r="C27" s="396" t="s">
        <v>40</v>
      </c>
      <c r="D27" s="405">
        <v>2739500.0</v>
      </c>
      <c r="E27" s="406">
        <v>1576500.0</v>
      </c>
      <c r="F27" s="406">
        <v>5107000.0</v>
      </c>
      <c r="G27" s="406">
        <v>1774000.0</v>
      </c>
      <c r="H27" s="406">
        <v>1762000.0</v>
      </c>
      <c r="I27" s="407">
        <v>1085000.0</v>
      </c>
      <c r="J27" s="407">
        <v>1755000.0</v>
      </c>
      <c r="K27" s="408">
        <v>1.5799E7</v>
      </c>
    </row>
    <row r="28" ht="14.25" customHeight="1">
      <c r="B28" s="395"/>
      <c r="C28" s="400" t="str">
        <f>B27</f>
        <v>給与手当</v>
      </c>
      <c r="D28" s="401">
        <v>2336945.0</v>
      </c>
      <c r="E28" s="402">
        <v>2345230.0</v>
      </c>
      <c r="F28" s="402">
        <v>4441818.0</v>
      </c>
      <c r="G28" s="402">
        <v>1613865.0</v>
      </c>
      <c r="H28" s="402">
        <v>1881476.0</v>
      </c>
      <c r="I28" s="403">
        <v>1166111.0</v>
      </c>
      <c r="J28" s="403">
        <v>1690479.0</v>
      </c>
      <c r="K28" s="404">
        <v>1.5475924E7</v>
      </c>
    </row>
    <row r="29" ht="14.25" customHeight="1">
      <c r="B29" s="395" t="s">
        <v>44</v>
      </c>
      <c r="C29" s="396" t="s">
        <v>40</v>
      </c>
      <c r="D29" s="406">
        <v>898000.0</v>
      </c>
      <c r="E29" s="406">
        <v>1289000.0</v>
      </c>
      <c r="F29" s="406">
        <v>4031000.0</v>
      </c>
      <c r="G29" s="406">
        <v>377000.0</v>
      </c>
      <c r="H29" s="406">
        <v>140000.0</v>
      </c>
      <c r="I29" s="407">
        <v>274000.0</v>
      </c>
      <c r="J29" s="407">
        <v>751000.0</v>
      </c>
      <c r="K29" s="408">
        <v>7760000.0</v>
      </c>
    </row>
    <row r="30" ht="14.25" customHeight="1">
      <c r="B30" s="395"/>
      <c r="C30" s="400" t="str">
        <f>B29</f>
        <v>雑給</v>
      </c>
      <c r="D30" s="402">
        <v>800000.0</v>
      </c>
      <c r="E30" s="402">
        <v>989000.0</v>
      </c>
      <c r="F30" s="402">
        <v>4080880.0</v>
      </c>
      <c r="G30" s="402">
        <v>225000.0</v>
      </c>
      <c r="H30" s="402">
        <v>190000.0</v>
      </c>
      <c r="I30" s="403">
        <v>473121.0</v>
      </c>
      <c r="J30" s="403">
        <v>1072000.0</v>
      </c>
      <c r="K30" s="404">
        <v>7830001.0</v>
      </c>
    </row>
    <row r="31" ht="14.25" customHeight="1">
      <c r="B31" s="395" t="s">
        <v>48</v>
      </c>
      <c r="C31" s="396" t="s">
        <v>40</v>
      </c>
      <c r="D31" s="406">
        <v>545625.0</v>
      </c>
      <c r="E31" s="406">
        <v>429825.0</v>
      </c>
      <c r="F31" s="406">
        <v>1370700.0</v>
      </c>
      <c r="G31" s="406">
        <v>322650.0</v>
      </c>
      <c r="H31" s="406">
        <v>285300.0</v>
      </c>
      <c r="I31" s="407">
        <v>203850.0</v>
      </c>
      <c r="J31" s="407">
        <v>280800.0</v>
      </c>
      <c r="K31" s="408">
        <v>3438750.0</v>
      </c>
    </row>
    <row r="32" ht="14.25" customHeight="1">
      <c r="B32" s="395"/>
      <c r="C32" s="400" t="str">
        <f>B31</f>
        <v>法定福利費</v>
      </c>
      <c r="D32" s="402">
        <v>470625.0</v>
      </c>
      <c r="E32" s="402">
        <v>519375.0</v>
      </c>
      <c r="F32" s="402">
        <v>1240632.0</v>
      </c>
      <c r="G32" s="402">
        <v>274650.0</v>
      </c>
      <c r="H32" s="402">
        <v>289950.0</v>
      </c>
      <c r="I32" s="403">
        <v>223350.0</v>
      </c>
      <c r="J32" s="403">
        <v>254400.0</v>
      </c>
      <c r="K32" s="404">
        <v>3272982.0</v>
      </c>
    </row>
    <row r="33" ht="14.25" customHeight="1">
      <c r="B33" s="395" t="s">
        <v>47</v>
      </c>
      <c r="C33" s="396" t="s">
        <v>40</v>
      </c>
      <c r="D33" s="406">
        <v>273950.0</v>
      </c>
      <c r="E33" s="406">
        <v>157650.0</v>
      </c>
      <c r="F33" s="406">
        <v>510700.0</v>
      </c>
      <c r="G33" s="406">
        <v>177400.0</v>
      </c>
      <c r="H33" s="406">
        <v>157700.0</v>
      </c>
      <c r="I33" s="407">
        <v>108500.0</v>
      </c>
      <c r="J33" s="407">
        <v>159000.0</v>
      </c>
      <c r="K33" s="408">
        <v>1544900.0</v>
      </c>
    </row>
    <row r="34" ht="14.25" customHeight="1">
      <c r="B34" s="395"/>
      <c r="C34" s="400" t="str">
        <f>B33</f>
        <v>賞与引当金繰入</v>
      </c>
      <c r="D34" s="402">
        <v>233750.0</v>
      </c>
      <c r="E34" s="402">
        <v>250150.0</v>
      </c>
      <c r="F34" s="402">
        <v>449000.0</v>
      </c>
      <c r="G34" s="402">
        <v>160600.0</v>
      </c>
      <c r="H34" s="402">
        <v>174300.0</v>
      </c>
      <c r="I34" s="403">
        <v>103900.0</v>
      </c>
      <c r="J34" s="403">
        <v>159000.0</v>
      </c>
      <c r="K34" s="404">
        <v>1530700.0</v>
      </c>
    </row>
    <row r="35" ht="14.25" customHeight="1">
      <c r="B35" s="395" t="s">
        <v>49</v>
      </c>
      <c r="C35" s="396" t="s">
        <v>40</v>
      </c>
      <c r="D35" s="406">
        <v>167665.0</v>
      </c>
      <c r="E35" s="406">
        <v>167665.0</v>
      </c>
      <c r="F35" s="406">
        <v>344743.0</v>
      </c>
      <c r="G35" s="406">
        <v>50792.0</v>
      </c>
      <c r="H35" s="406">
        <v>90000.0</v>
      </c>
      <c r="I35" s="407">
        <v>0.0</v>
      </c>
      <c r="J35" s="407">
        <v>160000.0</v>
      </c>
      <c r="K35" s="408">
        <v>980865.0</v>
      </c>
    </row>
    <row r="36" ht="14.25" customHeight="1">
      <c r="B36" s="395"/>
      <c r="C36" s="400" t="str">
        <f>B35</f>
        <v>福利厚生費</v>
      </c>
      <c r="D36" s="402">
        <v>167665.0</v>
      </c>
      <c r="E36" s="402">
        <v>167665.0</v>
      </c>
      <c r="F36" s="402">
        <v>344743.0</v>
      </c>
      <c r="G36" s="402">
        <v>50793.0</v>
      </c>
      <c r="H36" s="402">
        <v>90000.0</v>
      </c>
      <c r="I36" s="403">
        <v>0.0</v>
      </c>
      <c r="J36" s="403">
        <v>160000.0</v>
      </c>
      <c r="K36" s="404">
        <v>980866.0</v>
      </c>
    </row>
    <row r="37" ht="14.25" customHeight="1">
      <c r="B37" s="395" t="s">
        <v>50</v>
      </c>
      <c r="C37" s="396" t="s">
        <v>40</v>
      </c>
      <c r="D37" s="406">
        <v>0.0</v>
      </c>
      <c r="E37" s="406">
        <v>0.0</v>
      </c>
      <c r="F37" s="406">
        <v>130546.0</v>
      </c>
      <c r="G37" s="406">
        <v>0.0</v>
      </c>
      <c r="H37" s="406">
        <v>0.0</v>
      </c>
      <c r="I37" s="407">
        <v>0.0</v>
      </c>
      <c r="J37" s="407">
        <v>0.0</v>
      </c>
      <c r="K37" s="408">
        <v>130546.0</v>
      </c>
    </row>
    <row r="38" ht="14.25" customHeight="1">
      <c r="B38" s="395"/>
      <c r="C38" s="400" t="str">
        <f>B37</f>
        <v>派遣外注費</v>
      </c>
      <c r="D38" s="402">
        <v>240000.0</v>
      </c>
      <c r="E38" s="402">
        <v>0.0</v>
      </c>
      <c r="F38" s="402">
        <v>350000.0</v>
      </c>
      <c r="G38" s="402">
        <v>0.0</v>
      </c>
      <c r="H38" s="402">
        <v>0.0</v>
      </c>
      <c r="I38" s="403">
        <v>0.0</v>
      </c>
      <c r="J38" s="403">
        <v>0.0</v>
      </c>
      <c r="K38" s="404">
        <v>590000.0</v>
      </c>
    </row>
    <row r="39" ht="14.25" customHeight="1">
      <c r="B39" s="395" t="s">
        <v>51</v>
      </c>
      <c r="C39" s="396" t="s">
        <v>40</v>
      </c>
      <c r="D39" s="406">
        <v>102312.0</v>
      </c>
      <c r="E39" s="406">
        <v>0.0</v>
      </c>
      <c r="F39" s="406">
        <v>0.0</v>
      </c>
      <c r="G39" s="406">
        <v>0.0</v>
      </c>
      <c r="H39" s="406">
        <v>0.0</v>
      </c>
      <c r="I39" s="407">
        <v>0.0</v>
      </c>
      <c r="J39" s="407">
        <v>0.0</v>
      </c>
      <c r="K39" s="408">
        <v>102312.0</v>
      </c>
    </row>
    <row r="40" ht="14.25" customHeight="1">
      <c r="B40" s="395"/>
      <c r="C40" s="400" t="str">
        <f>B39</f>
        <v>委託外注費</v>
      </c>
      <c r="D40" s="402">
        <v>0.0</v>
      </c>
      <c r="E40" s="402">
        <v>0.0</v>
      </c>
      <c r="F40" s="402">
        <v>0.0</v>
      </c>
      <c r="G40" s="402">
        <v>0.0</v>
      </c>
      <c r="H40" s="402">
        <v>0.0</v>
      </c>
      <c r="I40" s="403">
        <v>0.0</v>
      </c>
      <c r="J40" s="403">
        <v>0.0</v>
      </c>
      <c r="K40" s="404">
        <v>0.0</v>
      </c>
    </row>
    <row r="41" ht="14.25" customHeight="1">
      <c r="B41" s="395" t="s">
        <v>52</v>
      </c>
      <c r="C41" s="396" t="s">
        <v>40</v>
      </c>
      <c r="D41" s="406">
        <v>0.0</v>
      </c>
      <c r="E41" s="406">
        <v>0.0</v>
      </c>
      <c r="F41" s="406">
        <v>0.0</v>
      </c>
      <c r="G41" s="406">
        <v>0.0</v>
      </c>
      <c r="H41" s="406">
        <v>0.0</v>
      </c>
      <c r="I41" s="407">
        <v>0.0</v>
      </c>
      <c r="J41" s="407">
        <v>0.0</v>
      </c>
      <c r="K41" s="408">
        <v>0.0</v>
      </c>
    </row>
    <row r="42" ht="14.25" customHeight="1">
      <c r="B42" s="395"/>
      <c r="C42" s="400" t="str">
        <f>B41</f>
        <v>清掃費（外注）</v>
      </c>
      <c r="D42" s="402">
        <v>0.0</v>
      </c>
      <c r="E42" s="402">
        <v>0.0</v>
      </c>
      <c r="F42" s="402">
        <v>0.0</v>
      </c>
      <c r="G42" s="402">
        <v>0.0</v>
      </c>
      <c r="H42" s="402">
        <v>0.0</v>
      </c>
      <c r="I42" s="403">
        <v>0.0</v>
      </c>
      <c r="J42" s="403">
        <v>0.0</v>
      </c>
      <c r="K42" s="404">
        <v>0.0</v>
      </c>
    </row>
    <row r="43" ht="14.25" customHeight="1">
      <c r="B43" s="395" t="s">
        <v>53</v>
      </c>
      <c r="C43" s="396" t="s">
        <v>40</v>
      </c>
      <c r="D43" s="406">
        <v>1500000.0</v>
      </c>
      <c r="E43" s="406">
        <v>32250.0</v>
      </c>
      <c r="F43" s="406">
        <v>326000.0</v>
      </c>
      <c r="G43" s="406">
        <v>0.0</v>
      </c>
      <c r="H43" s="406">
        <v>0.0</v>
      </c>
      <c r="I43" s="407">
        <v>0.0</v>
      </c>
      <c r="J43" s="407">
        <v>0.0</v>
      </c>
      <c r="K43" s="408">
        <v>1858250.0</v>
      </c>
    </row>
    <row r="44" ht="14.25" customHeight="1">
      <c r="B44" s="409"/>
      <c r="C44" s="410" t="str">
        <f>B43</f>
        <v>業務委託費</v>
      </c>
      <c r="D44" s="411">
        <v>1200000.0</v>
      </c>
      <c r="E44" s="411">
        <v>32250.0</v>
      </c>
      <c r="F44" s="411">
        <v>0.0</v>
      </c>
      <c r="G44" s="411">
        <v>0.0</v>
      </c>
      <c r="H44" s="411">
        <v>0.0</v>
      </c>
      <c r="I44" s="401">
        <v>0.0</v>
      </c>
      <c r="J44" s="401">
        <v>0.0</v>
      </c>
      <c r="K44" s="412">
        <v>1232250.0</v>
      </c>
    </row>
    <row r="45" ht="14.25" customHeight="1">
      <c r="B45" s="413" t="s">
        <v>29</v>
      </c>
      <c r="C45" s="414" t="s">
        <v>40</v>
      </c>
      <c r="D45" s="365">
        <v>4440166.0</v>
      </c>
      <c r="E45" s="365">
        <v>4316262.0</v>
      </c>
      <c r="F45" s="365">
        <v>1.1841911E7</v>
      </c>
      <c r="G45" s="365">
        <v>2296294.0</v>
      </c>
      <c r="H45" s="365">
        <v>2794506.0</v>
      </c>
      <c r="I45" s="364">
        <v>1378755.0</v>
      </c>
      <c r="J45" s="364">
        <v>2986357.0</v>
      </c>
      <c r="K45" s="366">
        <v>3.0054251E7</v>
      </c>
    </row>
    <row r="46" ht="14.25" customHeight="1">
      <c r="B46" s="391"/>
      <c r="C46" s="368" t="str">
        <f>B45</f>
        <v>運営費</v>
      </c>
      <c r="D46" s="357">
        <v>4573163.3</v>
      </c>
      <c r="E46" s="357">
        <v>4503338.2</v>
      </c>
      <c r="F46" s="357">
        <v>1.136906077E7</v>
      </c>
      <c r="G46" s="357">
        <v>2317177.56</v>
      </c>
      <c r="H46" s="357">
        <v>2683972.235</v>
      </c>
      <c r="I46" s="356">
        <v>1720577.323</v>
      </c>
      <c r="J46" s="356">
        <v>2968291.0</v>
      </c>
      <c r="K46" s="358">
        <v>3.0135580388E7</v>
      </c>
    </row>
    <row r="47" ht="14.25" customHeight="1">
      <c r="B47" s="392"/>
      <c r="C47" s="393"/>
      <c r="D47" s="394">
        <v>0.33596556714663534</v>
      </c>
      <c r="E47" s="394">
        <v>0.28793722506393865</v>
      </c>
      <c r="F47" s="394">
        <v>0.23134173500815797</v>
      </c>
      <c r="G47" s="394">
        <v>0.4201515040525104</v>
      </c>
      <c r="H47" s="394">
        <v>0.33126666810661365</v>
      </c>
      <c r="I47" s="342">
        <v>0.2910452788927481</v>
      </c>
      <c r="J47" s="342">
        <v>0.30919697916666666</v>
      </c>
      <c r="K47" s="343">
        <v>0.28026585960333794</v>
      </c>
    </row>
    <row r="48" ht="14.25" customHeight="1">
      <c r="B48" s="415" t="s">
        <v>55</v>
      </c>
      <c r="C48" s="396" t="s">
        <v>40</v>
      </c>
      <c r="D48" s="416">
        <v>21951.0</v>
      </c>
      <c r="E48" s="416">
        <v>1510.0</v>
      </c>
      <c r="F48" s="416">
        <v>50000.0</v>
      </c>
      <c r="G48" s="416">
        <v>12477.0</v>
      </c>
      <c r="H48" s="416">
        <v>3000.0</v>
      </c>
      <c r="I48" s="417">
        <v>23000.0</v>
      </c>
      <c r="J48" s="417">
        <v>20000.0</v>
      </c>
      <c r="K48" s="418">
        <v>131938.0</v>
      </c>
    </row>
    <row r="49" ht="14.25" customHeight="1">
      <c r="B49" s="415"/>
      <c r="C49" s="419" t="str">
        <f>B48</f>
        <v>広告宣伝費</v>
      </c>
      <c r="D49" s="420">
        <v>21951.0</v>
      </c>
      <c r="E49" s="420">
        <v>1510.0</v>
      </c>
      <c r="F49" s="420">
        <v>50000.0</v>
      </c>
      <c r="G49" s="420">
        <v>12477.0</v>
      </c>
      <c r="H49" s="420">
        <v>3000.0</v>
      </c>
      <c r="I49" s="421">
        <v>23000.0</v>
      </c>
      <c r="J49" s="421">
        <v>20000.0</v>
      </c>
      <c r="K49" s="422">
        <v>131938.0</v>
      </c>
    </row>
    <row r="50" ht="14.25" customHeight="1">
      <c r="B50" s="415" t="s">
        <v>56</v>
      </c>
      <c r="C50" s="396" t="s">
        <v>40</v>
      </c>
      <c r="D50" s="416">
        <v>130647.0</v>
      </c>
      <c r="E50" s="416">
        <v>99425.0</v>
      </c>
      <c r="F50" s="416">
        <v>286726.0</v>
      </c>
      <c r="G50" s="416">
        <v>88220.0</v>
      </c>
      <c r="H50" s="416">
        <v>115492.0</v>
      </c>
      <c r="I50" s="417">
        <v>42408.0</v>
      </c>
      <c r="J50" s="417">
        <v>40260.0</v>
      </c>
      <c r="K50" s="418">
        <v>803178.0</v>
      </c>
    </row>
    <row r="51" ht="14.25" customHeight="1">
      <c r="B51" s="415"/>
      <c r="C51" s="419" t="str">
        <f>B50</f>
        <v>販売促進費</v>
      </c>
      <c r="D51" s="420">
        <v>236120.0</v>
      </c>
      <c r="E51" s="420">
        <v>256400.0</v>
      </c>
      <c r="F51" s="420">
        <v>638872.143</v>
      </c>
      <c r="G51" s="420">
        <v>182726.5</v>
      </c>
      <c r="H51" s="420">
        <v>181021.5</v>
      </c>
      <c r="I51" s="423">
        <v>160299.5134</v>
      </c>
      <c r="J51" s="423">
        <v>96000.0</v>
      </c>
      <c r="K51" s="422">
        <v>1751439.6564000002</v>
      </c>
    </row>
    <row r="52" ht="14.25" customHeight="1">
      <c r="B52" s="415" t="s">
        <v>57</v>
      </c>
      <c r="C52" s="396" t="s">
        <v>40</v>
      </c>
      <c r="D52" s="416">
        <v>1045179.0</v>
      </c>
      <c r="E52" s="416">
        <v>795401.0</v>
      </c>
      <c r="F52" s="416">
        <v>2293812.0</v>
      </c>
      <c r="G52" s="416">
        <v>705758.0</v>
      </c>
      <c r="H52" s="416">
        <v>923937.0</v>
      </c>
      <c r="I52" s="424">
        <v>339264.0</v>
      </c>
      <c r="J52" s="424">
        <v>322078.0</v>
      </c>
      <c r="K52" s="418">
        <v>6425429.0</v>
      </c>
    </row>
    <row r="53" ht="14.25" customHeight="1">
      <c r="B53" s="415"/>
      <c r="C53" s="419" t="str">
        <f>B52</f>
        <v>送客手数料</v>
      </c>
      <c r="D53" s="420">
        <v>823526.0000000001</v>
      </c>
      <c r="E53" s="420">
        <v>661572.0</v>
      </c>
      <c r="F53" s="420">
        <v>2064048.4620000003</v>
      </c>
      <c r="G53" s="420">
        <v>582394.56</v>
      </c>
      <c r="H53" s="420">
        <v>793200.485</v>
      </c>
      <c r="I53" s="421">
        <v>522595.7828000001</v>
      </c>
      <c r="J53" s="421">
        <v>355200.0</v>
      </c>
      <c r="K53" s="422">
        <v>5802537.2898</v>
      </c>
    </row>
    <row r="54" ht="14.25" customHeight="1">
      <c r="B54" s="415" t="s">
        <v>58</v>
      </c>
      <c r="C54" s="396" t="s">
        <v>40</v>
      </c>
      <c r="D54" s="420">
        <v>40200.0</v>
      </c>
      <c r="E54" s="420">
        <v>132800.0</v>
      </c>
      <c r="F54" s="420">
        <v>352800.0</v>
      </c>
      <c r="G54" s="420">
        <v>0.0</v>
      </c>
      <c r="H54" s="420">
        <v>0.0</v>
      </c>
      <c r="I54" s="421">
        <v>47027.0</v>
      </c>
      <c r="J54" s="421">
        <v>38171.0</v>
      </c>
      <c r="K54" s="422">
        <v>610998.0</v>
      </c>
    </row>
    <row r="55" ht="14.25" customHeight="1">
      <c r="B55" s="415"/>
      <c r="C55" s="419" t="str">
        <f>B54</f>
        <v>送客手数料（旅行会社）</v>
      </c>
      <c r="D55" s="420">
        <v>0.0</v>
      </c>
      <c r="E55" s="420">
        <v>0.0</v>
      </c>
      <c r="F55" s="420">
        <v>0.0</v>
      </c>
      <c r="G55" s="420">
        <v>0.0</v>
      </c>
      <c r="H55" s="420">
        <v>0.0</v>
      </c>
      <c r="I55" s="421">
        <v>0.0</v>
      </c>
      <c r="J55" s="421">
        <v>0.0</v>
      </c>
      <c r="K55" s="422">
        <v>0.0</v>
      </c>
    </row>
    <row r="56" ht="14.25" customHeight="1">
      <c r="B56" s="415" t="s">
        <v>59</v>
      </c>
      <c r="C56" s="396" t="s">
        <v>40</v>
      </c>
      <c r="D56" s="416">
        <v>118956.0</v>
      </c>
      <c r="E56" s="416">
        <v>129451.0</v>
      </c>
      <c r="F56" s="416">
        <v>390991.0</v>
      </c>
      <c r="G56" s="416">
        <v>33370.0</v>
      </c>
      <c r="H56" s="416">
        <v>22938.0</v>
      </c>
      <c r="I56" s="417">
        <v>45359.0</v>
      </c>
      <c r="J56" s="417">
        <v>322078.0</v>
      </c>
      <c r="K56" s="418">
        <v>1063143.0</v>
      </c>
    </row>
    <row r="57" ht="14.25" customHeight="1">
      <c r="B57" s="415"/>
      <c r="C57" s="425" t="str">
        <f>B56</f>
        <v>クレジット手数料</v>
      </c>
      <c r="D57" s="420">
        <v>204180.0</v>
      </c>
      <c r="E57" s="420">
        <v>234600.0</v>
      </c>
      <c r="F57" s="420">
        <v>737160.1649999999</v>
      </c>
      <c r="G57" s="420">
        <v>82726.5</v>
      </c>
      <c r="H57" s="420">
        <v>121532.25</v>
      </c>
      <c r="I57" s="421">
        <v>120599.0268</v>
      </c>
      <c r="J57" s="421">
        <v>144000.0</v>
      </c>
      <c r="K57" s="422">
        <v>1644797.9418000001</v>
      </c>
    </row>
    <row r="58" ht="14.25" customHeight="1">
      <c r="B58" s="415" t="s">
        <v>60</v>
      </c>
      <c r="C58" s="426" t="s">
        <v>40</v>
      </c>
      <c r="D58" s="416">
        <v>831313.0</v>
      </c>
      <c r="E58" s="416">
        <v>1031862.0</v>
      </c>
      <c r="F58" s="416">
        <v>2959238.0</v>
      </c>
      <c r="G58" s="416">
        <v>800000.0</v>
      </c>
      <c r="H58" s="416">
        <v>1033064.0</v>
      </c>
      <c r="I58" s="417">
        <v>152532.0</v>
      </c>
      <c r="J58" s="417">
        <v>800000.0</v>
      </c>
      <c r="K58" s="418">
        <v>7608009.0</v>
      </c>
    </row>
    <row r="59" ht="14.25" customHeight="1">
      <c r="B59" s="415"/>
      <c r="C59" s="419" t="str">
        <f>B58</f>
        <v>水道光熱費</v>
      </c>
      <c r="D59" s="420">
        <v>914444.3</v>
      </c>
      <c r="E59" s="420">
        <v>1135048.2000000002</v>
      </c>
      <c r="F59" s="420">
        <v>2959238.0</v>
      </c>
      <c r="G59" s="420">
        <v>800000.0</v>
      </c>
      <c r="H59" s="420">
        <v>1033064.0</v>
      </c>
      <c r="I59" s="421">
        <v>152532.0</v>
      </c>
      <c r="J59" s="421">
        <v>1005285.0</v>
      </c>
      <c r="K59" s="422">
        <v>7999611.5</v>
      </c>
    </row>
    <row r="60" ht="14.25" customHeight="1">
      <c r="B60" s="415" t="s">
        <v>61</v>
      </c>
      <c r="C60" s="396" t="s">
        <v>40</v>
      </c>
      <c r="D60" s="416">
        <v>187500.0</v>
      </c>
      <c r="E60" s="416">
        <v>110000.0</v>
      </c>
      <c r="F60" s="416">
        <v>110000.0</v>
      </c>
      <c r="G60" s="416">
        <v>60000.0</v>
      </c>
      <c r="H60" s="416">
        <v>50000.0</v>
      </c>
      <c r="I60" s="417">
        <v>60000.0</v>
      </c>
      <c r="J60" s="417">
        <v>100000.0</v>
      </c>
      <c r="K60" s="418">
        <v>677500.0</v>
      </c>
    </row>
    <row r="61" ht="14.25" customHeight="1">
      <c r="B61" s="415"/>
      <c r="C61" s="419" t="str">
        <f>B60</f>
        <v>修繕引当金繰入</v>
      </c>
      <c r="D61" s="420">
        <v>187500.0</v>
      </c>
      <c r="E61" s="420">
        <v>110000.0</v>
      </c>
      <c r="F61" s="420">
        <v>110000.0</v>
      </c>
      <c r="G61" s="420">
        <v>60000.0</v>
      </c>
      <c r="H61" s="420">
        <v>50000.0</v>
      </c>
      <c r="I61" s="421">
        <v>60000.0</v>
      </c>
      <c r="J61" s="421">
        <v>100000.0</v>
      </c>
      <c r="K61" s="422">
        <v>677500.0</v>
      </c>
    </row>
    <row r="62" ht="14.25" customHeight="1">
      <c r="B62" s="415" t="s">
        <v>63</v>
      </c>
      <c r="C62" s="396" t="s">
        <v>40</v>
      </c>
      <c r="D62" s="416">
        <v>275000.0</v>
      </c>
      <c r="E62" s="416">
        <v>750000.0</v>
      </c>
      <c r="F62" s="416">
        <v>490000.0</v>
      </c>
      <c r="G62" s="416">
        <v>30000.0</v>
      </c>
      <c r="H62" s="416">
        <v>30000.0</v>
      </c>
      <c r="I62" s="417">
        <v>130000.0</v>
      </c>
      <c r="J62" s="417">
        <v>0.0</v>
      </c>
      <c r="K62" s="418">
        <v>1705000.0</v>
      </c>
    </row>
    <row r="63" ht="14.25" customHeight="1">
      <c r="B63" s="415"/>
      <c r="C63" s="419" t="str">
        <f>B62</f>
        <v>特別修繕引当金繰入</v>
      </c>
      <c r="D63" s="420">
        <v>275000.0</v>
      </c>
      <c r="E63" s="420">
        <v>750000.0</v>
      </c>
      <c r="F63" s="420">
        <v>490000.0</v>
      </c>
      <c r="G63" s="420">
        <v>30000.0</v>
      </c>
      <c r="H63" s="420">
        <v>30000.0</v>
      </c>
      <c r="I63" s="421">
        <v>130000.0</v>
      </c>
      <c r="J63" s="421">
        <v>0.0</v>
      </c>
      <c r="K63" s="422">
        <v>1705000.0</v>
      </c>
    </row>
    <row r="64" ht="14.25" customHeight="1">
      <c r="B64" s="415" t="s">
        <v>65</v>
      </c>
      <c r="C64" s="396" t="s">
        <v>40</v>
      </c>
      <c r="D64" s="416">
        <v>159342.0</v>
      </c>
      <c r="E64" s="416">
        <v>117813.0</v>
      </c>
      <c r="F64" s="416">
        <v>1200000.0</v>
      </c>
      <c r="G64" s="416">
        <v>50000.0</v>
      </c>
      <c r="H64" s="416">
        <v>50000.0</v>
      </c>
      <c r="I64" s="417">
        <v>220000.0</v>
      </c>
      <c r="J64" s="417">
        <v>298220.0</v>
      </c>
      <c r="K64" s="418">
        <v>2095375.0</v>
      </c>
    </row>
    <row r="65" ht="14.25" customHeight="1">
      <c r="B65" s="415"/>
      <c r="C65" s="419" t="str">
        <f>B64</f>
        <v>客用消耗品費</v>
      </c>
      <c r="D65" s="420">
        <v>152156.0</v>
      </c>
      <c r="E65" s="420">
        <v>261885.0</v>
      </c>
      <c r="F65" s="420">
        <v>1362636.0</v>
      </c>
      <c r="G65" s="420">
        <v>167165.0</v>
      </c>
      <c r="H65" s="420">
        <v>59176.0</v>
      </c>
      <c r="I65" s="421">
        <v>219185.0</v>
      </c>
      <c r="J65" s="421">
        <v>293747.0</v>
      </c>
      <c r="K65" s="422">
        <v>2515950.0</v>
      </c>
    </row>
    <row r="66" ht="14.25" customHeight="1">
      <c r="B66" s="415" t="s">
        <v>64</v>
      </c>
      <c r="C66" s="396" t="s">
        <v>40</v>
      </c>
      <c r="D66" s="416">
        <v>209910.0</v>
      </c>
      <c r="E66" s="416">
        <v>100000.0</v>
      </c>
      <c r="F66" s="416">
        <v>250000.0</v>
      </c>
      <c r="G66" s="416">
        <v>40000.0</v>
      </c>
      <c r="H66" s="416">
        <v>40000.0</v>
      </c>
      <c r="I66" s="417">
        <v>44007.0</v>
      </c>
      <c r="J66" s="417">
        <v>50000.0</v>
      </c>
      <c r="K66" s="418">
        <v>733917.0</v>
      </c>
    </row>
    <row r="67" ht="14.25" customHeight="1">
      <c r="B67" s="415"/>
      <c r="C67" s="419" t="str">
        <f>B66</f>
        <v>備品消耗品費</v>
      </c>
      <c r="D67" s="420">
        <v>209911.0</v>
      </c>
      <c r="E67" s="420">
        <v>100000.0</v>
      </c>
      <c r="F67" s="420">
        <v>250000.0</v>
      </c>
      <c r="G67" s="420">
        <v>130000.0</v>
      </c>
      <c r="H67" s="420">
        <v>40000.0</v>
      </c>
      <c r="I67" s="421">
        <v>44007.0</v>
      </c>
      <c r="J67" s="421">
        <v>50000.0</v>
      </c>
      <c r="K67" s="422">
        <v>823918.0</v>
      </c>
    </row>
    <row r="68" ht="14.25" customHeight="1">
      <c r="B68" s="415" t="s">
        <v>66</v>
      </c>
      <c r="C68" s="396" t="s">
        <v>40</v>
      </c>
      <c r="D68" s="416">
        <v>492369.0</v>
      </c>
      <c r="E68" s="416">
        <v>600000.0</v>
      </c>
      <c r="F68" s="416">
        <v>2273243.0</v>
      </c>
      <c r="G68" s="416">
        <v>198345.0</v>
      </c>
      <c r="H68" s="416">
        <v>277858.0</v>
      </c>
      <c r="I68" s="417">
        <v>200000.0</v>
      </c>
      <c r="J68" s="417">
        <v>745550.0</v>
      </c>
      <c r="K68" s="418">
        <v>4787365.0</v>
      </c>
    </row>
    <row r="69" ht="14.25" customHeight="1">
      <c r="B69" s="415"/>
      <c r="C69" s="419" t="str">
        <f>B68</f>
        <v>クリーニング費</v>
      </c>
      <c r="D69" s="420">
        <v>620575.0</v>
      </c>
      <c r="E69" s="420">
        <v>544323.0</v>
      </c>
      <c r="F69" s="420">
        <v>2120679.0</v>
      </c>
      <c r="G69" s="420">
        <v>183446.0</v>
      </c>
      <c r="H69" s="420">
        <v>262093.0</v>
      </c>
      <c r="I69" s="421">
        <v>256569.0</v>
      </c>
      <c r="J69" s="421">
        <v>744059.0</v>
      </c>
      <c r="K69" s="422">
        <v>4731744.0</v>
      </c>
    </row>
    <row r="70" ht="14.25" customHeight="1">
      <c r="B70" s="415" t="s">
        <v>67</v>
      </c>
      <c r="C70" s="396" t="s">
        <v>40</v>
      </c>
      <c r="D70" s="416">
        <v>4278.0</v>
      </c>
      <c r="E70" s="416">
        <v>0.0</v>
      </c>
      <c r="F70" s="416">
        <v>177842.0</v>
      </c>
      <c r="G70" s="416">
        <v>2367.0</v>
      </c>
      <c r="H70" s="416">
        <v>730.0</v>
      </c>
      <c r="I70" s="417">
        <v>0.0</v>
      </c>
      <c r="J70" s="417">
        <v>0.0</v>
      </c>
      <c r="K70" s="418">
        <v>185217.0</v>
      </c>
    </row>
    <row r="71" ht="14.25" customHeight="1">
      <c r="B71" s="415"/>
      <c r="C71" s="419" t="str">
        <f>B70</f>
        <v>荷造運賃</v>
      </c>
      <c r="D71" s="420">
        <v>4278.0</v>
      </c>
      <c r="E71" s="420">
        <v>0.0</v>
      </c>
      <c r="F71" s="420">
        <v>177842.0</v>
      </c>
      <c r="G71" s="420">
        <v>2367.0</v>
      </c>
      <c r="H71" s="420">
        <v>730.0</v>
      </c>
      <c r="I71" s="421">
        <v>0.0</v>
      </c>
      <c r="J71" s="421">
        <v>0.0</v>
      </c>
      <c r="K71" s="422">
        <v>185217.0</v>
      </c>
    </row>
    <row r="72" ht="14.25" customHeight="1">
      <c r="B72" s="415" t="s">
        <v>68</v>
      </c>
      <c r="C72" s="396" t="s">
        <v>40</v>
      </c>
      <c r="D72" s="416">
        <v>0.0</v>
      </c>
      <c r="E72" s="416">
        <v>0.0</v>
      </c>
      <c r="F72" s="416">
        <v>0.0</v>
      </c>
      <c r="G72" s="416">
        <v>0.0</v>
      </c>
      <c r="H72" s="416">
        <v>0.0</v>
      </c>
      <c r="I72" s="417">
        <v>0.0</v>
      </c>
      <c r="J72" s="417">
        <v>0.0</v>
      </c>
      <c r="K72" s="418">
        <v>0.0</v>
      </c>
    </row>
    <row r="73" ht="14.25" customHeight="1">
      <c r="B73" s="415"/>
      <c r="C73" s="419" t="str">
        <f>B72</f>
        <v>接待交際費</v>
      </c>
      <c r="D73" s="420">
        <v>0.0</v>
      </c>
      <c r="E73" s="420">
        <v>0.0</v>
      </c>
      <c r="F73" s="420">
        <v>0.0</v>
      </c>
      <c r="G73" s="420">
        <v>0.0</v>
      </c>
      <c r="H73" s="420">
        <v>0.0</v>
      </c>
      <c r="I73" s="421">
        <v>0.0</v>
      </c>
      <c r="J73" s="421">
        <v>0.0</v>
      </c>
      <c r="K73" s="422">
        <v>0.0</v>
      </c>
    </row>
    <row r="74" ht="14.25" customHeight="1">
      <c r="B74" s="415" t="s">
        <v>69</v>
      </c>
      <c r="C74" s="396" t="s">
        <v>40</v>
      </c>
      <c r="D74" s="416">
        <v>20000.0</v>
      </c>
      <c r="E74" s="416">
        <v>29000.0</v>
      </c>
      <c r="F74" s="416">
        <v>91062.0</v>
      </c>
      <c r="G74" s="416">
        <v>50000.0</v>
      </c>
      <c r="H74" s="416">
        <v>20000.0</v>
      </c>
      <c r="I74" s="417">
        <v>9443.0</v>
      </c>
      <c r="J74" s="417">
        <v>90000.0</v>
      </c>
      <c r="K74" s="418">
        <v>309505.0</v>
      </c>
    </row>
    <row r="75" ht="14.25" customHeight="1">
      <c r="B75" s="415"/>
      <c r="C75" s="419" t="str">
        <f>B74</f>
        <v>通信費</v>
      </c>
      <c r="D75" s="420">
        <v>20000.0</v>
      </c>
      <c r="E75" s="420">
        <v>29000.0</v>
      </c>
      <c r="F75" s="420">
        <v>91062.0</v>
      </c>
      <c r="G75" s="420">
        <v>50000.0</v>
      </c>
      <c r="H75" s="420">
        <v>20000.0</v>
      </c>
      <c r="I75" s="421">
        <v>9443.0</v>
      </c>
      <c r="J75" s="421">
        <v>90000.0</v>
      </c>
      <c r="K75" s="422">
        <v>309505.0</v>
      </c>
    </row>
    <row r="76" ht="14.25" customHeight="1">
      <c r="B76" s="415" t="s">
        <v>70</v>
      </c>
      <c r="C76" s="396" t="s">
        <v>40</v>
      </c>
      <c r="D76" s="416">
        <v>295750.0</v>
      </c>
      <c r="E76" s="416">
        <v>286000.0</v>
      </c>
      <c r="F76" s="416">
        <v>448674.0</v>
      </c>
      <c r="G76" s="416">
        <v>91082.0</v>
      </c>
      <c r="H76" s="416">
        <v>85252.0</v>
      </c>
      <c r="I76" s="417">
        <v>43368.0</v>
      </c>
      <c r="J76" s="417">
        <v>0.0</v>
      </c>
      <c r="K76" s="418">
        <v>1250126.0</v>
      </c>
    </row>
    <row r="77" ht="14.25" customHeight="1">
      <c r="B77" s="415"/>
      <c r="C77" s="419" t="str">
        <f>B76</f>
        <v>租税公課</v>
      </c>
      <c r="D77" s="420">
        <v>295750.0</v>
      </c>
      <c r="E77" s="420">
        <v>286000.0</v>
      </c>
      <c r="F77" s="420"/>
      <c r="G77" s="420"/>
      <c r="H77" s="420"/>
      <c r="I77" s="421"/>
      <c r="J77" s="421">
        <v>0.0</v>
      </c>
      <c r="K77" s="422">
        <v>581750.0</v>
      </c>
    </row>
    <row r="78" ht="14.25" customHeight="1">
      <c r="B78" s="415" t="s">
        <v>71</v>
      </c>
      <c r="C78" s="396" t="s">
        <v>40</v>
      </c>
      <c r="D78" s="416">
        <v>191768.0</v>
      </c>
      <c r="E78" s="416">
        <v>0.0</v>
      </c>
      <c r="F78" s="416">
        <v>37191.0</v>
      </c>
      <c r="G78" s="416">
        <v>0.0</v>
      </c>
      <c r="H78" s="416">
        <v>0.0</v>
      </c>
      <c r="I78" s="417">
        <v>0.0</v>
      </c>
      <c r="J78" s="417">
        <v>0.0</v>
      </c>
      <c r="K78" s="418">
        <v>228959.0</v>
      </c>
    </row>
    <row r="79" ht="14.25" customHeight="1">
      <c r="B79" s="415"/>
      <c r="C79" s="419" t="str">
        <f>B78</f>
        <v>車両費</v>
      </c>
      <c r="D79" s="420">
        <v>191768.0</v>
      </c>
      <c r="E79" s="420">
        <v>0.0</v>
      </c>
      <c r="F79" s="420">
        <v>37191.0</v>
      </c>
      <c r="G79" s="420">
        <v>0.0</v>
      </c>
      <c r="H79" s="420">
        <v>0.0</v>
      </c>
      <c r="I79" s="421">
        <v>0.0</v>
      </c>
      <c r="J79" s="421">
        <v>0.0</v>
      </c>
      <c r="K79" s="422">
        <v>228959.0</v>
      </c>
    </row>
    <row r="80" ht="14.25" customHeight="1">
      <c r="B80" s="415" t="s">
        <v>72</v>
      </c>
      <c r="C80" s="396" t="s">
        <v>40</v>
      </c>
      <c r="D80" s="416">
        <v>76739.0</v>
      </c>
      <c r="E80" s="416">
        <v>120000.0</v>
      </c>
      <c r="F80" s="416">
        <v>271233.0</v>
      </c>
      <c r="G80" s="416">
        <v>32019.0</v>
      </c>
      <c r="H80" s="416">
        <v>50000.0</v>
      </c>
      <c r="I80" s="417">
        <v>11000.0</v>
      </c>
      <c r="J80" s="417">
        <v>60000.0</v>
      </c>
      <c r="K80" s="418">
        <v>620991.0</v>
      </c>
    </row>
    <row r="81" ht="14.25" customHeight="1">
      <c r="B81" s="415"/>
      <c r="C81" s="419" t="str">
        <f>B80</f>
        <v>旅費交通費</v>
      </c>
      <c r="D81" s="420">
        <v>76739.0</v>
      </c>
      <c r="E81" s="420">
        <v>120000.0</v>
      </c>
      <c r="F81" s="420">
        <v>271233.0</v>
      </c>
      <c r="G81" s="420">
        <v>32019.0</v>
      </c>
      <c r="H81" s="420">
        <v>50000.0</v>
      </c>
      <c r="I81" s="421">
        <v>11000.0</v>
      </c>
      <c r="J81" s="421">
        <v>60000.0</v>
      </c>
      <c r="K81" s="422">
        <v>620991.0</v>
      </c>
    </row>
    <row r="82" ht="14.25" customHeight="1">
      <c r="B82" s="415" t="s">
        <v>73</v>
      </c>
      <c r="C82" s="396" t="s">
        <v>40</v>
      </c>
      <c r="D82" s="416">
        <v>22564.0</v>
      </c>
      <c r="E82" s="416">
        <v>10000.0</v>
      </c>
      <c r="F82" s="416">
        <v>9099.0</v>
      </c>
      <c r="G82" s="416">
        <v>1856.0</v>
      </c>
      <c r="H82" s="416">
        <v>5155.0</v>
      </c>
      <c r="I82" s="417">
        <v>11347.0</v>
      </c>
      <c r="J82" s="417">
        <v>0.0</v>
      </c>
      <c r="K82" s="418">
        <v>60021.0</v>
      </c>
    </row>
    <row r="83" ht="14.25" customHeight="1">
      <c r="B83" s="415"/>
      <c r="C83" s="419" t="str">
        <f>B82</f>
        <v>保険料</v>
      </c>
      <c r="D83" s="420">
        <v>22565.0</v>
      </c>
      <c r="E83" s="420">
        <v>10000.0</v>
      </c>
      <c r="F83" s="420">
        <v>9099.0</v>
      </c>
      <c r="G83" s="420">
        <v>1856.0</v>
      </c>
      <c r="H83" s="420">
        <v>5155.0</v>
      </c>
      <c r="I83" s="421">
        <v>11347.0</v>
      </c>
      <c r="J83" s="421">
        <v>0.0</v>
      </c>
      <c r="K83" s="422">
        <v>60022.0</v>
      </c>
    </row>
    <row r="84" ht="14.25" customHeight="1">
      <c r="B84" s="415" t="s">
        <v>74</v>
      </c>
      <c r="C84" s="396" t="s">
        <v>40</v>
      </c>
      <c r="D84" s="416">
        <v>316700.0</v>
      </c>
      <c r="E84" s="416">
        <v>3000.0</v>
      </c>
      <c r="F84" s="416">
        <v>0.0</v>
      </c>
      <c r="G84" s="416">
        <v>0.0</v>
      </c>
      <c r="H84" s="416">
        <v>35000.0</v>
      </c>
      <c r="I84" s="417">
        <v>0.0</v>
      </c>
      <c r="J84" s="417">
        <v>0.0</v>
      </c>
      <c r="K84" s="418">
        <v>354700.0</v>
      </c>
    </row>
    <row r="85" ht="14.25" customHeight="1">
      <c r="B85" s="415"/>
      <c r="C85" s="419" t="str">
        <f>B84</f>
        <v>清掃費</v>
      </c>
      <c r="D85" s="420">
        <v>316700.0</v>
      </c>
      <c r="E85" s="420">
        <v>3000.0</v>
      </c>
      <c r="F85" s="420">
        <v>0.0</v>
      </c>
      <c r="G85" s="420">
        <v>0.0</v>
      </c>
      <c r="H85" s="420">
        <v>35000.0</v>
      </c>
      <c r="I85" s="421">
        <v>0.0</v>
      </c>
      <c r="J85" s="421">
        <v>0.0</v>
      </c>
      <c r="K85" s="422">
        <v>354700.0</v>
      </c>
    </row>
    <row r="86" ht="14.25" customHeight="1">
      <c r="B86" s="415" t="s">
        <v>76</v>
      </c>
      <c r="C86" s="396" t="s">
        <v>40</v>
      </c>
      <c r="D86" s="416">
        <v>0.0</v>
      </c>
      <c r="E86" s="416">
        <v>0.0</v>
      </c>
      <c r="F86" s="416">
        <v>0.0</v>
      </c>
      <c r="G86" s="416">
        <v>100800.0</v>
      </c>
      <c r="H86" s="416">
        <v>52080.0</v>
      </c>
      <c r="I86" s="417">
        <v>0.0</v>
      </c>
      <c r="J86" s="417">
        <v>90000.0</v>
      </c>
      <c r="K86" s="418">
        <v>242880.0</v>
      </c>
    </row>
    <row r="87" ht="14.25" customHeight="1">
      <c r="B87" s="415"/>
      <c r="C87" s="419" t="str">
        <f>B86</f>
        <v>温泉使用料</v>
      </c>
      <c r="D87" s="427">
        <v>0.0</v>
      </c>
      <c r="E87" s="427">
        <v>0.0</v>
      </c>
      <c r="F87" s="427">
        <v>0.0</v>
      </c>
      <c r="G87" s="427"/>
      <c r="H87" s="427"/>
      <c r="I87" s="428"/>
      <c r="J87" s="428"/>
      <c r="K87" s="429">
        <v>0.0</v>
      </c>
    </row>
    <row r="88" ht="14.25" customHeight="1">
      <c r="B88" s="415" t="s">
        <v>109</v>
      </c>
      <c r="C88" s="396" t="s">
        <v>40</v>
      </c>
      <c r="D88" s="430">
        <v>0.0</v>
      </c>
      <c r="E88" s="430">
        <v>0.0</v>
      </c>
      <c r="F88" s="430">
        <v>0.0</v>
      </c>
      <c r="G88" s="430">
        <v>0.0</v>
      </c>
      <c r="H88" s="430">
        <v>0.0</v>
      </c>
      <c r="I88" s="431">
        <v>0.0</v>
      </c>
      <c r="J88" s="431">
        <v>0.0</v>
      </c>
      <c r="K88" s="432">
        <v>0.0</v>
      </c>
    </row>
    <row r="89" ht="14.25" customHeight="1">
      <c r="B89" s="415"/>
      <c r="C89" s="419" t="str">
        <f>B88</f>
        <v>新聞図書費</v>
      </c>
      <c r="D89" s="427">
        <v>0.0</v>
      </c>
      <c r="E89" s="427">
        <v>0.0</v>
      </c>
      <c r="F89" s="427">
        <v>0.0</v>
      </c>
      <c r="G89" s="427">
        <v>0.0</v>
      </c>
      <c r="H89" s="427">
        <v>0.0</v>
      </c>
      <c r="I89" s="428">
        <v>0.0</v>
      </c>
      <c r="J89" s="428">
        <v>0.0</v>
      </c>
      <c r="K89" s="429">
        <v>0.0</v>
      </c>
    </row>
    <row r="90" ht="14.25" customHeight="1">
      <c r="B90" s="415" t="s">
        <v>80</v>
      </c>
      <c r="C90" s="396" t="s">
        <v>40</v>
      </c>
      <c r="D90" s="430">
        <v>0.0</v>
      </c>
      <c r="E90" s="430">
        <v>0.0</v>
      </c>
      <c r="F90" s="430">
        <v>150000.0</v>
      </c>
      <c r="G90" s="430">
        <v>0.0</v>
      </c>
      <c r="H90" s="430">
        <v>0.0</v>
      </c>
      <c r="I90" s="431">
        <v>0.0</v>
      </c>
      <c r="J90" s="431">
        <v>10000.0</v>
      </c>
      <c r="K90" s="432">
        <v>160000.0</v>
      </c>
    </row>
    <row r="91" ht="14.25" customHeight="1">
      <c r="B91" s="433"/>
      <c r="C91" s="434" t="str">
        <f>B90</f>
        <v>雑費</v>
      </c>
      <c r="D91" s="435">
        <v>0.0</v>
      </c>
      <c r="E91" s="435">
        <v>0.0</v>
      </c>
      <c r="F91" s="435">
        <v>0.0</v>
      </c>
      <c r="G91" s="435">
        <v>0.0</v>
      </c>
      <c r="H91" s="435">
        <v>0.0</v>
      </c>
      <c r="I91" s="436">
        <v>0.0</v>
      </c>
      <c r="J91" s="436">
        <v>10000.0</v>
      </c>
      <c r="K91" s="437">
        <v>10000.0</v>
      </c>
    </row>
    <row r="92" ht="14.25" customHeight="1">
      <c r="B92" s="438" t="s">
        <v>174</v>
      </c>
      <c r="C92" s="439"/>
      <c r="D92" s="440"/>
      <c r="E92" s="440"/>
      <c r="F92" s="440"/>
      <c r="G92" s="440"/>
      <c r="H92" s="440"/>
      <c r="I92" s="441"/>
      <c r="J92" s="441"/>
      <c r="K92" s="442">
        <v>0.0</v>
      </c>
    </row>
    <row r="93" ht="14.25" customHeight="1">
      <c r="B93" s="443"/>
      <c r="C93" s="444" t="str">
        <f>B92</f>
        <v>●追加経費</v>
      </c>
      <c r="D93" s="445"/>
      <c r="E93" s="445"/>
      <c r="F93" s="445"/>
      <c r="G93" s="445"/>
      <c r="H93" s="445"/>
      <c r="I93" s="446"/>
      <c r="J93" s="446"/>
      <c r="K93" s="447">
        <v>0.0</v>
      </c>
    </row>
    <row r="94" ht="14.25" customHeight="1">
      <c r="B94" s="443"/>
      <c r="C94" s="448"/>
      <c r="D94" s="445"/>
      <c r="E94" s="445"/>
      <c r="F94" s="445"/>
      <c r="G94" s="445"/>
      <c r="H94" s="445"/>
      <c r="I94" s="446"/>
      <c r="J94" s="446"/>
      <c r="K94" s="447">
        <v>0.0</v>
      </c>
    </row>
    <row r="95" ht="14.25" customHeight="1">
      <c r="B95" s="449"/>
      <c r="C95" s="439"/>
      <c r="D95" s="440"/>
      <c r="E95" s="440"/>
      <c r="F95" s="440"/>
      <c r="G95" s="440"/>
      <c r="H95" s="440"/>
      <c r="I95" s="441"/>
      <c r="J95" s="441"/>
      <c r="K95" s="442">
        <v>0.0</v>
      </c>
    </row>
    <row r="96" ht="14.25" customHeight="1">
      <c r="B96" s="450"/>
      <c r="C96" s="451"/>
      <c r="D96" s="440"/>
      <c r="E96" s="440"/>
      <c r="F96" s="440"/>
      <c r="G96" s="440"/>
      <c r="H96" s="440"/>
      <c r="I96" s="441"/>
      <c r="J96" s="441"/>
      <c r="K96" s="442">
        <v>0.0</v>
      </c>
    </row>
    <row r="97" ht="14.25" customHeight="1">
      <c r="B97" s="452"/>
      <c r="C97" s="453"/>
      <c r="D97" s="440"/>
      <c r="E97" s="440"/>
      <c r="F97" s="440"/>
      <c r="G97" s="440"/>
      <c r="H97" s="440"/>
      <c r="I97" s="441"/>
      <c r="J97" s="441"/>
      <c r="K97" s="442">
        <v>0.0</v>
      </c>
    </row>
    <row r="98" ht="14.25" customHeight="1">
      <c r="B98" s="449"/>
      <c r="C98" s="454"/>
      <c r="D98" s="440"/>
      <c r="E98" s="440"/>
      <c r="F98" s="440"/>
      <c r="G98" s="440"/>
      <c r="H98" s="440"/>
      <c r="I98" s="441"/>
      <c r="J98" s="441"/>
      <c r="K98" s="442">
        <v>0.0</v>
      </c>
    </row>
    <row r="99" ht="14.25" customHeight="1">
      <c r="B99" s="449"/>
      <c r="C99" s="453"/>
      <c r="D99" s="440"/>
      <c r="E99" s="440"/>
      <c r="F99" s="440"/>
      <c r="G99" s="440"/>
      <c r="H99" s="440"/>
      <c r="I99" s="441"/>
      <c r="J99" s="441"/>
      <c r="K99" s="442">
        <v>0.0</v>
      </c>
    </row>
    <row r="100" ht="14.25" customHeight="1">
      <c r="B100" s="455"/>
      <c r="C100" s="456"/>
      <c r="D100" s="457"/>
      <c r="E100" s="457"/>
      <c r="F100" s="457"/>
      <c r="G100" s="457"/>
      <c r="H100" s="457"/>
      <c r="I100" s="458"/>
      <c r="J100" s="458"/>
      <c r="K100" s="459">
        <v>0.0</v>
      </c>
    </row>
    <row r="101" ht="14.25" customHeight="1">
      <c r="B101" s="333" t="s">
        <v>30</v>
      </c>
      <c r="C101" s="363" t="s">
        <v>40</v>
      </c>
      <c r="D101" s="365">
        <v>750844.0</v>
      </c>
      <c r="E101" s="365">
        <v>1285314.0</v>
      </c>
      <c r="F101" s="365">
        <v>7043648.0</v>
      </c>
      <c r="G101" s="365">
        <v>448755.0</v>
      </c>
      <c r="H101" s="365">
        <v>1099678.0</v>
      </c>
      <c r="I101" s="364">
        <v>763139.0</v>
      </c>
      <c r="J101" s="364">
        <v>3324417.0</v>
      </c>
      <c r="K101" s="366">
        <v>1.4715795E7</v>
      </c>
    </row>
    <row r="102" ht="14.25" customHeight="1">
      <c r="B102" s="391"/>
      <c r="C102" s="368" t="str">
        <f>B101</f>
        <v>固定費</v>
      </c>
      <c r="D102" s="357">
        <v>964967.0</v>
      </c>
      <c r="E102" s="357">
        <v>1583340.0</v>
      </c>
      <c r="F102" s="357">
        <v>7548206.0</v>
      </c>
      <c r="G102" s="357">
        <v>450809.0</v>
      </c>
      <c r="H102" s="357">
        <v>1135033.0</v>
      </c>
      <c r="I102" s="356">
        <v>840739.0</v>
      </c>
      <c r="J102" s="356">
        <v>599500.0</v>
      </c>
      <c r="K102" s="358">
        <v>1.3122594E7</v>
      </c>
    </row>
    <row r="103" ht="14.25" customHeight="1">
      <c r="B103" s="392"/>
      <c r="C103" s="393"/>
      <c r="D103" s="394">
        <v>0.07089090508374964</v>
      </c>
      <c r="E103" s="394">
        <v>0.10123657289002558</v>
      </c>
      <c r="F103" s="394">
        <v>0.1535936087919238</v>
      </c>
      <c r="G103" s="394">
        <v>0.08174085692009211</v>
      </c>
      <c r="H103" s="394">
        <v>0.14009034638953857</v>
      </c>
      <c r="I103" s="342">
        <v>0.1422157048451406</v>
      </c>
      <c r="J103" s="342">
        <v>0.062447916666666665</v>
      </c>
      <c r="K103" s="343">
        <v>0.12204228490983741</v>
      </c>
    </row>
    <row r="104" ht="14.25" customHeight="1">
      <c r="B104" s="460" t="s">
        <v>35</v>
      </c>
      <c r="C104" s="461" t="s">
        <v>40</v>
      </c>
      <c r="D104" s="462">
        <v>489173.0</v>
      </c>
      <c r="E104" s="462">
        <v>1049026.0</v>
      </c>
      <c r="F104" s="462">
        <v>5583157.0</v>
      </c>
      <c r="G104" s="462">
        <v>274551.0</v>
      </c>
      <c r="H104" s="462">
        <v>804606.0</v>
      </c>
      <c r="I104" s="463">
        <v>679275.0</v>
      </c>
      <c r="J104" s="463">
        <v>35417.0</v>
      </c>
      <c r="K104" s="464">
        <v>8915205.0</v>
      </c>
    </row>
    <row r="105" ht="14.25" customHeight="1">
      <c r="B105" s="465"/>
      <c r="C105" s="466" t="str">
        <f>B104</f>
        <v>減価償却費</v>
      </c>
      <c r="D105" s="467">
        <v>466129.0</v>
      </c>
      <c r="E105" s="467">
        <v>1087635.0</v>
      </c>
      <c r="F105" s="467">
        <v>5540318.0</v>
      </c>
      <c r="G105" s="467">
        <v>267605.0</v>
      </c>
      <c r="H105" s="467">
        <v>804606.0</v>
      </c>
      <c r="I105" s="468">
        <v>679275.0</v>
      </c>
      <c r="J105" s="468">
        <v>0.0</v>
      </c>
      <c r="K105" s="469">
        <v>8845568.0</v>
      </c>
    </row>
    <row r="106" ht="14.25" customHeight="1">
      <c r="B106" s="465" t="s">
        <v>82</v>
      </c>
      <c r="C106" s="461" t="s">
        <v>40</v>
      </c>
      <c r="D106" s="462">
        <v>0.0</v>
      </c>
      <c r="E106" s="462">
        <v>0.0</v>
      </c>
      <c r="F106" s="462">
        <v>0.0</v>
      </c>
      <c r="G106" s="462">
        <v>0.0</v>
      </c>
      <c r="H106" s="462">
        <v>0.0</v>
      </c>
      <c r="I106" s="463">
        <v>0.0</v>
      </c>
      <c r="J106" s="463">
        <v>3000000.0</v>
      </c>
      <c r="K106" s="464">
        <v>3000000.0</v>
      </c>
    </row>
    <row r="107" ht="14.25" customHeight="1">
      <c r="B107" s="470"/>
      <c r="C107" s="471" t="str">
        <f>B106</f>
        <v>地代家賃</v>
      </c>
      <c r="D107" s="467">
        <v>0.0</v>
      </c>
      <c r="E107" s="467">
        <v>0.0</v>
      </c>
      <c r="F107" s="467">
        <v>0.0</v>
      </c>
      <c r="G107" s="467">
        <v>0.0</v>
      </c>
      <c r="H107" s="467">
        <v>0.0</v>
      </c>
      <c r="I107" s="468">
        <v>0.0</v>
      </c>
      <c r="J107" s="468">
        <v>300000.0</v>
      </c>
      <c r="K107" s="469">
        <v>300000.0</v>
      </c>
    </row>
    <row r="108" ht="14.25" customHeight="1">
      <c r="B108" s="470" t="s">
        <v>83</v>
      </c>
      <c r="C108" s="461" t="s">
        <v>40</v>
      </c>
      <c r="D108" s="462">
        <v>132309.0</v>
      </c>
      <c r="E108" s="462">
        <v>78978.0</v>
      </c>
      <c r="F108" s="462">
        <v>650000.0</v>
      </c>
      <c r="G108" s="462">
        <v>55504.0</v>
      </c>
      <c r="H108" s="462">
        <v>203372.0</v>
      </c>
      <c r="I108" s="463">
        <v>1064.0</v>
      </c>
      <c r="J108" s="463">
        <v>100000.0</v>
      </c>
      <c r="K108" s="464">
        <v>1221227.0</v>
      </c>
    </row>
    <row r="109" ht="14.25" customHeight="1">
      <c r="B109" s="470"/>
      <c r="C109" s="471" t="str">
        <f>B108</f>
        <v>リース料</v>
      </c>
      <c r="D109" s="467">
        <v>132310.0</v>
      </c>
      <c r="E109" s="467">
        <v>78979.0</v>
      </c>
      <c r="F109" s="467">
        <v>676382.0</v>
      </c>
      <c r="G109" s="467">
        <v>55504.0</v>
      </c>
      <c r="H109" s="467">
        <v>203372.0</v>
      </c>
      <c r="I109" s="468">
        <v>1064.0</v>
      </c>
      <c r="J109" s="468">
        <v>100000.0</v>
      </c>
      <c r="K109" s="469">
        <v>1247611.0</v>
      </c>
    </row>
    <row r="110" ht="14.25" customHeight="1">
      <c r="B110" s="470" t="s">
        <v>84</v>
      </c>
      <c r="C110" s="461" t="s">
        <v>40</v>
      </c>
      <c r="D110" s="462">
        <v>121352.0</v>
      </c>
      <c r="E110" s="462">
        <v>149300.0</v>
      </c>
      <c r="F110" s="462">
        <v>338800.0</v>
      </c>
      <c r="G110" s="462">
        <v>78800.0</v>
      </c>
      <c r="H110" s="462">
        <v>78800.0</v>
      </c>
      <c r="I110" s="463">
        <v>82800.0</v>
      </c>
      <c r="J110" s="463">
        <v>139000.0</v>
      </c>
      <c r="K110" s="464">
        <v>988852.0</v>
      </c>
    </row>
    <row r="111" ht="14.25" customHeight="1">
      <c r="B111" s="470"/>
      <c r="C111" s="471" t="str">
        <f>B110</f>
        <v>システム利用料</v>
      </c>
      <c r="D111" s="467">
        <v>132352.0</v>
      </c>
      <c r="E111" s="467">
        <v>160300.0</v>
      </c>
      <c r="F111" s="467">
        <v>384609.0</v>
      </c>
      <c r="G111" s="467">
        <v>89800.0</v>
      </c>
      <c r="H111" s="467">
        <v>89800.0</v>
      </c>
      <c r="I111" s="468">
        <v>97800.0</v>
      </c>
      <c r="J111" s="468">
        <v>149500.0</v>
      </c>
      <c r="K111" s="469">
        <v>1104161.0</v>
      </c>
    </row>
    <row r="112" ht="14.25" customHeight="1">
      <c r="B112" s="470" t="s">
        <v>85</v>
      </c>
      <c r="C112" s="461" t="s">
        <v>40</v>
      </c>
      <c r="D112" s="462">
        <v>8010.0</v>
      </c>
      <c r="E112" s="462">
        <v>8010.0</v>
      </c>
      <c r="F112" s="462">
        <v>471691.0</v>
      </c>
      <c r="G112" s="462">
        <v>39900.0</v>
      </c>
      <c r="H112" s="462">
        <v>12900.0</v>
      </c>
      <c r="I112" s="463">
        <v>0.0</v>
      </c>
      <c r="J112" s="463">
        <v>50000.0</v>
      </c>
      <c r="K112" s="464">
        <v>590511.0</v>
      </c>
    </row>
    <row r="113" ht="14.25" customHeight="1">
      <c r="B113" s="472"/>
      <c r="C113" s="473" t="str">
        <f>B112</f>
        <v>保守管理費</v>
      </c>
      <c r="D113" s="474">
        <v>234176.0</v>
      </c>
      <c r="E113" s="474">
        <v>256426.0</v>
      </c>
      <c r="F113" s="474">
        <v>946897.0</v>
      </c>
      <c r="G113" s="474">
        <v>37900.0</v>
      </c>
      <c r="H113" s="474">
        <v>37255.0</v>
      </c>
      <c r="I113" s="475">
        <v>62600.0</v>
      </c>
      <c r="J113" s="475">
        <v>50000.0</v>
      </c>
      <c r="K113" s="476">
        <v>1625254.0</v>
      </c>
    </row>
    <row r="114" ht="14.25" customHeight="1">
      <c r="B114" s="413" t="s">
        <v>31</v>
      </c>
      <c r="C114" s="477" t="s">
        <v>40</v>
      </c>
      <c r="D114" s="365">
        <v>1312084.0</v>
      </c>
      <c r="E114" s="365">
        <v>1277178.0</v>
      </c>
      <c r="F114" s="365">
        <v>3599472.0</v>
      </c>
      <c r="G114" s="365">
        <v>523971.0</v>
      </c>
      <c r="H114" s="365">
        <v>716781.0</v>
      </c>
      <c r="I114" s="364">
        <v>308218.0</v>
      </c>
      <c r="J114" s="364">
        <v>889517.0</v>
      </c>
      <c r="K114" s="366">
        <v>8627221.0</v>
      </c>
    </row>
    <row r="115" ht="14.25" customHeight="1">
      <c r="B115" s="391"/>
      <c r="C115" s="478" t="str">
        <f>B114</f>
        <v>本部費</v>
      </c>
      <c r="D115" s="357">
        <v>1377776.0</v>
      </c>
      <c r="E115" s="357">
        <v>1611225.0</v>
      </c>
      <c r="F115" s="357">
        <v>3499285.0</v>
      </c>
      <c r="G115" s="357">
        <v>506231.0</v>
      </c>
      <c r="H115" s="357">
        <v>626024.0</v>
      </c>
      <c r="I115" s="356">
        <v>369761.0</v>
      </c>
      <c r="J115" s="356">
        <v>863362.0</v>
      </c>
      <c r="K115" s="358">
        <v>8853664.0</v>
      </c>
    </row>
    <row r="116" ht="14.25" customHeight="1">
      <c r="B116" s="391"/>
      <c r="C116" s="479"/>
      <c r="D116" s="480">
        <v>0.10121774904496032</v>
      </c>
      <c r="E116" s="480">
        <v>0.10301950127877238</v>
      </c>
      <c r="F116" s="480">
        <v>0.07120470895222614</v>
      </c>
      <c r="G116" s="480">
        <v>0.09178999474170912</v>
      </c>
      <c r="H116" s="480">
        <v>0.07726640459631086</v>
      </c>
      <c r="I116" s="481">
        <v>0.06254714154957011</v>
      </c>
      <c r="J116" s="481">
        <v>0.08993354166666667</v>
      </c>
      <c r="K116" s="482">
        <v>0.08234053300620066</v>
      </c>
    </row>
    <row r="117" ht="14.25" customHeight="1">
      <c r="B117" s="372" t="s">
        <v>165</v>
      </c>
      <c r="C117" s="483" t="s">
        <v>40</v>
      </c>
      <c r="D117" s="375">
        <v>1.2730146E7</v>
      </c>
      <c r="E117" s="375">
        <v>1.0531644E7</v>
      </c>
      <c r="F117" s="375">
        <v>3.430572E7</v>
      </c>
      <c r="G117" s="375">
        <v>5970862.0</v>
      </c>
      <c r="H117" s="375">
        <v>7045965.0</v>
      </c>
      <c r="I117" s="374">
        <v>4121462.0</v>
      </c>
      <c r="J117" s="374">
        <v>1.0306091E7</v>
      </c>
      <c r="K117" s="376">
        <v>8.501189E7</v>
      </c>
    </row>
    <row r="118" ht="14.25" customHeight="1">
      <c r="B118" s="484"/>
      <c r="C118" s="485" t="str">
        <f>B117</f>
        <v>販管費合計</v>
      </c>
      <c r="D118" s="202">
        <v>1.23648913E7</v>
      </c>
      <c r="E118" s="202">
        <v>1.20015732E7</v>
      </c>
      <c r="F118" s="202">
        <v>3.332362477E7</v>
      </c>
      <c r="G118" s="202">
        <v>5599125.5600000005</v>
      </c>
      <c r="H118" s="202">
        <v>7070755.234999999</v>
      </c>
      <c r="I118" s="389">
        <v>4897559.323</v>
      </c>
      <c r="J118" s="389">
        <v>7767032.0</v>
      </c>
      <c r="K118" s="203">
        <v>8.3024561388E7</v>
      </c>
    </row>
    <row r="119" ht="14.25" customHeight="1">
      <c r="B119" s="484"/>
      <c r="C119" s="486"/>
      <c r="D119" s="382">
        <v>0.9083816705847781</v>
      </c>
      <c r="E119" s="382">
        <v>0.7673640153452685</v>
      </c>
      <c r="F119" s="382">
        <v>0.6780810945610443</v>
      </c>
      <c r="G119" s="382">
        <v>1.0152355460463094</v>
      </c>
      <c r="H119" s="382">
        <v>0.8727011021765827</v>
      </c>
      <c r="I119" s="381">
        <v>0.828449555856615</v>
      </c>
      <c r="J119" s="381">
        <v>0.8090658333333334</v>
      </c>
      <c r="K119" s="383">
        <v>0.7721420913752709</v>
      </c>
    </row>
    <row r="120" ht="14.25" customHeight="1">
      <c r="B120" s="487" t="s">
        <v>87</v>
      </c>
      <c r="C120" s="487" t="s">
        <v>87</v>
      </c>
      <c r="D120" s="488">
        <v>-1178549.7000000011</v>
      </c>
      <c r="E120" s="488">
        <v>1235810.0</v>
      </c>
      <c r="F120" s="488">
        <v>6883424.969622504</v>
      </c>
      <c r="G120" s="488">
        <v>-789765.3315000003</v>
      </c>
      <c r="H120" s="488">
        <v>140117.75425000023</v>
      </c>
      <c r="I120" s="489">
        <v>1014157.6770000001</v>
      </c>
      <c r="J120" s="489">
        <v>1191208.0</v>
      </c>
      <c r="K120" s="490">
        <v>8496403.369372502</v>
      </c>
    </row>
    <row r="121" ht="14.25" customHeight="1">
      <c r="B121" s="491"/>
      <c r="C121" s="492"/>
      <c r="D121" s="493">
        <v>-0.08658167058477823</v>
      </c>
      <c r="E121" s="493">
        <v>0.07901598465473146</v>
      </c>
      <c r="F121" s="493">
        <v>0.1400664054389558</v>
      </c>
      <c r="G121" s="493">
        <v>-0.14320054604630927</v>
      </c>
      <c r="H121" s="493">
        <v>0.01729389782341727</v>
      </c>
      <c r="I121" s="494">
        <v>0.1715504441433851</v>
      </c>
      <c r="J121" s="494">
        <v>0.12408416666666666</v>
      </c>
      <c r="K121" s="495">
        <v>0.07901795031636744</v>
      </c>
    </row>
    <row r="122" ht="14.25" customHeight="1">
      <c r="B122" s="496" t="s">
        <v>90</v>
      </c>
      <c r="C122" s="497" t="s">
        <v>90</v>
      </c>
      <c r="D122" s="498">
        <v>1082656.0</v>
      </c>
      <c r="E122" s="499">
        <v>2674067.0</v>
      </c>
      <c r="F122" s="498">
        <v>668824.0</v>
      </c>
      <c r="G122" s="499">
        <v>-483862.0</v>
      </c>
      <c r="H122" s="499">
        <v>699727.0</v>
      </c>
      <c r="I122" s="500">
        <v>-401462.0</v>
      </c>
      <c r="J122" s="500">
        <v>104133.0</v>
      </c>
      <c r="K122" s="501">
        <v>4344083.0</v>
      </c>
    </row>
    <row r="123" ht="14.25" customHeight="1">
      <c r="B123" s="502" t="s">
        <v>175</v>
      </c>
      <c r="C123" s="503"/>
      <c r="D123" s="504">
        <v>611572.0</v>
      </c>
      <c r="E123" s="504">
        <v>812741.0</v>
      </c>
      <c r="F123" s="504">
        <v>660048.0</v>
      </c>
      <c r="G123" s="504">
        <v>-626017.0</v>
      </c>
      <c r="H123" s="504">
        <v>913351.0</v>
      </c>
      <c r="I123" s="505">
        <v>-923386.0</v>
      </c>
      <c r="J123" s="505">
        <v>-154348.0</v>
      </c>
      <c r="K123" s="506">
        <v>1293961.0</v>
      </c>
    </row>
    <row r="124" ht="14.25" customHeight="1">
      <c r="B124" s="92"/>
      <c r="C124" s="92"/>
    </row>
    <row r="125" ht="14.25" customHeight="1">
      <c r="B125" s="92"/>
      <c r="C125" s="92"/>
    </row>
    <row r="126" ht="14.25" customHeight="1">
      <c r="B126" s="92"/>
      <c r="C126" s="92"/>
    </row>
    <row r="127" ht="14.25" customHeight="1">
      <c r="B127" s="92"/>
      <c r="C127" s="92"/>
    </row>
    <row r="128" ht="14.25" customHeight="1">
      <c r="B128" s="92"/>
      <c r="C128" s="92"/>
    </row>
    <row r="129" ht="14.25" customHeight="1">
      <c r="B129" s="92"/>
      <c r="C129" s="92"/>
    </row>
    <row r="130" ht="14.25" customHeight="1">
      <c r="B130" s="92"/>
      <c r="C130" s="92"/>
    </row>
    <row r="131" ht="14.25" customHeight="1">
      <c r="B131" s="92"/>
      <c r="C131" s="92"/>
    </row>
    <row r="132" ht="14.25" customHeight="1">
      <c r="B132" s="92"/>
      <c r="C132" s="92"/>
    </row>
    <row r="133" ht="14.25" customHeight="1">
      <c r="B133" s="92"/>
      <c r="C133" s="92"/>
    </row>
    <row r="134" ht="14.25" customHeight="1">
      <c r="B134" s="92"/>
      <c r="C134" s="92"/>
    </row>
    <row r="135" ht="14.25" customHeight="1">
      <c r="B135" s="92"/>
      <c r="C135" s="92"/>
    </row>
    <row r="136" ht="14.25" customHeight="1">
      <c r="B136" s="92"/>
      <c r="C136" s="92"/>
    </row>
    <row r="137" ht="14.25" customHeight="1">
      <c r="B137" s="92"/>
      <c r="C137" s="92"/>
    </row>
    <row r="138" ht="14.25" customHeight="1">
      <c r="B138" s="92"/>
      <c r="C138" s="92"/>
    </row>
    <row r="139" ht="14.25" customHeight="1">
      <c r="B139" s="92"/>
      <c r="C139" s="92"/>
    </row>
    <row r="140" ht="14.25" customHeight="1">
      <c r="B140" s="92"/>
      <c r="C140" s="92"/>
    </row>
    <row r="141" ht="14.25" customHeight="1">
      <c r="B141" s="92"/>
      <c r="C141" s="92"/>
    </row>
    <row r="142" ht="14.25" customHeight="1">
      <c r="B142" s="92"/>
      <c r="C142" s="92"/>
    </row>
    <row r="143" ht="14.25" customHeight="1">
      <c r="B143" s="92"/>
      <c r="C143" s="92"/>
    </row>
    <row r="144" ht="14.25" customHeight="1">
      <c r="B144" s="92"/>
      <c r="C144" s="92"/>
    </row>
    <row r="145" ht="14.25" customHeight="1">
      <c r="B145" s="92"/>
      <c r="C145" s="92"/>
    </row>
    <row r="146" ht="14.25" customHeight="1">
      <c r="B146" s="92"/>
      <c r="C146" s="92"/>
    </row>
    <row r="147" ht="14.25" customHeight="1">
      <c r="B147" s="92"/>
      <c r="C147" s="92"/>
    </row>
    <row r="148" ht="14.25" customHeight="1">
      <c r="B148" s="92"/>
      <c r="C148" s="92"/>
    </row>
    <row r="149" ht="14.25" customHeight="1">
      <c r="B149" s="92"/>
      <c r="C149" s="92"/>
    </row>
    <row r="150" ht="14.25" customHeight="1">
      <c r="B150" s="92"/>
      <c r="C150" s="92"/>
    </row>
    <row r="151" ht="14.25" customHeight="1">
      <c r="B151" s="92"/>
      <c r="C151" s="92"/>
    </row>
    <row r="152" ht="14.25" customHeight="1">
      <c r="B152" s="92"/>
      <c r="C152" s="92"/>
    </row>
    <row r="153" ht="14.25" customHeight="1">
      <c r="B153" s="92"/>
      <c r="C153" s="92"/>
    </row>
    <row r="154" ht="14.25" customHeight="1">
      <c r="B154" s="92"/>
      <c r="C154" s="92"/>
    </row>
    <row r="155" ht="14.25" customHeight="1">
      <c r="B155" s="92"/>
      <c r="C155" s="92"/>
    </row>
    <row r="156" ht="14.25" customHeight="1">
      <c r="B156" s="92"/>
      <c r="C156" s="92"/>
    </row>
    <row r="157" ht="14.25" customHeight="1">
      <c r="B157" s="92"/>
      <c r="C157" s="92"/>
    </row>
    <row r="158" ht="14.25" customHeight="1">
      <c r="B158" s="92"/>
      <c r="C158" s="92"/>
    </row>
    <row r="159" ht="14.25" customHeight="1">
      <c r="B159" s="92"/>
      <c r="C159" s="92"/>
    </row>
    <row r="160" ht="14.25" customHeight="1">
      <c r="B160" s="92"/>
      <c r="C160" s="92"/>
    </row>
    <row r="161" ht="14.25" customHeight="1">
      <c r="B161" s="92"/>
      <c r="C161" s="92"/>
    </row>
    <row r="162" ht="14.25" customHeight="1">
      <c r="B162" s="92"/>
      <c r="C162" s="92"/>
    </row>
    <row r="163" ht="14.25" customHeight="1">
      <c r="B163" s="92"/>
      <c r="C163" s="92"/>
    </row>
    <row r="164" ht="14.25" customHeight="1">
      <c r="B164" s="92"/>
      <c r="C164" s="92"/>
    </row>
    <row r="165" ht="14.25" customHeight="1">
      <c r="B165" s="92"/>
      <c r="C165" s="92"/>
    </row>
    <row r="166" ht="14.25" customHeight="1">
      <c r="B166" s="92"/>
      <c r="C166" s="92"/>
    </row>
    <row r="167" ht="14.25" customHeight="1">
      <c r="B167" s="92"/>
      <c r="C167" s="92"/>
    </row>
    <row r="168" ht="14.25" customHeight="1">
      <c r="B168" s="92"/>
      <c r="C168" s="92"/>
    </row>
    <row r="169" ht="14.25" customHeight="1">
      <c r="B169" s="92"/>
      <c r="C169" s="92"/>
    </row>
    <row r="170" ht="14.25" customHeight="1">
      <c r="B170" s="92"/>
      <c r="C170" s="92"/>
    </row>
    <row r="171" ht="14.25" customHeight="1">
      <c r="B171" s="92"/>
      <c r="C171" s="92"/>
    </row>
    <row r="172" ht="14.25" customHeight="1">
      <c r="B172" s="92"/>
      <c r="C172" s="92"/>
    </row>
    <row r="173" ht="14.25" customHeight="1">
      <c r="B173" s="92"/>
      <c r="C173" s="92"/>
    </row>
    <row r="174" ht="14.25" customHeight="1">
      <c r="B174" s="92"/>
      <c r="C174" s="92"/>
    </row>
    <row r="175" ht="14.25" customHeight="1">
      <c r="B175" s="92"/>
      <c r="C175" s="92"/>
    </row>
    <row r="176" ht="14.25" customHeight="1">
      <c r="B176" s="92"/>
      <c r="C176" s="92"/>
    </row>
    <row r="177" ht="14.25" customHeight="1">
      <c r="B177" s="92"/>
      <c r="C177" s="92"/>
    </row>
    <row r="178" ht="14.25" customHeight="1">
      <c r="B178" s="92"/>
      <c r="C178" s="92"/>
    </row>
    <row r="179" ht="14.25" customHeight="1">
      <c r="B179" s="92"/>
      <c r="C179" s="92"/>
    </row>
    <row r="180" ht="14.25" customHeight="1">
      <c r="B180" s="92"/>
      <c r="C180" s="92"/>
    </row>
    <row r="181" ht="14.25" customHeight="1">
      <c r="B181" s="92"/>
      <c r="C181" s="92"/>
    </row>
    <row r="182" ht="14.25" customHeight="1">
      <c r="B182" s="92"/>
      <c r="C182" s="92"/>
    </row>
    <row r="183" ht="14.25" customHeight="1">
      <c r="B183" s="92"/>
      <c r="C183" s="92"/>
    </row>
    <row r="184" ht="14.25" customHeight="1">
      <c r="B184" s="92"/>
      <c r="C184" s="92"/>
    </row>
    <row r="185" ht="14.25" customHeight="1">
      <c r="B185" s="92"/>
      <c r="C185" s="92"/>
    </row>
    <row r="186" ht="14.25" customHeight="1">
      <c r="B186" s="92"/>
      <c r="C186" s="92"/>
    </row>
    <row r="187" ht="14.25" customHeight="1">
      <c r="B187" s="92"/>
      <c r="C187" s="92"/>
    </row>
    <row r="188" ht="14.25" customHeight="1">
      <c r="B188" s="92"/>
      <c r="C188" s="92"/>
    </row>
    <row r="189" ht="14.25" customHeight="1">
      <c r="B189" s="92"/>
      <c r="C189" s="92"/>
    </row>
    <row r="190" ht="14.25" customHeight="1">
      <c r="B190" s="92"/>
      <c r="C190" s="92"/>
    </row>
    <row r="191" ht="14.25" customHeight="1">
      <c r="B191" s="92"/>
      <c r="C191" s="92"/>
    </row>
    <row r="192" ht="14.25" customHeight="1">
      <c r="B192" s="92"/>
      <c r="C192" s="92"/>
    </row>
    <row r="193" ht="14.25" customHeight="1">
      <c r="B193" s="92"/>
      <c r="C193" s="92"/>
    </row>
    <row r="194" ht="14.25" customHeight="1">
      <c r="B194" s="92"/>
      <c r="C194" s="92"/>
    </row>
    <row r="195" ht="14.25" customHeight="1">
      <c r="B195" s="92"/>
      <c r="C195" s="92"/>
    </row>
    <row r="196" ht="14.25" customHeight="1">
      <c r="B196" s="92"/>
      <c r="C196" s="92"/>
    </row>
    <row r="197" ht="14.25" customHeight="1">
      <c r="B197" s="92"/>
      <c r="C197" s="92"/>
    </row>
    <row r="198" ht="14.25" customHeight="1">
      <c r="B198" s="92"/>
      <c r="C198" s="92"/>
    </row>
    <row r="199" ht="14.25" customHeight="1">
      <c r="B199" s="92"/>
      <c r="C199" s="92"/>
    </row>
    <row r="200" ht="14.25" customHeight="1">
      <c r="B200" s="92"/>
      <c r="C200" s="92"/>
    </row>
    <row r="201" ht="14.25" customHeight="1">
      <c r="B201" s="92"/>
      <c r="C201" s="92"/>
    </row>
    <row r="202" ht="14.25" customHeight="1">
      <c r="B202" s="92"/>
      <c r="C202" s="92"/>
    </row>
    <row r="203" ht="14.25" customHeight="1">
      <c r="B203" s="92"/>
      <c r="C203" s="92"/>
    </row>
    <row r="204" ht="14.25" customHeight="1">
      <c r="B204" s="92"/>
      <c r="C204" s="92"/>
    </row>
    <row r="205" ht="14.25" customHeight="1">
      <c r="B205" s="92"/>
      <c r="C205" s="92"/>
    </row>
    <row r="206" ht="14.25" customHeight="1">
      <c r="B206" s="92"/>
      <c r="C206" s="92"/>
    </row>
    <row r="207" ht="14.25" customHeight="1">
      <c r="B207" s="92"/>
      <c r="C207" s="92"/>
    </row>
    <row r="208" ht="14.25" customHeight="1">
      <c r="B208" s="92"/>
      <c r="C208" s="92"/>
    </row>
    <row r="209" ht="14.25" customHeight="1">
      <c r="B209" s="92"/>
      <c r="C209" s="92"/>
    </row>
    <row r="210" ht="14.25" customHeight="1">
      <c r="B210" s="92"/>
      <c r="C210" s="92"/>
    </row>
    <row r="211" ht="14.25" customHeight="1">
      <c r="B211" s="92"/>
      <c r="C211" s="92"/>
    </row>
    <row r="212" ht="14.25" customHeight="1">
      <c r="B212" s="92"/>
      <c r="C212" s="92"/>
    </row>
    <row r="213" ht="14.25" customHeight="1">
      <c r="B213" s="92"/>
      <c r="C213" s="92"/>
    </row>
    <row r="214" ht="14.25" customHeight="1">
      <c r="B214" s="92"/>
      <c r="C214" s="92"/>
    </row>
    <row r="215" ht="14.25" customHeight="1">
      <c r="B215" s="92"/>
      <c r="C215" s="92"/>
    </row>
    <row r="216" ht="14.25" customHeight="1">
      <c r="B216" s="92"/>
      <c r="C216" s="92"/>
    </row>
    <row r="217" ht="14.25" customHeight="1">
      <c r="B217" s="92"/>
      <c r="C217" s="92"/>
    </row>
    <row r="218" ht="14.25" customHeight="1">
      <c r="B218" s="92"/>
      <c r="C218" s="92"/>
    </row>
    <row r="219" ht="14.25" customHeight="1">
      <c r="B219" s="92"/>
      <c r="C219" s="92"/>
    </row>
    <row r="220" ht="14.25" customHeight="1">
      <c r="B220" s="92"/>
      <c r="C220" s="92"/>
    </row>
    <row r="221" ht="14.25" customHeight="1">
      <c r="B221" s="92"/>
      <c r="C221" s="92"/>
    </row>
    <row r="222" ht="14.25" customHeight="1">
      <c r="B222" s="92"/>
      <c r="C222" s="92"/>
    </row>
    <row r="223" ht="14.25" customHeight="1">
      <c r="B223" s="92"/>
      <c r="C223" s="92"/>
    </row>
    <row r="224" ht="14.25" customHeight="1">
      <c r="B224" s="92"/>
      <c r="C224" s="92"/>
    </row>
    <row r="225" ht="14.25" customHeight="1">
      <c r="B225" s="92"/>
      <c r="C225" s="92"/>
    </row>
    <row r="226" ht="14.25" customHeight="1">
      <c r="B226" s="92"/>
      <c r="C226" s="92"/>
    </row>
    <row r="227" ht="14.25" customHeight="1">
      <c r="B227" s="92"/>
      <c r="C227" s="92"/>
    </row>
    <row r="228" ht="14.25" customHeight="1">
      <c r="B228" s="92"/>
      <c r="C228" s="92"/>
    </row>
    <row r="229" ht="14.25" customHeight="1">
      <c r="B229" s="92"/>
      <c r="C229" s="92"/>
    </row>
    <row r="230" ht="14.25" customHeight="1">
      <c r="B230" s="92"/>
      <c r="C230" s="92"/>
    </row>
    <row r="231" ht="14.25" customHeight="1">
      <c r="B231" s="92"/>
      <c r="C231" s="92"/>
    </row>
    <row r="232" ht="14.25" customHeight="1">
      <c r="B232" s="92"/>
      <c r="C232" s="92"/>
    </row>
    <row r="233" ht="14.25" customHeight="1">
      <c r="B233" s="92"/>
      <c r="C233" s="92"/>
    </row>
    <row r="234" ht="14.25" customHeight="1">
      <c r="B234" s="92"/>
      <c r="C234" s="92"/>
    </row>
    <row r="235" ht="14.25" customHeight="1">
      <c r="B235" s="92"/>
      <c r="C235" s="92"/>
    </row>
    <row r="236" ht="14.25" customHeight="1">
      <c r="B236" s="92"/>
      <c r="C236" s="92"/>
    </row>
    <row r="237" ht="14.25" customHeight="1">
      <c r="B237" s="92"/>
      <c r="C237" s="92"/>
    </row>
    <row r="238" ht="14.25" customHeight="1">
      <c r="B238" s="92"/>
      <c r="C238" s="92"/>
    </row>
    <row r="239" ht="14.25" customHeight="1">
      <c r="B239" s="92"/>
      <c r="C239" s="92"/>
    </row>
    <row r="240" ht="14.25" customHeight="1">
      <c r="B240" s="92"/>
      <c r="C240" s="92"/>
    </row>
    <row r="241" ht="14.25" customHeight="1">
      <c r="B241" s="92"/>
      <c r="C241" s="92"/>
    </row>
    <row r="242" ht="14.25" customHeight="1">
      <c r="B242" s="92"/>
      <c r="C242" s="92"/>
    </row>
    <row r="243" ht="14.25" customHeight="1">
      <c r="B243" s="92"/>
      <c r="C243" s="92"/>
    </row>
    <row r="244" ht="14.25" customHeight="1">
      <c r="B244" s="92"/>
      <c r="C244" s="92"/>
    </row>
    <row r="245" ht="14.25" customHeight="1">
      <c r="B245" s="92"/>
      <c r="C245" s="92"/>
    </row>
    <row r="246" ht="14.25" customHeight="1">
      <c r="B246" s="92"/>
      <c r="C246" s="92"/>
    </row>
    <row r="247" ht="14.25" customHeight="1">
      <c r="B247" s="92"/>
      <c r="C247" s="92"/>
    </row>
    <row r="248" ht="14.25" customHeight="1">
      <c r="B248" s="92"/>
      <c r="C248" s="92"/>
    </row>
    <row r="249" ht="14.25" customHeight="1">
      <c r="B249" s="92"/>
      <c r="C249" s="92"/>
    </row>
    <row r="250" ht="14.25" customHeight="1">
      <c r="B250" s="92"/>
      <c r="C250" s="92"/>
    </row>
    <row r="251" ht="14.25" customHeight="1">
      <c r="B251" s="92"/>
      <c r="C251" s="92"/>
    </row>
    <row r="252" ht="14.25" customHeight="1">
      <c r="B252" s="92"/>
      <c r="C252" s="92"/>
    </row>
    <row r="253" ht="14.25" customHeight="1">
      <c r="B253" s="92"/>
      <c r="C253" s="92"/>
    </row>
    <row r="254" ht="14.25" customHeight="1">
      <c r="B254" s="92"/>
      <c r="C254" s="92"/>
    </row>
    <row r="255" ht="14.25" customHeight="1">
      <c r="B255" s="92"/>
      <c r="C255" s="92"/>
    </row>
    <row r="256" ht="14.25" customHeight="1">
      <c r="B256" s="92"/>
      <c r="C256" s="92"/>
    </row>
    <row r="257" ht="14.25" customHeight="1">
      <c r="B257" s="92"/>
      <c r="C257" s="92"/>
    </row>
    <row r="258" ht="14.25" customHeight="1">
      <c r="B258" s="92"/>
      <c r="C258" s="92"/>
    </row>
    <row r="259" ht="14.25" customHeight="1">
      <c r="B259" s="92"/>
      <c r="C259" s="92"/>
    </row>
    <row r="260" ht="14.25" customHeight="1">
      <c r="B260" s="92"/>
      <c r="C260" s="92"/>
    </row>
    <row r="261" ht="14.25" customHeight="1">
      <c r="B261" s="92"/>
      <c r="C261" s="92"/>
    </row>
    <row r="262" ht="14.25" customHeight="1">
      <c r="B262" s="92"/>
      <c r="C262" s="92"/>
    </row>
    <row r="263" ht="14.25" customHeight="1">
      <c r="B263" s="92"/>
      <c r="C263" s="92"/>
    </row>
    <row r="264" ht="14.25" customHeight="1">
      <c r="B264" s="92"/>
      <c r="C264" s="92"/>
    </row>
    <row r="265" ht="14.25" customHeight="1">
      <c r="B265" s="92"/>
      <c r="C265" s="92"/>
    </row>
    <row r="266" ht="14.25" customHeight="1">
      <c r="B266" s="92"/>
      <c r="C266" s="92"/>
    </row>
    <row r="267" ht="14.25" customHeight="1">
      <c r="B267" s="92"/>
      <c r="C267" s="92"/>
    </row>
    <row r="268" ht="14.25" customHeight="1">
      <c r="B268" s="92"/>
      <c r="C268" s="92"/>
    </row>
    <row r="269" ht="14.25" customHeight="1">
      <c r="B269" s="92"/>
      <c r="C269" s="92"/>
    </row>
    <row r="270" ht="14.25" customHeight="1">
      <c r="B270" s="92"/>
      <c r="C270" s="92"/>
    </row>
    <row r="271" ht="14.25" customHeight="1">
      <c r="B271" s="92"/>
      <c r="C271" s="92"/>
    </row>
    <row r="272" ht="14.25" customHeight="1">
      <c r="B272" s="92"/>
      <c r="C272" s="92"/>
    </row>
    <row r="273" ht="14.25" customHeight="1">
      <c r="B273" s="92"/>
      <c r="C273" s="92"/>
    </row>
    <row r="274" ht="14.25" customHeight="1">
      <c r="B274" s="92"/>
      <c r="C274" s="92"/>
    </row>
    <row r="275" ht="14.25" customHeight="1">
      <c r="B275" s="92"/>
      <c r="C275" s="92"/>
    </row>
    <row r="276" ht="14.25" customHeight="1">
      <c r="B276" s="92"/>
      <c r="C276" s="92"/>
    </row>
    <row r="277" ht="14.25" customHeight="1">
      <c r="B277" s="92"/>
      <c r="C277" s="92"/>
    </row>
    <row r="278" ht="14.25" customHeight="1">
      <c r="B278" s="92"/>
      <c r="C278" s="92"/>
    </row>
    <row r="279" ht="14.25" customHeight="1">
      <c r="B279" s="92"/>
      <c r="C279" s="92"/>
    </row>
    <row r="280" ht="14.25" customHeight="1">
      <c r="B280" s="92"/>
      <c r="C280" s="92"/>
    </row>
    <row r="281" ht="14.25" customHeight="1">
      <c r="B281" s="92"/>
      <c r="C281" s="92"/>
    </row>
    <row r="282" ht="14.25" customHeight="1">
      <c r="B282" s="92"/>
      <c r="C282" s="92"/>
    </row>
    <row r="283" ht="14.25" customHeight="1">
      <c r="B283" s="92"/>
      <c r="C283" s="92"/>
    </row>
    <row r="284" ht="14.25" customHeight="1">
      <c r="B284" s="92"/>
      <c r="C284" s="92"/>
    </row>
    <row r="285" ht="14.25" customHeight="1">
      <c r="B285" s="92"/>
      <c r="C285" s="92"/>
    </row>
    <row r="286" ht="14.25" customHeight="1">
      <c r="B286" s="92"/>
      <c r="C286" s="92"/>
    </row>
    <row r="287" ht="14.25" customHeight="1">
      <c r="B287" s="92"/>
      <c r="C287" s="92"/>
    </row>
    <row r="288" ht="14.25" customHeight="1">
      <c r="B288" s="92"/>
      <c r="C288" s="92"/>
    </row>
    <row r="289" ht="14.25" customHeight="1">
      <c r="B289" s="92"/>
      <c r="C289" s="92"/>
    </row>
    <row r="290" ht="14.25" customHeight="1">
      <c r="B290" s="92"/>
      <c r="C290" s="92"/>
    </row>
    <row r="291" ht="14.25" customHeight="1">
      <c r="B291" s="92"/>
      <c r="C291" s="92"/>
    </row>
    <row r="292" ht="14.25" customHeight="1">
      <c r="B292" s="92"/>
      <c r="C292" s="92"/>
    </row>
    <row r="293" ht="14.25" customHeight="1">
      <c r="B293" s="92"/>
      <c r="C293" s="92"/>
    </row>
    <row r="294" ht="14.25" customHeight="1">
      <c r="B294" s="92"/>
      <c r="C294" s="92"/>
    </row>
    <row r="295" ht="14.25" customHeight="1">
      <c r="B295" s="92"/>
      <c r="C295" s="92"/>
    </row>
    <row r="296" ht="14.25" customHeight="1">
      <c r="B296" s="92"/>
      <c r="C296" s="92"/>
    </row>
    <row r="297" ht="14.25" customHeight="1">
      <c r="B297" s="92"/>
      <c r="C297" s="92"/>
    </row>
    <row r="298" ht="14.25" customHeight="1">
      <c r="B298" s="92"/>
      <c r="C298" s="92"/>
    </row>
    <row r="299" ht="14.25" customHeight="1">
      <c r="B299" s="92"/>
      <c r="C299" s="92"/>
    </row>
    <row r="300" ht="14.25" customHeight="1">
      <c r="B300" s="92"/>
      <c r="C300" s="92"/>
    </row>
    <row r="301" ht="14.25" customHeight="1">
      <c r="B301" s="92"/>
      <c r="C301" s="92"/>
    </row>
    <row r="302" ht="14.25" customHeight="1">
      <c r="B302" s="92"/>
      <c r="C302" s="92"/>
    </row>
    <row r="303" ht="14.25" customHeight="1">
      <c r="B303" s="92"/>
      <c r="C303" s="92"/>
    </row>
    <row r="304" ht="14.25" customHeight="1">
      <c r="B304" s="92"/>
      <c r="C304" s="92"/>
    </row>
    <row r="305" ht="14.25" customHeight="1">
      <c r="B305" s="92"/>
      <c r="C305" s="92"/>
    </row>
    <row r="306" ht="14.25" customHeight="1">
      <c r="B306" s="92"/>
      <c r="C306" s="92"/>
    </row>
    <row r="307" ht="14.25" customHeight="1">
      <c r="B307" s="92"/>
      <c r="C307" s="92"/>
    </row>
    <row r="308" ht="14.25" customHeight="1">
      <c r="B308" s="92"/>
      <c r="C308" s="92"/>
    </row>
    <row r="309" ht="14.25" customHeight="1">
      <c r="B309" s="92"/>
      <c r="C309" s="92"/>
    </row>
    <row r="310" ht="14.25" customHeight="1">
      <c r="B310" s="92"/>
      <c r="C310" s="92"/>
    </row>
    <row r="311" ht="14.25" customHeight="1">
      <c r="B311" s="92"/>
      <c r="C311" s="92"/>
    </row>
    <row r="312" ht="14.25" customHeight="1">
      <c r="B312" s="92"/>
      <c r="C312" s="92"/>
    </row>
    <row r="313" ht="14.25" customHeight="1">
      <c r="B313" s="92"/>
      <c r="C313" s="92"/>
    </row>
    <row r="314" ht="14.25" customHeight="1">
      <c r="B314" s="92"/>
      <c r="C314" s="92"/>
    </row>
    <row r="315" ht="14.25" customHeight="1">
      <c r="B315" s="92"/>
      <c r="C315" s="92"/>
    </row>
    <row r="316" ht="14.25" customHeight="1">
      <c r="B316" s="92"/>
      <c r="C316" s="92"/>
    </row>
    <row r="317" ht="14.25" customHeight="1">
      <c r="B317" s="92"/>
      <c r="C317" s="92"/>
    </row>
    <row r="318" ht="14.25" customHeight="1">
      <c r="B318" s="92"/>
      <c r="C318" s="92"/>
    </row>
    <row r="319" ht="14.25" customHeight="1">
      <c r="B319" s="92"/>
      <c r="C319" s="92"/>
    </row>
    <row r="320" ht="14.25" customHeight="1">
      <c r="B320" s="92"/>
      <c r="C320" s="92"/>
    </row>
    <row r="321" ht="14.25" customHeight="1">
      <c r="B321" s="92"/>
      <c r="C321" s="92"/>
    </row>
    <row r="322" ht="14.25" customHeight="1">
      <c r="B322" s="92"/>
      <c r="C322" s="92"/>
    </row>
    <row r="323" ht="14.25" customHeight="1">
      <c r="B323" s="92"/>
      <c r="C323" s="92"/>
    </row>
    <row r="324" ht="14.25" customHeight="1">
      <c r="B324" s="92"/>
      <c r="C324" s="92"/>
    </row>
    <row r="325" ht="14.25" customHeight="1">
      <c r="B325" s="92"/>
      <c r="C325" s="92"/>
    </row>
    <row r="326" ht="14.25" customHeight="1">
      <c r="B326" s="92"/>
      <c r="C326" s="92"/>
    </row>
    <row r="327" ht="14.25" customHeight="1">
      <c r="B327" s="92"/>
      <c r="C327" s="92"/>
    </row>
    <row r="328" ht="14.25" customHeight="1">
      <c r="B328" s="92"/>
      <c r="C328" s="92"/>
    </row>
    <row r="329" ht="14.25" customHeight="1">
      <c r="B329" s="92"/>
      <c r="C329" s="92"/>
    </row>
    <row r="330" ht="14.25" customHeight="1">
      <c r="B330" s="92"/>
      <c r="C330" s="92"/>
    </row>
    <row r="331" ht="14.25" customHeight="1">
      <c r="B331" s="92"/>
      <c r="C331" s="92"/>
    </row>
    <row r="332" ht="14.25" customHeight="1">
      <c r="B332" s="92"/>
      <c r="C332" s="92"/>
    </row>
    <row r="333" ht="14.25" customHeight="1">
      <c r="B333" s="92"/>
      <c r="C333" s="92"/>
    </row>
    <row r="334" ht="14.25" customHeight="1">
      <c r="B334" s="92"/>
      <c r="C334" s="92"/>
    </row>
    <row r="335" ht="14.25" customHeight="1">
      <c r="B335" s="92"/>
      <c r="C335" s="92"/>
    </row>
    <row r="336" ht="14.25" customHeight="1">
      <c r="B336" s="92"/>
      <c r="C336" s="92"/>
    </row>
    <row r="337" ht="14.25" customHeight="1">
      <c r="B337" s="92"/>
      <c r="C337" s="92"/>
    </row>
    <row r="338" ht="14.25" customHeight="1">
      <c r="B338" s="92"/>
      <c r="C338" s="92"/>
    </row>
    <row r="339" ht="14.25" customHeight="1">
      <c r="B339" s="92"/>
      <c r="C339" s="92"/>
    </row>
    <row r="340" ht="14.25" customHeight="1">
      <c r="B340" s="92"/>
      <c r="C340" s="92"/>
    </row>
    <row r="341" ht="14.25" customHeight="1">
      <c r="B341" s="92"/>
      <c r="C341" s="92"/>
    </row>
    <row r="342" ht="14.25" customHeight="1">
      <c r="B342" s="92"/>
      <c r="C342" s="92"/>
    </row>
    <row r="343" ht="14.25" customHeight="1">
      <c r="B343" s="92"/>
      <c r="C343" s="92"/>
    </row>
    <row r="344" ht="14.25" customHeight="1">
      <c r="B344" s="92"/>
      <c r="C344" s="92"/>
    </row>
    <row r="345" ht="14.25" customHeight="1">
      <c r="B345" s="92"/>
      <c r="C345" s="92"/>
    </row>
    <row r="346" ht="14.25" customHeight="1">
      <c r="B346" s="92"/>
      <c r="C346" s="92"/>
    </row>
    <row r="347" ht="14.25" customHeight="1">
      <c r="B347" s="92"/>
      <c r="C347" s="92"/>
    </row>
    <row r="348" ht="14.25" customHeight="1">
      <c r="B348" s="92"/>
      <c r="C348" s="92"/>
    </row>
    <row r="349" ht="14.25" customHeight="1">
      <c r="B349" s="92"/>
      <c r="C349" s="92"/>
    </row>
    <row r="350" ht="14.25" customHeight="1">
      <c r="B350" s="92"/>
      <c r="C350" s="92"/>
    </row>
    <row r="351" ht="14.25" customHeight="1">
      <c r="B351" s="92"/>
      <c r="C351" s="92"/>
    </row>
    <row r="352" ht="14.25" customHeight="1">
      <c r="B352" s="92"/>
      <c r="C352" s="92"/>
    </row>
    <row r="353" ht="14.25" customHeight="1">
      <c r="B353" s="92"/>
      <c r="C353" s="92"/>
    </row>
    <row r="354" ht="14.25" customHeight="1">
      <c r="B354" s="92"/>
      <c r="C354" s="92"/>
    </row>
    <row r="355" ht="14.25" customHeight="1">
      <c r="B355" s="92"/>
      <c r="C355" s="92"/>
    </row>
    <row r="356" ht="14.25" customHeight="1">
      <c r="B356" s="92"/>
      <c r="C356" s="92"/>
    </row>
    <row r="357" ht="14.25" customHeight="1">
      <c r="B357" s="92"/>
      <c r="C357" s="92"/>
    </row>
    <row r="358" ht="14.25" customHeight="1">
      <c r="B358" s="92"/>
      <c r="C358" s="92"/>
    </row>
    <row r="359" ht="14.25" customHeight="1">
      <c r="B359" s="92"/>
      <c r="C359" s="92"/>
    </row>
    <row r="360" ht="14.25" customHeight="1">
      <c r="B360" s="92"/>
      <c r="C360" s="92"/>
    </row>
    <row r="361" ht="14.25" customHeight="1">
      <c r="B361" s="92"/>
      <c r="C361" s="92"/>
    </row>
    <row r="362" ht="14.25" customHeight="1">
      <c r="B362" s="92"/>
      <c r="C362" s="92"/>
    </row>
    <row r="363" ht="14.25" customHeight="1">
      <c r="B363" s="92"/>
      <c r="C363" s="92"/>
    </row>
    <row r="364" ht="14.25" customHeight="1">
      <c r="B364" s="92"/>
      <c r="C364" s="92"/>
    </row>
    <row r="365" ht="14.25" customHeight="1">
      <c r="B365" s="92"/>
      <c r="C365" s="92"/>
    </row>
    <row r="366" ht="14.25" customHeight="1">
      <c r="B366" s="92"/>
      <c r="C366" s="92"/>
    </row>
    <row r="367" ht="14.25" customHeight="1">
      <c r="B367" s="92"/>
      <c r="C367" s="92"/>
    </row>
    <row r="368" ht="14.25" customHeight="1">
      <c r="B368" s="92"/>
      <c r="C368" s="92"/>
    </row>
    <row r="369" ht="14.25" customHeight="1">
      <c r="B369" s="92"/>
      <c r="C369" s="92"/>
    </row>
    <row r="370" ht="14.25" customHeight="1">
      <c r="B370" s="92"/>
      <c r="C370" s="92"/>
    </row>
    <row r="371" ht="14.25" customHeight="1">
      <c r="B371" s="92"/>
      <c r="C371" s="92"/>
    </row>
    <row r="372" ht="14.25" customHeight="1">
      <c r="B372" s="92"/>
      <c r="C372" s="92"/>
    </row>
    <row r="373" ht="14.25" customHeight="1">
      <c r="B373" s="92"/>
      <c r="C373" s="92"/>
    </row>
    <row r="374" ht="14.25" customHeight="1">
      <c r="B374" s="92"/>
      <c r="C374" s="92"/>
    </row>
    <row r="375" ht="14.25" customHeight="1">
      <c r="B375" s="92"/>
      <c r="C375" s="92"/>
    </row>
    <row r="376" ht="14.25" customHeight="1">
      <c r="B376" s="92"/>
      <c r="C376" s="92"/>
    </row>
    <row r="377" ht="14.25" customHeight="1">
      <c r="B377" s="92"/>
      <c r="C377" s="92"/>
    </row>
    <row r="378" ht="14.25" customHeight="1">
      <c r="B378" s="92"/>
      <c r="C378" s="92"/>
    </row>
    <row r="379" ht="14.25" customHeight="1">
      <c r="B379" s="92"/>
      <c r="C379" s="92"/>
    </row>
    <row r="380" ht="14.25" customHeight="1">
      <c r="B380" s="92"/>
      <c r="C380" s="92"/>
    </row>
    <row r="381" ht="14.25" customHeight="1">
      <c r="B381" s="92"/>
      <c r="C381" s="92"/>
    </row>
    <row r="382" ht="14.25" customHeight="1">
      <c r="B382" s="92"/>
      <c r="C382" s="92"/>
    </row>
    <row r="383" ht="14.25" customHeight="1">
      <c r="B383" s="92"/>
      <c r="C383" s="92"/>
    </row>
    <row r="384" ht="14.25" customHeight="1">
      <c r="B384" s="92"/>
      <c r="C384" s="92"/>
    </row>
    <row r="385" ht="14.25" customHeight="1">
      <c r="B385" s="92"/>
      <c r="C385" s="92"/>
    </row>
    <row r="386" ht="14.25" customHeight="1">
      <c r="B386" s="92"/>
      <c r="C386" s="92"/>
    </row>
    <row r="387" ht="14.25" customHeight="1">
      <c r="B387" s="92"/>
      <c r="C387" s="92"/>
    </row>
    <row r="388" ht="14.25" customHeight="1">
      <c r="B388" s="92"/>
      <c r="C388" s="92"/>
    </row>
    <row r="389" ht="14.25" customHeight="1">
      <c r="B389" s="92"/>
      <c r="C389" s="92"/>
    </row>
    <row r="390" ht="14.25" customHeight="1">
      <c r="B390" s="92"/>
      <c r="C390" s="92"/>
    </row>
    <row r="391" ht="14.25" customHeight="1">
      <c r="B391" s="92"/>
      <c r="C391" s="92"/>
    </row>
    <row r="392" ht="14.25" customHeight="1">
      <c r="B392" s="92"/>
      <c r="C392" s="92"/>
    </row>
    <row r="393" ht="14.25" customHeight="1">
      <c r="B393" s="92"/>
      <c r="C393" s="92"/>
    </row>
    <row r="394" ht="14.25" customHeight="1">
      <c r="B394" s="92"/>
      <c r="C394" s="92"/>
    </row>
    <row r="395" ht="14.25" customHeight="1">
      <c r="B395" s="92"/>
      <c r="C395" s="92"/>
    </row>
    <row r="396" ht="14.25" customHeight="1">
      <c r="B396" s="92"/>
      <c r="C396" s="92"/>
    </row>
    <row r="397" ht="14.25" customHeight="1">
      <c r="B397" s="92"/>
      <c r="C397" s="92"/>
    </row>
    <row r="398" ht="14.25" customHeight="1">
      <c r="B398" s="92"/>
      <c r="C398" s="92"/>
    </row>
    <row r="399" ht="14.25" customHeight="1">
      <c r="B399" s="92"/>
      <c r="C399" s="92"/>
    </row>
    <row r="400" ht="14.25" customHeight="1">
      <c r="B400" s="92"/>
      <c r="C400" s="92"/>
    </row>
    <row r="401" ht="14.25" customHeight="1">
      <c r="B401" s="92"/>
      <c r="C401" s="92"/>
    </row>
    <row r="402" ht="14.25" customHeight="1">
      <c r="B402" s="92"/>
      <c r="C402" s="92"/>
    </row>
    <row r="403" ht="14.25" customHeight="1">
      <c r="B403" s="92"/>
      <c r="C403" s="92"/>
    </row>
    <row r="404" ht="14.25" customHeight="1">
      <c r="B404" s="92"/>
      <c r="C404" s="92"/>
    </row>
    <row r="405" ht="14.25" customHeight="1">
      <c r="B405" s="92"/>
      <c r="C405" s="92"/>
    </row>
    <row r="406" ht="14.25" customHeight="1">
      <c r="B406" s="92"/>
      <c r="C406" s="92"/>
    </row>
    <row r="407" ht="14.25" customHeight="1">
      <c r="B407" s="92"/>
      <c r="C407" s="92"/>
    </row>
    <row r="408" ht="14.25" customHeight="1">
      <c r="B408" s="92"/>
      <c r="C408" s="92"/>
    </row>
    <row r="409" ht="14.25" customHeight="1">
      <c r="B409" s="92"/>
      <c r="C409" s="92"/>
    </row>
    <row r="410" ht="14.25" customHeight="1">
      <c r="B410" s="92"/>
      <c r="C410" s="92"/>
    </row>
    <row r="411" ht="14.25" customHeight="1">
      <c r="B411" s="92"/>
      <c r="C411" s="92"/>
    </row>
    <row r="412" ht="14.25" customHeight="1">
      <c r="B412" s="92"/>
      <c r="C412" s="92"/>
    </row>
    <row r="413" ht="14.25" customHeight="1">
      <c r="B413" s="92"/>
      <c r="C413" s="92"/>
    </row>
    <row r="414" ht="14.25" customHeight="1">
      <c r="B414" s="92"/>
      <c r="C414" s="92"/>
    </row>
    <row r="415" ht="14.25" customHeight="1">
      <c r="B415" s="92"/>
      <c r="C415" s="92"/>
    </row>
    <row r="416" ht="14.25" customHeight="1">
      <c r="B416" s="92"/>
      <c r="C416" s="92"/>
    </row>
    <row r="417" ht="14.25" customHeight="1">
      <c r="B417" s="92"/>
      <c r="C417" s="92"/>
    </row>
    <row r="418" ht="14.25" customHeight="1">
      <c r="B418" s="92"/>
      <c r="C418" s="92"/>
    </row>
    <row r="419" ht="14.25" customHeight="1">
      <c r="B419" s="92"/>
      <c r="C419" s="92"/>
    </row>
    <row r="420" ht="14.25" customHeight="1">
      <c r="B420" s="92"/>
      <c r="C420" s="92"/>
    </row>
    <row r="421" ht="14.25" customHeight="1">
      <c r="B421" s="92"/>
      <c r="C421" s="92"/>
    </row>
    <row r="422" ht="14.25" customHeight="1">
      <c r="B422" s="92"/>
      <c r="C422" s="92"/>
    </row>
    <row r="423" ht="14.25" customHeight="1">
      <c r="B423" s="92"/>
      <c r="C423" s="92"/>
    </row>
    <row r="424" ht="14.25" customHeight="1">
      <c r="B424" s="92"/>
      <c r="C424" s="92"/>
    </row>
    <row r="425" ht="14.25" customHeight="1">
      <c r="B425" s="92"/>
      <c r="C425" s="92"/>
    </row>
    <row r="426" ht="14.25" customHeight="1">
      <c r="B426" s="92"/>
      <c r="C426" s="92"/>
    </row>
    <row r="427" ht="14.25" customHeight="1">
      <c r="B427" s="92"/>
      <c r="C427" s="92"/>
    </row>
    <row r="428" ht="14.25" customHeight="1">
      <c r="B428" s="92"/>
      <c r="C428" s="92"/>
    </row>
    <row r="429" ht="14.25" customHeight="1">
      <c r="B429" s="92"/>
      <c r="C429" s="92"/>
    </row>
    <row r="430" ht="14.25" customHeight="1">
      <c r="B430" s="92"/>
      <c r="C430" s="92"/>
    </row>
    <row r="431" ht="14.25" customHeight="1">
      <c r="B431" s="92"/>
      <c r="C431" s="92"/>
    </row>
    <row r="432" ht="14.25" customHeight="1">
      <c r="B432" s="92"/>
      <c r="C432" s="92"/>
    </row>
    <row r="433" ht="14.25" customHeight="1">
      <c r="B433" s="92"/>
      <c r="C433" s="92"/>
    </row>
    <row r="434" ht="14.25" customHeight="1">
      <c r="B434" s="92"/>
      <c r="C434" s="92"/>
    </row>
    <row r="435" ht="14.25" customHeight="1">
      <c r="B435" s="92"/>
      <c r="C435" s="92"/>
    </row>
    <row r="436" ht="14.25" customHeight="1">
      <c r="B436" s="92"/>
      <c r="C436" s="92"/>
    </row>
    <row r="437" ht="14.25" customHeight="1">
      <c r="B437" s="92"/>
      <c r="C437" s="92"/>
    </row>
    <row r="438" ht="14.25" customHeight="1">
      <c r="B438" s="92"/>
      <c r="C438" s="92"/>
    </row>
    <row r="439" ht="14.25" customHeight="1">
      <c r="B439" s="92"/>
      <c r="C439" s="92"/>
    </row>
    <row r="440" ht="14.25" customHeight="1">
      <c r="B440" s="92"/>
      <c r="C440" s="92"/>
    </row>
    <row r="441" ht="14.25" customHeight="1">
      <c r="B441" s="92"/>
      <c r="C441" s="92"/>
    </row>
    <row r="442" ht="14.25" customHeight="1">
      <c r="B442" s="92"/>
      <c r="C442" s="92"/>
    </row>
    <row r="443" ht="14.25" customHeight="1">
      <c r="B443" s="92"/>
      <c r="C443" s="92"/>
    </row>
    <row r="444" ht="14.25" customHeight="1">
      <c r="B444" s="92"/>
      <c r="C444" s="92"/>
    </row>
    <row r="445" ht="14.25" customHeight="1">
      <c r="B445" s="92"/>
      <c r="C445" s="92"/>
    </row>
    <row r="446" ht="14.25" customHeight="1">
      <c r="B446" s="92"/>
      <c r="C446" s="92"/>
    </row>
    <row r="447" ht="14.25" customHeight="1">
      <c r="B447" s="92"/>
      <c r="C447" s="92"/>
    </row>
    <row r="448" ht="14.25" customHeight="1">
      <c r="B448" s="92"/>
      <c r="C448" s="92"/>
    </row>
    <row r="449" ht="14.25" customHeight="1">
      <c r="B449" s="92"/>
      <c r="C449" s="92"/>
    </row>
    <row r="450" ht="14.25" customHeight="1">
      <c r="B450" s="92"/>
      <c r="C450" s="92"/>
    </row>
    <row r="451" ht="14.25" customHeight="1">
      <c r="B451" s="92"/>
      <c r="C451" s="92"/>
    </row>
    <row r="452" ht="14.25" customHeight="1">
      <c r="B452" s="92"/>
      <c r="C452" s="92"/>
    </row>
    <row r="453" ht="14.25" customHeight="1">
      <c r="B453" s="92"/>
      <c r="C453" s="92"/>
    </row>
    <row r="454" ht="14.25" customHeight="1">
      <c r="B454" s="92"/>
      <c r="C454" s="92"/>
    </row>
    <row r="455" ht="14.25" customHeight="1">
      <c r="B455" s="92"/>
      <c r="C455" s="92"/>
    </row>
    <row r="456" ht="14.25" customHeight="1">
      <c r="B456" s="92"/>
      <c r="C456" s="92"/>
    </row>
    <row r="457" ht="14.25" customHeight="1">
      <c r="B457" s="92"/>
      <c r="C457" s="92"/>
    </row>
    <row r="458" ht="14.25" customHeight="1">
      <c r="B458" s="92"/>
      <c r="C458" s="92"/>
    </row>
    <row r="459" ht="14.25" customHeight="1">
      <c r="B459" s="92"/>
      <c r="C459" s="92"/>
    </row>
    <row r="460" ht="14.25" customHeight="1">
      <c r="B460" s="92"/>
      <c r="C460" s="92"/>
    </row>
    <row r="461" ht="14.25" customHeight="1">
      <c r="B461" s="92"/>
      <c r="C461" s="92"/>
    </row>
    <row r="462" ht="14.25" customHeight="1">
      <c r="B462" s="92"/>
      <c r="C462" s="92"/>
    </row>
    <row r="463" ht="14.25" customHeight="1">
      <c r="B463" s="92"/>
      <c r="C463" s="92"/>
    </row>
    <row r="464" ht="14.25" customHeight="1">
      <c r="B464" s="92"/>
      <c r="C464" s="92"/>
    </row>
    <row r="465" ht="14.25" customHeight="1">
      <c r="B465" s="92"/>
      <c r="C465" s="92"/>
    </row>
    <row r="466" ht="14.25" customHeight="1">
      <c r="B466" s="92"/>
      <c r="C466" s="92"/>
    </row>
    <row r="467" ht="14.25" customHeight="1">
      <c r="B467" s="92"/>
      <c r="C467" s="92"/>
    </row>
    <row r="468" ht="14.25" customHeight="1">
      <c r="B468" s="92"/>
      <c r="C468" s="92"/>
    </row>
    <row r="469" ht="14.25" customHeight="1">
      <c r="B469" s="92"/>
      <c r="C469" s="92"/>
    </row>
    <row r="470" ht="14.25" customHeight="1">
      <c r="B470" s="92"/>
      <c r="C470" s="92"/>
    </row>
    <row r="471" ht="14.25" customHeight="1">
      <c r="B471" s="92"/>
      <c r="C471" s="92"/>
    </row>
    <row r="472" ht="14.25" customHeight="1">
      <c r="B472" s="92"/>
      <c r="C472" s="92"/>
    </row>
    <row r="473" ht="14.25" customHeight="1">
      <c r="B473" s="92"/>
      <c r="C473" s="92"/>
    </row>
    <row r="474" ht="14.25" customHeight="1">
      <c r="B474" s="92"/>
      <c r="C474" s="92"/>
    </row>
    <row r="475" ht="14.25" customHeight="1">
      <c r="B475" s="92"/>
      <c r="C475" s="92"/>
    </row>
    <row r="476" ht="14.25" customHeight="1">
      <c r="B476" s="92"/>
      <c r="C476" s="92"/>
    </row>
    <row r="477" ht="14.25" customHeight="1">
      <c r="B477" s="92"/>
      <c r="C477" s="92"/>
    </row>
    <row r="478" ht="14.25" customHeight="1">
      <c r="B478" s="92"/>
      <c r="C478" s="92"/>
    </row>
    <row r="479" ht="14.25" customHeight="1">
      <c r="B479" s="92"/>
      <c r="C479" s="92"/>
    </row>
    <row r="480" ht="14.25" customHeight="1">
      <c r="B480" s="92"/>
      <c r="C480" s="92"/>
    </row>
    <row r="481" ht="14.25" customHeight="1">
      <c r="B481" s="92"/>
      <c r="C481" s="92"/>
    </row>
    <row r="482" ht="14.25" customHeight="1">
      <c r="B482" s="92"/>
      <c r="C482" s="92"/>
    </row>
    <row r="483" ht="14.25" customHeight="1">
      <c r="B483" s="92"/>
      <c r="C483" s="92"/>
    </row>
    <row r="484" ht="14.25" customHeight="1">
      <c r="B484" s="92"/>
      <c r="C484" s="92"/>
    </row>
    <row r="485" ht="14.25" customHeight="1">
      <c r="B485" s="92"/>
      <c r="C485" s="92"/>
    </row>
    <row r="486" ht="14.25" customHeight="1">
      <c r="B486" s="92"/>
      <c r="C486" s="92"/>
    </row>
    <row r="487" ht="14.25" customHeight="1">
      <c r="B487" s="92"/>
      <c r="C487" s="92"/>
    </row>
    <row r="488" ht="14.25" customHeight="1">
      <c r="B488" s="92"/>
      <c r="C488" s="92"/>
    </row>
    <row r="489" ht="14.25" customHeight="1">
      <c r="B489" s="92"/>
      <c r="C489" s="92"/>
    </row>
    <row r="490" ht="14.25" customHeight="1">
      <c r="B490" s="92"/>
      <c r="C490" s="92"/>
    </row>
    <row r="491" ht="14.25" customHeight="1">
      <c r="B491" s="92"/>
      <c r="C491" s="92"/>
    </row>
    <row r="492" ht="14.25" customHeight="1">
      <c r="B492" s="92"/>
      <c r="C492" s="92"/>
    </row>
    <row r="493" ht="14.25" customHeight="1">
      <c r="B493" s="92"/>
      <c r="C493" s="92"/>
    </row>
    <row r="494" ht="14.25" customHeight="1">
      <c r="B494" s="92"/>
      <c r="C494" s="92"/>
    </row>
    <row r="495" ht="14.25" customHeight="1">
      <c r="B495" s="92"/>
      <c r="C495" s="92"/>
    </row>
    <row r="496" ht="14.25" customHeight="1">
      <c r="B496" s="92"/>
      <c r="C496" s="92"/>
    </row>
    <row r="497" ht="14.25" customHeight="1">
      <c r="B497" s="92"/>
      <c r="C497" s="92"/>
    </row>
    <row r="498" ht="14.25" customHeight="1">
      <c r="B498" s="92"/>
      <c r="C498" s="92"/>
    </row>
    <row r="499" ht="14.25" customHeight="1">
      <c r="B499" s="92"/>
      <c r="C499" s="92"/>
    </row>
    <row r="500" ht="14.25" customHeight="1">
      <c r="B500" s="92"/>
      <c r="C500" s="92"/>
    </row>
    <row r="501" ht="14.25" customHeight="1">
      <c r="B501" s="92"/>
      <c r="C501" s="92"/>
    </row>
    <row r="502" ht="14.25" customHeight="1">
      <c r="B502" s="92"/>
      <c r="C502" s="92"/>
    </row>
    <row r="503" ht="14.25" customHeight="1">
      <c r="B503" s="92"/>
      <c r="C503" s="92"/>
    </row>
    <row r="504" ht="14.25" customHeight="1">
      <c r="B504" s="92"/>
      <c r="C504" s="92"/>
    </row>
    <row r="505" ht="14.25" customHeight="1">
      <c r="B505" s="92"/>
      <c r="C505" s="92"/>
    </row>
    <row r="506" ht="14.25" customHeight="1">
      <c r="B506" s="92"/>
      <c r="C506" s="92"/>
    </row>
    <row r="507" ht="14.25" customHeight="1">
      <c r="B507" s="92"/>
      <c r="C507" s="92"/>
    </row>
    <row r="508" ht="14.25" customHeight="1">
      <c r="B508" s="92"/>
      <c r="C508" s="92"/>
    </row>
    <row r="509" ht="14.25" customHeight="1">
      <c r="B509" s="92"/>
      <c r="C509" s="92"/>
    </row>
    <row r="510" ht="14.25" customHeight="1">
      <c r="B510" s="92"/>
      <c r="C510" s="92"/>
    </row>
    <row r="511" ht="14.25" customHeight="1">
      <c r="B511" s="92"/>
      <c r="C511" s="92"/>
    </row>
    <row r="512" ht="14.25" customHeight="1">
      <c r="B512" s="92"/>
      <c r="C512" s="92"/>
    </row>
    <row r="513" ht="14.25" customHeight="1">
      <c r="B513" s="92"/>
      <c r="C513" s="92"/>
    </row>
    <row r="514" ht="14.25" customHeight="1">
      <c r="B514" s="92"/>
      <c r="C514" s="92"/>
    </row>
    <row r="515" ht="14.25" customHeight="1">
      <c r="B515" s="92"/>
      <c r="C515" s="92"/>
    </row>
    <row r="516" ht="14.25" customHeight="1">
      <c r="B516" s="92"/>
      <c r="C516" s="92"/>
    </row>
    <row r="517" ht="14.25" customHeight="1">
      <c r="B517" s="92"/>
      <c r="C517" s="92"/>
    </row>
    <row r="518" ht="14.25" customHeight="1">
      <c r="B518" s="92"/>
      <c r="C518" s="92"/>
    </row>
    <row r="519" ht="14.25" customHeight="1">
      <c r="B519" s="92"/>
      <c r="C519" s="92"/>
    </row>
    <row r="520" ht="14.25" customHeight="1">
      <c r="B520" s="92"/>
      <c r="C520" s="92"/>
    </row>
    <row r="521" ht="14.25" customHeight="1">
      <c r="B521" s="92"/>
      <c r="C521" s="92"/>
    </row>
    <row r="522" ht="14.25" customHeight="1">
      <c r="B522" s="92"/>
      <c r="C522" s="92"/>
    </row>
    <row r="523" ht="14.25" customHeight="1">
      <c r="B523" s="92"/>
      <c r="C523" s="92"/>
    </row>
    <row r="524" ht="14.25" customHeight="1">
      <c r="B524" s="92"/>
      <c r="C524" s="92"/>
    </row>
    <row r="525" ht="14.25" customHeight="1">
      <c r="B525" s="92"/>
      <c r="C525" s="92"/>
    </row>
    <row r="526" ht="14.25" customHeight="1">
      <c r="B526" s="92"/>
      <c r="C526" s="92"/>
    </row>
    <row r="527" ht="14.25" customHeight="1">
      <c r="B527" s="92"/>
      <c r="C527" s="92"/>
    </row>
    <row r="528" ht="14.25" customHeight="1">
      <c r="B528" s="92"/>
      <c r="C528" s="92"/>
    </row>
    <row r="529" ht="14.25" customHeight="1">
      <c r="B529" s="92"/>
      <c r="C529" s="92"/>
    </row>
    <row r="530" ht="14.25" customHeight="1">
      <c r="B530" s="92"/>
      <c r="C530" s="92"/>
    </row>
    <row r="531" ht="14.25" customHeight="1">
      <c r="B531" s="92"/>
      <c r="C531" s="92"/>
    </row>
    <row r="532" ht="14.25" customHeight="1">
      <c r="B532" s="92"/>
      <c r="C532" s="92"/>
    </row>
    <row r="533" ht="14.25" customHeight="1">
      <c r="B533" s="92"/>
      <c r="C533" s="92"/>
    </row>
    <row r="534" ht="14.25" customHeight="1">
      <c r="B534" s="92"/>
      <c r="C534" s="92"/>
    </row>
    <row r="535" ht="14.25" customHeight="1">
      <c r="B535" s="92"/>
      <c r="C535" s="92"/>
    </row>
    <row r="536" ht="14.25" customHeight="1">
      <c r="B536" s="92"/>
      <c r="C536" s="92"/>
    </row>
    <row r="537" ht="14.25" customHeight="1">
      <c r="B537" s="92"/>
      <c r="C537" s="92"/>
    </row>
    <row r="538" ht="14.25" customHeight="1">
      <c r="B538" s="92"/>
      <c r="C538" s="92"/>
    </row>
    <row r="539" ht="14.25" customHeight="1">
      <c r="B539" s="92"/>
      <c r="C539" s="92"/>
    </row>
    <row r="540" ht="14.25" customHeight="1">
      <c r="B540" s="92"/>
      <c r="C540" s="92"/>
    </row>
    <row r="541" ht="14.25" customHeight="1">
      <c r="B541" s="92"/>
      <c r="C541" s="92"/>
    </row>
    <row r="542" ht="14.25" customHeight="1">
      <c r="B542" s="92"/>
      <c r="C542" s="92"/>
    </row>
    <row r="543" ht="14.25" customHeight="1">
      <c r="B543" s="92"/>
      <c r="C543" s="92"/>
    </row>
    <row r="544" ht="14.25" customHeight="1">
      <c r="B544" s="92"/>
      <c r="C544" s="92"/>
    </row>
    <row r="545" ht="14.25" customHeight="1">
      <c r="B545" s="92"/>
      <c r="C545" s="92"/>
    </row>
    <row r="546" ht="14.25" customHeight="1">
      <c r="B546" s="92"/>
      <c r="C546" s="92"/>
    </row>
    <row r="547" ht="14.25" customHeight="1">
      <c r="B547" s="92"/>
      <c r="C547" s="92"/>
    </row>
    <row r="548" ht="14.25" customHeight="1">
      <c r="B548" s="92"/>
      <c r="C548" s="92"/>
    </row>
    <row r="549" ht="14.25" customHeight="1">
      <c r="B549" s="92"/>
      <c r="C549" s="92"/>
    </row>
    <row r="550" ht="14.25" customHeight="1">
      <c r="B550" s="92"/>
      <c r="C550" s="92"/>
    </row>
    <row r="551" ht="14.25" customHeight="1">
      <c r="B551" s="92"/>
      <c r="C551" s="92"/>
    </row>
    <row r="552" ht="14.25" customHeight="1">
      <c r="B552" s="92"/>
      <c r="C552" s="92"/>
    </row>
    <row r="553" ht="14.25" customHeight="1">
      <c r="B553" s="92"/>
      <c r="C553" s="92"/>
    </row>
    <row r="554" ht="14.25" customHeight="1">
      <c r="B554" s="92"/>
      <c r="C554" s="92"/>
    </row>
    <row r="555" ht="14.25" customHeight="1">
      <c r="B555" s="92"/>
      <c r="C555" s="92"/>
    </row>
    <row r="556" ht="14.25" customHeight="1">
      <c r="B556" s="92"/>
      <c r="C556" s="92"/>
    </row>
    <row r="557" ht="14.25" customHeight="1">
      <c r="B557" s="92"/>
      <c r="C557" s="92"/>
    </row>
    <row r="558" ht="14.25" customHeight="1">
      <c r="B558" s="92"/>
      <c r="C558" s="92"/>
    </row>
    <row r="559" ht="14.25" customHeight="1">
      <c r="B559" s="92"/>
      <c r="C559" s="92"/>
    </row>
    <row r="560" ht="14.25" customHeight="1">
      <c r="B560" s="92"/>
      <c r="C560" s="92"/>
    </row>
    <row r="561" ht="14.25" customHeight="1">
      <c r="B561" s="92"/>
      <c r="C561" s="92"/>
    </row>
    <row r="562" ht="14.25" customHeight="1">
      <c r="B562" s="92"/>
      <c r="C562" s="92"/>
    </row>
    <row r="563" ht="14.25" customHeight="1">
      <c r="B563" s="92"/>
      <c r="C563" s="92"/>
    </row>
    <row r="564" ht="14.25" customHeight="1">
      <c r="B564" s="92"/>
      <c r="C564" s="92"/>
    </row>
    <row r="565" ht="14.25" customHeight="1">
      <c r="B565" s="92"/>
      <c r="C565" s="92"/>
    </row>
    <row r="566" ht="14.25" customHeight="1">
      <c r="B566" s="92"/>
      <c r="C566" s="92"/>
    </row>
    <row r="567" ht="14.25" customHeight="1">
      <c r="B567" s="92"/>
      <c r="C567" s="92"/>
    </row>
    <row r="568" ht="14.25" customHeight="1">
      <c r="B568" s="92"/>
      <c r="C568" s="92"/>
    </row>
    <row r="569" ht="14.25" customHeight="1">
      <c r="B569" s="92"/>
      <c r="C569" s="92"/>
    </row>
    <row r="570" ht="14.25" customHeight="1">
      <c r="B570" s="92"/>
      <c r="C570" s="92"/>
    </row>
    <row r="571" ht="14.25" customHeight="1">
      <c r="B571" s="92"/>
      <c r="C571" s="92"/>
    </row>
    <row r="572" ht="14.25" customHeight="1">
      <c r="B572" s="92"/>
      <c r="C572" s="92"/>
    </row>
    <row r="573" ht="14.25" customHeight="1">
      <c r="B573" s="92"/>
      <c r="C573" s="92"/>
    </row>
    <row r="574" ht="14.25" customHeight="1">
      <c r="B574" s="92"/>
      <c r="C574" s="92"/>
    </row>
    <row r="575" ht="14.25" customHeight="1">
      <c r="B575" s="92"/>
      <c r="C575" s="92"/>
    </row>
    <row r="576" ht="14.25" customHeight="1">
      <c r="B576" s="92"/>
      <c r="C576" s="92"/>
    </row>
    <row r="577" ht="14.25" customHeight="1">
      <c r="B577" s="92"/>
      <c r="C577" s="92"/>
    </row>
    <row r="578" ht="14.25" customHeight="1">
      <c r="B578" s="92"/>
      <c r="C578" s="92"/>
    </row>
    <row r="579" ht="14.25" customHeight="1">
      <c r="B579" s="92"/>
      <c r="C579" s="92"/>
    </row>
    <row r="580" ht="14.25" customHeight="1">
      <c r="B580" s="92"/>
      <c r="C580" s="92"/>
    </row>
    <row r="581" ht="14.25" customHeight="1">
      <c r="B581" s="92"/>
      <c r="C581" s="92"/>
    </row>
    <row r="582" ht="14.25" customHeight="1">
      <c r="B582" s="92"/>
      <c r="C582" s="92"/>
    </row>
    <row r="583" ht="14.25" customHeight="1">
      <c r="B583" s="92"/>
      <c r="C583" s="92"/>
    </row>
    <row r="584" ht="14.25" customHeight="1">
      <c r="B584" s="92"/>
      <c r="C584" s="92"/>
    </row>
    <row r="585" ht="14.25" customHeight="1">
      <c r="B585" s="92"/>
      <c r="C585" s="92"/>
    </row>
    <row r="586" ht="14.25" customHeight="1">
      <c r="B586" s="92"/>
      <c r="C586" s="92"/>
    </row>
    <row r="587" ht="14.25" customHeight="1">
      <c r="B587" s="92"/>
      <c r="C587" s="92"/>
    </row>
    <row r="588" ht="14.25" customHeight="1">
      <c r="B588" s="92"/>
      <c r="C588" s="92"/>
    </row>
    <row r="589" ht="14.25" customHeight="1">
      <c r="B589" s="92"/>
      <c r="C589" s="92"/>
    </row>
    <row r="590" ht="14.25" customHeight="1">
      <c r="B590" s="92"/>
      <c r="C590" s="92"/>
    </row>
    <row r="591" ht="14.25" customHeight="1">
      <c r="B591" s="92"/>
      <c r="C591" s="92"/>
    </row>
    <row r="592" ht="14.25" customHeight="1">
      <c r="B592" s="92"/>
      <c r="C592" s="92"/>
    </row>
    <row r="593" ht="14.25" customHeight="1">
      <c r="B593" s="92"/>
      <c r="C593" s="92"/>
    </row>
    <row r="594" ht="14.25" customHeight="1">
      <c r="B594" s="92"/>
      <c r="C594" s="92"/>
    </row>
    <row r="595" ht="14.25" customHeight="1">
      <c r="B595" s="92"/>
      <c r="C595" s="92"/>
    </row>
    <row r="596" ht="14.25" customHeight="1">
      <c r="B596" s="92"/>
      <c r="C596" s="92"/>
    </row>
    <row r="597" ht="14.25" customHeight="1">
      <c r="B597" s="92"/>
      <c r="C597" s="92"/>
    </row>
    <row r="598" ht="14.25" customHeight="1">
      <c r="B598" s="92"/>
      <c r="C598" s="92"/>
    </row>
    <row r="599" ht="14.25" customHeight="1">
      <c r="B599" s="92"/>
      <c r="C599" s="92"/>
    </row>
    <row r="600" ht="14.25" customHeight="1">
      <c r="B600" s="92"/>
      <c r="C600" s="92"/>
    </row>
    <row r="601" ht="14.25" customHeight="1">
      <c r="B601" s="92"/>
      <c r="C601" s="92"/>
    </row>
    <row r="602" ht="14.25" customHeight="1">
      <c r="B602" s="92"/>
      <c r="C602" s="92"/>
    </row>
    <row r="603" ht="14.25" customHeight="1">
      <c r="B603" s="92"/>
      <c r="C603" s="92"/>
    </row>
    <row r="604" ht="14.25" customHeight="1">
      <c r="B604" s="92"/>
      <c r="C604" s="92"/>
    </row>
    <row r="605" ht="14.25" customHeight="1">
      <c r="B605" s="92"/>
      <c r="C605" s="92"/>
    </row>
    <row r="606" ht="14.25" customHeight="1">
      <c r="B606" s="92"/>
      <c r="C606" s="92"/>
    </row>
    <row r="607" ht="14.25" customHeight="1">
      <c r="B607" s="92"/>
      <c r="C607" s="92"/>
    </row>
    <row r="608" ht="14.25" customHeight="1">
      <c r="B608" s="92"/>
      <c r="C608" s="92"/>
    </row>
    <row r="609" ht="14.25" customHeight="1">
      <c r="B609" s="92"/>
      <c r="C609" s="92"/>
    </row>
    <row r="610" ht="14.25" customHeight="1">
      <c r="B610" s="92"/>
      <c r="C610" s="92"/>
    </row>
    <row r="611" ht="14.25" customHeight="1">
      <c r="B611" s="92"/>
      <c r="C611" s="92"/>
    </row>
    <row r="612" ht="14.25" customHeight="1">
      <c r="B612" s="92"/>
      <c r="C612" s="92"/>
    </row>
    <row r="613" ht="14.25" customHeight="1">
      <c r="B613" s="92"/>
      <c r="C613" s="92"/>
    </row>
    <row r="614" ht="14.25" customHeight="1">
      <c r="B614" s="92"/>
      <c r="C614" s="92"/>
    </row>
    <row r="615" ht="14.25" customHeight="1">
      <c r="B615" s="92"/>
      <c r="C615" s="92"/>
    </row>
    <row r="616" ht="14.25" customHeight="1">
      <c r="B616" s="92"/>
      <c r="C616" s="92"/>
    </row>
    <row r="617" ht="14.25" customHeight="1">
      <c r="B617" s="92"/>
      <c r="C617" s="92"/>
    </row>
    <row r="618" ht="14.25" customHeight="1">
      <c r="B618" s="92"/>
      <c r="C618" s="92"/>
    </row>
    <row r="619" ht="14.25" customHeight="1">
      <c r="B619" s="92"/>
      <c r="C619" s="92"/>
    </row>
    <row r="620" ht="14.25" customHeight="1">
      <c r="B620" s="92"/>
      <c r="C620" s="92"/>
    </row>
    <row r="621" ht="14.25" customHeight="1">
      <c r="B621" s="92"/>
      <c r="C621" s="92"/>
    </row>
    <row r="622" ht="14.25" customHeight="1">
      <c r="B622" s="92"/>
      <c r="C622" s="92"/>
    </row>
    <row r="623" ht="14.25" customHeight="1">
      <c r="B623" s="92"/>
      <c r="C623" s="92"/>
    </row>
    <row r="624" ht="14.25" customHeight="1">
      <c r="B624" s="92"/>
      <c r="C624" s="92"/>
    </row>
    <row r="625" ht="14.25" customHeight="1">
      <c r="B625" s="92"/>
      <c r="C625" s="92"/>
    </row>
    <row r="626" ht="14.25" customHeight="1">
      <c r="B626" s="92"/>
      <c r="C626" s="92"/>
    </row>
    <row r="627" ht="14.25" customHeight="1">
      <c r="B627" s="92"/>
      <c r="C627" s="92"/>
    </row>
    <row r="628" ht="14.25" customHeight="1">
      <c r="B628" s="92"/>
      <c r="C628" s="92"/>
    </row>
    <row r="629" ht="14.25" customHeight="1">
      <c r="B629" s="92"/>
      <c r="C629" s="92"/>
    </row>
    <row r="630" ht="14.25" customHeight="1">
      <c r="B630" s="92"/>
      <c r="C630" s="92"/>
    </row>
    <row r="631" ht="14.25" customHeight="1">
      <c r="B631" s="92"/>
      <c r="C631" s="92"/>
    </row>
    <row r="632" ht="14.25" customHeight="1">
      <c r="B632" s="92"/>
      <c r="C632" s="92"/>
    </row>
    <row r="633" ht="14.25" customHeight="1">
      <c r="B633" s="92"/>
      <c r="C633" s="92"/>
    </row>
    <row r="634" ht="14.25" customHeight="1">
      <c r="B634" s="92"/>
      <c r="C634" s="92"/>
    </row>
    <row r="635" ht="14.25" customHeight="1">
      <c r="B635" s="92"/>
      <c r="C635" s="92"/>
    </row>
    <row r="636" ht="14.25" customHeight="1">
      <c r="B636" s="92"/>
      <c r="C636" s="92"/>
    </row>
    <row r="637" ht="14.25" customHeight="1">
      <c r="B637" s="92"/>
      <c r="C637" s="92"/>
    </row>
    <row r="638" ht="14.25" customHeight="1">
      <c r="B638" s="92"/>
      <c r="C638" s="92"/>
    </row>
    <row r="639" ht="14.25" customHeight="1">
      <c r="B639" s="92"/>
      <c r="C639" s="92"/>
    </row>
    <row r="640" ht="14.25" customHeight="1">
      <c r="B640" s="92"/>
      <c r="C640" s="92"/>
    </row>
    <row r="641" ht="14.25" customHeight="1">
      <c r="B641" s="92"/>
      <c r="C641" s="92"/>
    </row>
    <row r="642" ht="14.25" customHeight="1">
      <c r="B642" s="92"/>
      <c r="C642" s="92"/>
    </row>
    <row r="643" ht="14.25" customHeight="1">
      <c r="B643" s="92"/>
      <c r="C643" s="92"/>
    </row>
    <row r="644" ht="14.25" customHeight="1">
      <c r="B644" s="92"/>
      <c r="C644" s="92"/>
    </row>
    <row r="645" ht="14.25" customHeight="1">
      <c r="B645" s="92"/>
      <c r="C645" s="92"/>
    </row>
    <row r="646" ht="14.25" customHeight="1">
      <c r="B646" s="92"/>
      <c r="C646" s="92"/>
    </row>
    <row r="647" ht="14.25" customHeight="1">
      <c r="B647" s="92"/>
      <c r="C647" s="92"/>
    </row>
    <row r="648" ht="14.25" customHeight="1">
      <c r="B648" s="92"/>
      <c r="C648" s="92"/>
    </row>
    <row r="649" ht="14.25" customHeight="1">
      <c r="B649" s="92"/>
      <c r="C649" s="92"/>
    </row>
    <row r="650" ht="14.25" customHeight="1">
      <c r="B650" s="92"/>
      <c r="C650" s="92"/>
    </row>
    <row r="651" ht="14.25" customHeight="1">
      <c r="B651" s="92"/>
      <c r="C651" s="92"/>
    </row>
    <row r="652" ht="14.25" customHeight="1">
      <c r="B652" s="92"/>
      <c r="C652" s="92"/>
    </row>
    <row r="653" ht="14.25" customHeight="1">
      <c r="B653" s="92"/>
      <c r="C653" s="92"/>
    </row>
    <row r="654" ht="14.25" customHeight="1">
      <c r="B654" s="92"/>
      <c r="C654" s="92"/>
    </row>
    <row r="655" ht="14.25" customHeight="1">
      <c r="B655" s="92"/>
      <c r="C655" s="92"/>
    </row>
    <row r="656" ht="14.25" customHeight="1">
      <c r="B656" s="92"/>
      <c r="C656" s="92"/>
    </row>
    <row r="657" ht="14.25" customHeight="1">
      <c r="B657" s="92"/>
      <c r="C657" s="92"/>
    </row>
    <row r="658" ht="14.25" customHeight="1">
      <c r="B658" s="92"/>
      <c r="C658" s="92"/>
    </row>
    <row r="659" ht="14.25" customHeight="1">
      <c r="B659" s="92"/>
      <c r="C659" s="92"/>
    </row>
    <row r="660" ht="14.25" customHeight="1">
      <c r="B660" s="92"/>
      <c r="C660" s="92"/>
    </row>
    <row r="661" ht="14.25" customHeight="1">
      <c r="B661" s="92"/>
      <c r="C661" s="92"/>
    </row>
    <row r="662" ht="14.25" customHeight="1">
      <c r="B662" s="92"/>
      <c r="C662" s="92"/>
    </row>
    <row r="663" ht="14.25" customHeight="1">
      <c r="B663" s="92"/>
      <c r="C663" s="92"/>
    </row>
    <row r="664" ht="14.25" customHeight="1">
      <c r="B664" s="92"/>
      <c r="C664" s="92"/>
    </row>
    <row r="665" ht="14.25" customHeight="1">
      <c r="B665" s="92"/>
      <c r="C665" s="92"/>
    </row>
    <row r="666" ht="14.25" customHeight="1">
      <c r="B666" s="92"/>
      <c r="C666" s="92"/>
    </row>
    <row r="667" ht="14.25" customHeight="1">
      <c r="B667" s="92"/>
      <c r="C667" s="92"/>
    </row>
    <row r="668" ht="14.25" customHeight="1">
      <c r="B668" s="92"/>
      <c r="C668" s="92"/>
    </row>
    <row r="669" ht="14.25" customHeight="1">
      <c r="B669" s="92"/>
      <c r="C669" s="92"/>
    </row>
    <row r="670" ht="14.25" customHeight="1">
      <c r="B670" s="92"/>
      <c r="C670" s="92"/>
    </row>
    <row r="671" ht="14.25" customHeight="1">
      <c r="B671" s="92"/>
      <c r="C671" s="92"/>
    </row>
    <row r="672" ht="14.25" customHeight="1">
      <c r="B672" s="92"/>
      <c r="C672" s="92"/>
    </row>
    <row r="673" ht="14.25" customHeight="1">
      <c r="B673" s="92"/>
      <c r="C673" s="92"/>
    </row>
    <row r="674" ht="14.25" customHeight="1">
      <c r="B674" s="92"/>
      <c r="C674" s="92"/>
    </row>
    <row r="675" ht="14.25" customHeight="1">
      <c r="B675" s="92"/>
      <c r="C675" s="92"/>
    </row>
    <row r="676" ht="14.25" customHeight="1">
      <c r="B676" s="92"/>
      <c r="C676" s="92"/>
    </row>
    <row r="677" ht="14.25" customHeight="1">
      <c r="B677" s="92"/>
      <c r="C677" s="92"/>
    </row>
    <row r="678" ht="14.25" customHeight="1">
      <c r="B678" s="92"/>
      <c r="C678" s="92"/>
    </row>
    <row r="679" ht="14.25" customHeight="1">
      <c r="B679" s="92"/>
      <c r="C679" s="92"/>
    </row>
    <row r="680" ht="14.25" customHeight="1">
      <c r="B680" s="92"/>
      <c r="C680" s="92"/>
    </row>
    <row r="681" ht="14.25" customHeight="1">
      <c r="B681" s="92"/>
      <c r="C681" s="92"/>
    </row>
    <row r="682" ht="14.25" customHeight="1">
      <c r="B682" s="92"/>
      <c r="C682" s="92"/>
    </row>
    <row r="683" ht="14.25" customHeight="1">
      <c r="B683" s="92"/>
      <c r="C683" s="92"/>
    </row>
    <row r="684" ht="14.25" customHeight="1">
      <c r="B684" s="92"/>
      <c r="C684" s="92"/>
    </row>
    <row r="685" ht="14.25" customHeight="1">
      <c r="B685" s="92"/>
      <c r="C685" s="92"/>
    </row>
    <row r="686" ht="14.25" customHeight="1">
      <c r="B686" s="92"/>
      <c r="C686" s="92"/>
    </row>
    <row r="687" ht="14.25" customHeight="1">
      <c r="B687" s="92"/>
      <c r="C687" s="92"/>
    </row>
    <row r="688" ht="14.25" customHeight="1">
      <c r="B688" s="92"/>
      <c r="C688" s="92"/>
    </row>
    <row r="689" ht="14.25" customHeight="1">
      <c r="B689" s="92"/>
      <c r="C689" s="92"/>
    </row>
    <row r="690" ht="14.25" customHeight="1">
      <c r="B690" s="92"/>
      <c r="C690" s="92"/>
    </row>
    <row r="691" ht="14.25" customHeight="1">
      <c r="B691" s="92"/>
      <c r="C691" s="92"/>
    </row>
    <row r="692" ht="14.25" customHeight="1">
      <c r="B692" s="92"/>
      <c r="C692" s="92"/>
    </row>
    <row r="693" ht="14.25" customHeight="1">
      <c r="B693" s="92"/>
      <c r="C693" s="92"/>
    </row>
    <row r="694" ht="14.25" customHeight="1">
      <c r="B694" s="92"/>
      <c r="C694" s="92"/>
    </row>
    <row r="695" ht="14.25" customHeight="1">
      <c r="B695" s="92"/>
      <c r="C695" s="92"/>
    </row>
    <row r="696" ht="14.25" customHeight="1">
      <c r="B696" s="92"/>
      <c r="C696" s="92"/>
    </row>
    <row r="697" ht="14.25" customHeight="1">
      <c r="B697" s="92"/>
      <c r="C697" s="92"/>
    </row>
    <row r="698" ht="14.25" customHeight="1">
      <c r="B698" s="92"/>
      <c r="C698" s="92"/>
    </row>
    <row r="699" ht="14.25" customHeight="1">
      <c r="B699" s="92"/>
      <c r="C699" s="92"/>
    </row>
    <row r="700" ht="14.25" customHeight="1">
      <c r="B700" s="92"/>
      <c r="C700" s="92"/>
    </row>
    <row r="701" ht="14.25" customHeight="1">
      <c r="B701" s="92"/>
      <c r="C701" s="92"/>
    </row>
    <row r="702" ht="14.25" customHeight="1">
      <c r="B702" s="92"/>
      <c r="C702" s="92"/>
    </row>
    <row r="703" ht="14.25" customHeight="1">
      <c r="B703" s="92"/>
      <c r="C703" s="92"/>
    </row>
    <row r="704" ht="14.25" customHeight="1">
      <c r="B704" s="92"/>
      <c r="C704" s="92"/>
    </row>
    <row r="705" ht="14.25" customHeight="1">
      <c r="B705" s="92"/>
      <c r="C705" s="92"/>
    </row>
    <row r="706" ht="14.25" customHeight="1">
      <c r="B706" s="92"/>
      <c r="C706" s="92"/>
    </row>
    <row r="707" ht="14.25" customHeight="1">
      <c r="B707" s="92"/>
      <c r="C707" s="92"/>
    </row>
    <row r="708" ht="14.25" customHeight="1">
      <c r="B708" s="92"/>
      <c r="C708" s="92"/>
    </row>
    <row r="709" ht="14.25" customHeight="1">
      <c r="B709" s="92"/>
      <c r="C709" s="92"/>
    </row>
    <row r="710" ht="14.25" customHeight="1">
      <c r="B710" s="92"/>
      <c r="C710" s="92"/>
    </row>
    <row r="711" ht="14.25" customHeight="1">
      <c r="B711" s="92"/>
      <c r="C711" s="92"/>
    </row>
    <row r="712" ht="14.25" customHeight="1">
      <c r="B712" s="92"/>
      <c r="C712" s="92"/>
    </row>
    <row r="713" ht="14.25" customHeight="1">
      <c r="B713" s="92"/>
      <c r="C713" s="92"/>
    </row>
    <row r="714" ht="14.25" customHeight="1">
      <c r="B714" s="92"/>
      <c r="C714" s="92"/>
    </row>
    <row r="715" ht="14.25" customHeight="1">
      <c r="B715" s="92"/>
      <c r="C715" s="92"/>
    </row>
    <row r="716" ht="14.25" customHeight="1">
      <c r="B716" s="92"/>
      <c r="C716" s="92"/>
    </row>
    <row r="717" ht="14.25" customHeight="1">
      <c r="B717" s="92"/>
      <c r="C717" s="92"/>
    </row>
    <row r="718" ht="14.25" customHeight="1">
      <c r="B718" s="92"/>
      <c r="C718" s="92"/>
    </row>
    <row r="719" ht="14.25" customHeight="1">
      <c r="B719" s="92"/>
      <c r="C719" s="92"/>
    </row>
    <row r="720" ht="14.25" customHeight="1">
      <c r="B720" s="92"/>
      <c r="C720" s="92"/>
    </row>
    <row r="721" ht="14.25" customHeight="1">
      <c r="B721" s="92"/>
      <c r="C721" s="92"/>
    </row>
    <row r="722" ht="14.25" customHeight="1">
      <c r="B722" s="92"/>
      <c r="C722" s="92"/>
    </row>
    <row r="723" ht="14.25" customHeight="1">
      <c r="B723" s="92"/>
      <c r="C723" s="92"/>
    </row>
    <row r="724" ht="14.25" customHeight="1">
      <c r="B724" s="92"/>
      <c r="C724" s="92"/>
    </row>
    <row r="725" ht="14.25" customHeight="1">
      <c r="B725" s="92"/>
      <c r="C725" s="92"/>
    </row>
    <row r="726" ht="14.25" customHeight="1">
      <c r="B726" s="92"/>
      <c r="C726" s="92"/>
    </row>
    <row r="727" ht="14.25" customHeight="1">
      <c r="B727" s="92"/>
      <c r="C727" s="92"/>
    </row>
    <row r="728" ht="14.25" customHeight="1">
      <c r="B728" s="92"/>
      <c r="C728" s="92"/>
    </row>
    <row r="729" ht="14.25" customHeight="1">
      <c r="B729" s="92"/>
      <c r="C729" s="92"/>
    </row>
    <row r="730" ht="14.25" customHeight="1">
      <c r="B730" s="92"/>
      <c r="C730" s="92"/>
    </row>
    <row r="731" ht="14.25" customHeight="1">
      <c r="B731" s="92"/>
      <c r="C731" s="92"/>
    </row>
    <row r="732" ht="14.25" customHeight="1">
      <c r="B732" s="92"/>
      <c r="C732" s="92"/>
    </row>
    <row r="733" ht="14.25" customHeight="1">
      <c r="B733" s="92"/>
      <c r="C733" s="92"/>
    </row>
    <row r="734" ht="14.25" customHeight="1">
      <c r="B734" s="92"/>
      <c r="C734" s="92"/>
    </row>
    <row r="735" ht="14.25" customHeight="1">
      <c r="B735" s="92"/>
      <c r="C735" s="92"/>
    </row>
    <row r="736" ht="14.25" customHeight="1">
      <c r="B736" s="92"/>
      <c r="C736" s="92"/>
    </row>
    <row r="737" ht="14.25" customHeight="1">
      <c r="B737" s="92"/>
      <c r="C737" s="92"/>
    </row>
    <row r="738" ht="14.25" customHeight="1">
      <c r="B738" s="92"/>
      <c r="C738" s="92"/>
    </row>
    <row r="739" ht="14.25" customHeight="1">
      <c r="B739" s="92"/>
      <c r="C739" s="92"/>
    </row>
    <row r="740" ht="14.25" customHeight="1">
      <c r="B740" s="92"/>
      <c r="C740" s="92"/>
    </row>
    <row r="741" ht="14.25" customHeight="1">
      <c r="B741" s="92"/>
      <c r="C741" s="92"/>
    </row>
    <row r="742" ht="14.25" customHeight="1">
      <c r="B742" s="92"/>
      <c r="C742" s="92"/>
    </row>
    <row r="743" ht="14.25" customHeight="1">
      <c r="B743" s="92"/>
      <c r="C743" s="92"/>
    </row>
    <row r="744" ht="14.25" customHeight="1">
      <c r="B744" s="92"/>
      <c r="C744" s="92"/>
    </row>
    <row r="745" ht="14.25" customHeight="1">
      <c r="B745" s="92"/>
      <c r="C745" s="92"/>
    </row>
    <row r="746" ht="14.25" customHeight="1">
      <c r="B746" s="92"/>
      <c r="C746" s="92"/>
    </row>
    <row r="747" ht="14.25" customHeight="1">
      <c r="B747" s="92"/>
      <c r="C747" s="92"/>
    </row>
    <row r="748" ht="14.25" customHeight="1">
      <c r="B748" s="92"/>
      <c r="C748" s="92"/>
    </row>
    <row r="749" ht="14.25" customHeight="1">
      <c r="B749" s="92"/>
      <c r="C749" s="92"/>
    </row>
    <row r="750" ht="14.25" customHeight="1">
      <c r="B750" s="92"/>
      <c r="C750" s="92"/>
    </row>
    <row r="751" ht="14.25" customHeight="1">
      <c r="B751" s="92"/>
      <c r="C751" s="92"/>
    </row>
    <row r="752" ht="14.25" customHeight="1">
      <c r="B752" s="92"/>
      <c r="C752" s="92"/>
    </row>
    <row r="753" ht="14.25" customHeight="1">
      <c r="B753" s="92"/>
      <c r="C753" s="92"/>
    </row>
    <row r="754" ht="14.25" customHeight="1">
      <c r="B754" s="92"/>
      <c r="C754" s="92"/>
    </row>
    <row r="755" ht="14.25" customHeight="1">
      <c r="B755" s="92"/>
      <c r="C755" s="92"/>
    </row>
    <row r="756" ht="14.25" customHeight="1">
      <c r="B756" s="92"/>
      <c r="C756" s="92"/>
    </row>
    <row r="757" ht="14.25" customHeight="1">
      <c r="B757" s="92"/>
      <c r="C757" s="92"/>
    </row>
    <row r="758" ht="14.25" customHeight="1">
      <c r="B758" s="92"/>
      <c r="C758" s="92"/>
    </row>
    <row r="759" ht="14.25" customHeight="1">
      <c r="B759" s="92"/>
      <c r="C759" s="92"/>
    </row>
    <row r="760" ht="14.25" customHeight="1">
      <c r="B760" s="92"/>
      <c r="C760" s="92"/>
    </row>
    <row r="761" ht="14.25" customHeight="1">
      <c r="B761" s="92"/>
      <c r="C761" s="92"/>
    </row>
    <row r="762" ht="14.25" customHeight="1">
      <c r="B762" s="92"/>
      <c r="C762" s="92"/>
    </row>
    <row r="763" ht="14.25" customHeight="1">
      <c r="B763" s="92"/>
      <c r="C763" s="92"/>
    </row>
    <row r="764" ht="14.25" customHeight="1">
      <c r="B764" s="92"/>
      <c r="C764" s="92"/>
    </row>
    <row r="765" ht="14.25" customHeight="1">
      <c r="B765" s="92"/>
      <c r="C765" s="92"/>
    </row>
    <row r="766" ht="14.25" customHeight="1">
      <c r="B766" s="92"/>
      <c r="C766" s="92"/>
    </row>
    <row r="767" ht="14.25" customHeight="1">
      <c r="B767" s="92"/>
      <c r="C767" s="92"/>
    </row>
    <row r="768" ht="14.25" customHeight="1">
      <c r="B768" s="92"/>
      <c r="C768" s="92"/>
    </row>
    <row r="769" ht="14.25" customHeight="1">
      <c r="B769" s="92"/>
      <c r="C769" s="92"/>
    </row>
    <row r="770" ht="14.25" customHeight="1">
      <c r="B770" s="92"/>
      <c r="C770" s="92"/>
    </row>
    <row r="771" ht="14.25" customHeight="1">
      <c r="B771" s="92"/>
      <c r="C771" s="92"/>
    </row>
    <row r="772" ht="14.25" customHeight="1">
      <c r="B772" s="92"/>
      <c r="C772" s="92"/>
    </row>
    <row r="773" ht="14.25" customHeight="1">
      <c r="B773" s="92"/>
      <c r="C773" s="92"/>
    </row>
    <row r="774" ht="14.25" customHeight="1">
      <c r="B774" s="92"/>
      <c r="C774" s="92"/>
    </row>
    <row r="775" ht="14.25" customHeight="1">
      <c r="B775" s="92"/>
      <c r="C775" s="92"/>
    </row>
    <row r="776" ht="14.25" customHeight="1">
      <c r="B776" s="92"/>
      <c r="C776" s="92"/>
    </row>
    <row r="777" ht="14.25" customHeight="1">
      <c r="B777" s="92"/>
      <c r="C777" s="92"/>
    </row>
    <row r="778" ht="14.25" customHeight="1">
      <c r="B778" s="92"/>
      <c r="C778" s="92"/>
    </row>
    <row r="779" ht="14.25" customHeight="1">
      <c r="B779" s="92"/>
      <c r="C779" s="92"/>
    </row>
    <row r="780" ht="14.25" customHeight="1">
      <c r="B780" s="92"/>
      <c r="C780" s="92"/>
    </row>
    <row r="781" ht="14.25" customHeight="1">
      <c r="B781" s="92"/>
      <c r="C781" s="92"/>
    </row>
    <row r="782" ht="14.25" customHeight="1">
      <c r="B782" s="92"/>
      <c r="C782" s="92"/>
    </row>
    <row r="783" ht="14.25" customHeight="1">
      <c r="B783" s="92"/>
      <c r="C783" s="92"/>
    </row>
    <row r="784" ht="14.25" customHeight="1">
      <c r="B784" s="92"/>
      <c r="C784" s="92"/>
    </row>
    <row r="785" ht="14.25" customHeight="1">
      <c r="B785" s="92"/>
      <c r="C785" s="92"/>
    </row>
    <row r="786" ht="14.25" customHeight="1">
      <c r="B786" s="92"/>
      <c r="C786" s="92"/>
    </row>
    <row r="787" ht="14.25" customHeight="1">
      <c r="B787" s="92"/>
      <c r="C787" s="92"/>
    </row>
    <row r="788" ht="14.25" customHeight="1">
      <c r="B788" s="92"/>
      <c r="C788" s="92"/>
    </row>
    <row r="789" ht="14.25" customHeight="1">
      <c r="B789" s="92"/>
      <c r="C789" s="92"/>
    </row>
    <row r="790" ht="14.25" customHeight="1">
      <c r="B790" s="92"/>
      <c r="C790" s="92"/>
    </row>
    <row r="791" ht="14.25" customHeight="1">
      <c r="B791" s="92"/>
      <c r="C791" s="92"/>
    </row>
    <row r="792" ht="14.25" customHeight="1">
      <c r="B792" s="92"/>
      <c r="C792" s="92"/>
    </row>
    <row r="793" ht="14.25" customHeight="1">
      <c r="B793" s="92"/>
      <c r="C793" s="92"/>
    </row>
    <row r="794" ht="14.25" customHeight="1">
      <c r="B794" s="92"/>
      <c r="C794" s="92"/>
    </row>
    <row r="795" ht="14.25" customHeight="1">
      <c r="B795" s="92"/>
      <c r="C795" s="92"/>
    </row>
    <row r="796" ht="14.25" customHeight="1">
      <c r="B796" s="92"/>
      <c r="C796" s="92"/>
    </row>
    <row r="797" ht="14.25" customHeight="1">
      <c r="B797" s="92"/>
      <c r="C797" s="92"/>
    </row>
    <row r="798" ht="14.25" customHeight="1">
      <c r="B798" s="92"/>
      <c r="C798" s="92"/>
    </row>
    <row r="799" ht="14.25" customHeight="1">
      <c r="B799" s="92"/>
      <c r="C799" s="92"/>
    </row>
    <row r="800" ht="14.25" customHeight="1">
      <c r="B800" s="92"/>
      <c r="C800" s="92"/>
    </row>
    <row r="801" ht="14.25" customHeight="1">
      <c r="B801" s="92"/>
      <c r="C801" s="92"/>
    </row>
    <row r="802" ht="14.25" customHeight="1">
      <c r="B802" s="92"/>
      <c r="C802" s="92"/>
    </row>
    <row r="803" ht="14.25" customHeight="1">
      <c r="B803" s="92"/>
      <c r="C803" s="92"/>
    </row>
    <row r="804" ht="14.25" customHeight="1">
      <c r="B804" s="92"/>
      <c r="C804" s="92"/>
    </row>
    <row r="805" ht="14.25" customHeight="1">
      <c r="B805" s="92"/>
      <c r="C805" s="92"/>
    </row>
    <row r="806" ht="14.25" customHeight="1">
      <c r="B806" s="92"/>
      <c r="C806" s="92"/>
    </row>
    <row r="807" ht="14.25" customHeight="1">
      <c r="B807" s="92"/>
      <c r="C807" s="92"/>
    </row>
    <row r="808" ht="14.25" customHeight="1">
      <c r="B808" s="92"/>
      <c r="C808" s="92"/>
    </row>
    <row r="809" ht="14.25" customHeight="1">
      <c r="B809" s="92"/>
      <c r="C809" s="92"/>
    </row>
    <row r="810" ht="14.25" customHeight="1">
      <c r="B810" s="92"/>
      <c r="C810" s="92"/>
    </row>
    <row r="811" ht="14.25" customHeight="1">
      <c r="B811" s="92"/>
      <c r="C811" s="92"/>
    </row>
    <row r="812" ht="14.25" customHeight="1">
      <c r="B812" s="92"/>
      <c r="C812" s="92"/>
    </row>
    <row r="813" ht="14.25" customHeight="1">
      <c r="B813" s="92"/>
      <c r="C813" s="92"/>
    </row>
    <row r="814" ht="14.25" customHeight="1">
      <c r="B814" s="92"/>
      <c r="C814" s="92"/>
    </row>
    <row r="815" ht="14.25" customHeight="1">
      <c r="B815" s="92"/>
      <c r="C815" s="92"/>
    </row>
    <row r="816" ht="14.25" customHeight="1">
      <c r="B816" s="92"/>
      <c r="C816" s="92"/>
    </row>
    <row r="817" ht="14.25" customHeight="1">
      <c r="B817" s="92"/>
      <c r="C817" s="92"/>
    </row>
    <row r="818" ht="14.25" customHeight="1">
      <c r="B818" s="92"/>
      <c r="C818" s="92"/>
    </row>
    <row r="819" ht="14.25" customHeight="1">
      <c r="B819" s="92"/>
      <c r="C819" s="92"/>
    </row>
    <row r="820" ht="14.25" customHeight="1">
      <c r="B820" s="92"/>
      <c r="C820" s="92"/>
    </row>
    <row r="821" ht="14.25" customHeight="1">
      <c r="B821" s="92"/>
      <c r="C821" s="92"/>
    </row>
    <row r="822" ht="14.25" customHeight="1">
      <c r="B822" s="92"/>
      <c r="C822" s="92"/>
    </row>
    <row r="823" ht="14.25" customHeight="1">
      <c r="B823" s="92"/>
      <c r="C823" s="92"/>
    </row>
    <row r="824" ht="14.25" customHeight="1">
      <c r="B824" s="92"/>
      <c r="C824" s="92"/>
    </row>
    <row r="825" ht="14.25" customHeight="1">
      <c r="B825" s="92"/>
      <c r="C825" s="92"/>
    </row>
    <row r="826" ht="14.25" customHeight="1">
      <c r="B826" s="92"/>
      <c r="C826" s="92"/>
    </row>
    <row r="827" ht="14.25" customHeight="1">
      <c r="B827" s="92"/>
      <c r="C827" s="92"/>
    </row>
    <row r="828" ht="14.25" customHeight="1">
      <c r="B828" s="92"/>
      <c r="C828" s="92"/>
    </row>
    <row r="829" ht="14.25" customHeight="1">
      <c r="B829" s="92"/>
      <c r="C829" s="92"/>
    </row>
    <row r="830" ht="14.25" customHeight="1">
      <c r="B830" s="92"/>
      <c r="C830" s="92"/>
    </row>
    <row r="831" ht="14.25" customHeight="1">
      <c r="B831" s="92"/>
      <c r="C831" s="92"/>
    </row>
    <row r="832" ht="14.25" customHeight="1">
      <c r="B832" s="92"/>
      <c r="C832" s="92"/>
    </row>
    <row r="833" ht="14.25" customHeight="1">
      <c r="B833" s="92"/>
      <c r="C833" s="92"/>
    </row>
    <row r="834" ht="14.25" customHeight="1">
      <c r="B834" s="92"/>
      <c r="C834" s="92"/>
    </row>
    <row r="835" ht="14.25" customHeight="1">
      <c r="B835" s="92"/>
      <c r="C835" s="92"/>
    </row>
    <row r="836" ht="14.25" customHeight="1">
      <c r="B836" s="92"/>
      <c r="C836" s="92"/>
    </row>
    <row r="837" ht="14.25" customHeight="1">
      <c r="B837" s="92"/>
      <c r="C837" s="92"/>
    </row>
    <row r="838" ht="14.25" customHeight="1">
      <c r="B838" s="92"/>
      <c r="C838" s="92"/>
    </row>
    <row r="839" ht="14.25" customHeight="1">
      <c r="B839" s="92"/>
      <c r="C839" s="92"/>
    </row>
    <row r="840" ht="14.25" customHeight="1">
      <c r="B840" s="92"/>
      <c r="C840" s="92"/>
    </row>
    <row r="841" ht="14.25" customHeight="1">
      <c r="B841" s="92"/>
      <c r="C841" s="92"/>
    </row>
    <row r="842" ht="14.25" customHeight="1">
      <c r="B842" s="92"/>
      <c r="C842" s="92"/>
    </row>
    <row r="843" ht="14.25" customHeight="1">
      <c r="B843" s="92"/>
      <c r="C843" s="92"/>
    </row>
    <row r="844" ht="14.25" customHeight="1">
      <c r="B844" s="92"/>
      <c r="C844" s="92"/>
    </row>
    <row r="845" ht="14.25" customHeight="1">
      <c r="B845" s="92"/>
      <c r="C845" s="92"/>
    </row>
    <row r="846" ht="14.25" customHeight="1">
      <c r="B846" s="92"/>
      <c r="C846" s="92"/>
    </row>
    <row r="847" ht="14.25" customHeight="1">
      <c r="B847" s="92"/>
      <c r="C847" s="92"/>
    </row>
    <row r="848" ht="14.25" customHeight="1">
      <c r="B848" s="92"/>
      <c r="C848" s="92"/>
    </row>
    <row r="849" ht="14.25" customHeight="1">
      <c r="B849" s="92"/>
      <c r="C849" s="92"/>
    </row>
    <row r="850" ht="14.25" customHeight="1">
      <c r="B850" s="92"/>
      <c r="C850" s="92"/>
    </row>
    <row r="851" ht="14.25" customHeight="1">
      <c r="B851" s="92"/>
      <c r="C851" s="92"/>
    </row>
    <row r="852" ht="14.25" customHeight="1">
      <c r="B852" s="92"/>
      <c r="C852" s="92"/>
    </row>
    <row r="853" ht="14.25" customHeight="1">
      <c r="B853" s="92"/>
      <c r="C853" s="92"/>
    </row>
    <row r="854" ht="14.25" customHeight="1">
      <c r="B854" s="92"/>
      <c r="C854" s="92"/>
    </row>
    <row r="855" ht="14.25" customHeight="1">
      <c r="B855" s="92"/>
      <c r="C855" s="92"/>
    </row>
    <row r="856" ht="14.25" customHeight="1">
      <c r="B856" s="92"/>
      <c r="C856" s="92"/>
    </row>
    <row r="857" ht="14.25" customHeight="1">
      <c r="B857" s="92"/>
      <c r="C857" s="92"/>
    </row>
    <row r="858" ht="14.25" customHeight="1">
      <c r="B858" s="92"/>
      <c r="C858" s="92"/>
    </row>
    <row r="859" ht="14.25" customHeight="1">
      <c r="B859" s="92"/>
      <c r="C859" s="92"/>
    </row>
    <row r="860" ht="14.25" customHeight="1">
      <c r="B860" s="92"/>
      <c r="C860" s="92"/>
    </row>
    <row r="861" ht="14.25" customHeight="1">
      <c r="B861" s="92"/>
      <c r="C861" s="92"/>
    </row>
    <row r="862" ht="14.25" customHeight="1">
      <c r="B862" s="92"/>
      <c r="C862" s="92"/>
    </row>
    <row r="863" ht="14.25" customHeight="1">
      <c r="B863" s="92"/>
      <c r="C863" s="92"/>
    </row>
    <row r="864" ht="14.25" customHeight="1">
      <c r="B864" s="92"/>
      <c r="C864" s="92"/>
    </row>
    <row r="865" ht="14.25" customHeight="1">
      <c r="B865" s="92"/>
      <c r="C865" s="92"/>
    </row>
    <row r="866" ht="14.25" customHeight="1">
      <c r="B866" s="92"/>
      <c r="C866" s="92"/>
    </row>
    <row r="867" ht="14.25" customHeight="1">
      <c r="B867" s="92"/>
      <c r="C867" s="92"/>
    </row>
    <row r="868" ht="14.25" customHeight="1">
      <c r="B868" s="92"/>
      <c r="C868" s="92"/>
    </row>
    <row r="869" ht="14.25" customHeight="1">
      <c r="B869" s="92"/>
      <c r="C869" s="92"/>
    </row>
    <row r="870" ht="14.25" customHeight="1">
      <c r="B870" s="92"/>
      <c r="C870" s="92"/>
    </row>
    <row r="871" ht="14.25" customHeight="1">
      <c r="B871" s="92"/>
      <c r="C871" s="92"/>
    </row>
    <row r="872" ht="14.25" customHeight="1">
      <c r="B872" s="92"/>
      <c r="C872" s="92"/>
    </row>
    <row r="873" ht="14.25" customHeight="1">
      <c r="B873" s="92"/>
      <c r="C873" s="92"/>
    </row>
    <row r="874" ht="14.25" customHeight="1">
      <c r="B874" s="92"/>
      <c r="C874" s="92"/>
    </row>
    <row r="875" ht="14.25" customHeight="1">
      <c r="B875" s="92"/>
      <c r="C875" s="92"/>
    </row>
    <row r="876" ht="14.25" customHeight="1">
      <c r="B876" s="92"/>
      <c r="C876" s="92"/>
    </row>
    <row r="877" ht="14.25" customHeight="1">
      <c r="B877" s="92"/>
      <c r="C877" s="92"/>
    </row>
    <row r="878" ht="14.25" customHeight="1">
      <c r="B878" s="92"/>
      <c r="C878" s="92"/>
    </row>
    <row r="879" ht="14.25" customHeight="1">
      <c r="B879" s="92"/>
      <c r="C879" s="92"/>
    </row>
    <row r="880" ht="14.25" customHeight="1">
      <c r="B880" s="92"/>
      <c r="C880" s="92"/>
    </row>
    <row r="881" ht="14.25" customHeight="1">
      <c r="B881" s="92"/>
      <c r="C881" s="92"/>
    </row>
    <row r="882" ht="14.25" customHeight="1">
      <c r="B882" s="92"/>
      <c r="C882" s="92"/>
    </row>
    <row r="883" ht="14.25" customHeight="1">
      <c r="B883" s="92"/>
      <c r="C883" s="92"/>
    </row>
    <row r="884" ht="14.25" customHeight="1">
      <c r="B884" s="92"/>
      <c r="C884" s="92"/>
    </row>
    <row r="885" ht="14.25" customHeight="1">
      <c r="B885" s="92"/>
      <c r="C885" s="92"/>
    </row>
    <row r="886" ht="14.25" customHeight="1">
      <c r="B886" s="92"/>
      <c r="C886" s="92"/>
    </row>
    <row r="887" ht="14.25" customHeight="1">
      <c r="B887" s="92"/>
      <c r="C887" s="92"/>
    </row>
    <row r="888" ht="14.25" customHeight="1">
      <c r="B888" s="92"/>
      <c r="C888" s="92"/>
    </row>
    <row r="889" ht="14.25" customHeight="1">
      <c r="B889" s="92"/>
      <c r="C889" s="92"/>
    </row>
    <row r="890" ht="14.25" customHeight="1">
      <c r="B890" s="92"/>
      <c r="C890" s="92"/>
    </row>
    <row r="891" ht="14.25" customHeight="1">
      <c r="B891" s="92"/>
      <c r="C891" s="92"/>
    </row>
    <row r="892" ht="14.25" customHeight="1">
      <c r="B892" s="92"/>
      <c r="C892" s="92"/>
    </row>
    <row r="893" ht="14.25" customHeight="1">
      <c r="B893" s="92"/>
      <c r="C893" s="92"/>
    </row>
    <row r="894" ht="14.25" customHeight="1">
      <c r="B894" s="92"/>
      <c r="C894" s="92"/>
    </row>
    <row r="895" ht="14.25" customHeight="1">
      <c r="B895" s="92"/>
      <c r="C895" s="92"/>
    </row>
    <row r="896" ht="14.25" customHeight="1">
      <c r="B896" s="92"/>
      <c r="C896" s="92"/>
    </row>
    <row r="897" ht="14.25" customHeight="1">
      <c r="B897" s="92"/>
      <c r="C897" s="92"/>
    </row>
    <row r="898" ht="14.25" customHeight="1">
      <c r="B898" s="92"/>
      <c r="C898" s="92"/>
    </row>
    <row r="899" ht="14.25" customHeight="1">
      <c r="B899" s="92"/>
      <c r="C899" s="92"/>
    </row>
    <row r="900" ht="14.25" customHeight="1">
      <c r="B900" s="92"/>
      <c r="C900" s="92"/>
    </row>
    <row r="901" ht="14.25" customHeight="1">
      <c r="B901" s="92"/>
      <c r="C901" s="92"/>
    </row>
    <row r="902" ht="14.25" customHeight="1">
      <c r="B902" s="92"/>
      <c r="C902" s="92"/>
    </row>
    <row r="903" ht="14.25" customHeight="1">
      <c r="B903" s="92"/>
      <c r="C903" s="92"/>
    </row>
    <row r="904" ht="14.25" customHeight="1">
      <c r="B904" s="92"/>
      <c r="C904" s="92"/>
    </row>
    <row r="905" ht="14.25" customHeight="1">
      <c r="B905" s="92"/>
      <c r="C905" s="92"/>
    </row>
    <row r="906" ht="14.25" customHeight="1">
      <c r="B906" s="92"/>
      <c r="C906" s="92"/>
    </row>
    <row r="907" ht="14.25" customHeight="1">
      <c r="B907" s="92"/>
      <c r="C907" s="92"/>
    </row>
    <row r="908" ht="14.25" customHeight="1">
      <c r="B908" s="92"/>
      <c r="C908" s="92"/>
    </row>
    <row r="909" ht="14.25" customHeight="1">
      <c r="B909" s="92"/>
      <c r="C909" s="92"/>
    </row>
    <row r="910" ht="14.25" customHeight="1">
      <c r="B910" s="92"/>
      <c r="C910" s="92"/>
    </row>
    <row r="911" ht="14.25" customHeight="1">
      <c r="B911" s="92"/>
      <c r="C911" s="92"/>
    </row>
    <row r="912" ht="14.25" customHeight="1">
      <c r="B912" s="92"/>
      <c r="C912" s="92"/>
    </row>
    <row r="913" ht="14.25" customHeight="1">
      <c r="B913" s="92"/>
      <c r="C913" s="92"/>
    </row>
    <row r="914" ht="14.25" customHeight="1">
      <c r="B914" s="92"/>
      <c r="C914" s="92"/>
    </row>
    <row r="915" ht="14.25" customHeight="1">
      <c r="B915" s="92"/>
      <c r="C915" s="92"/>
    </row>
    <row r="916" ht="14.25" customHeight="1">
      <c r="B916" s="92"/>
      <c r="C916" s="92"/>
    </row>
    <row r="917" ht="14.25" customHeight="1">
      <c r="B917" s="92"/>
      <c r="C917" s="92"/>
    </row>
    <row r="918" ht="14.25" customHeight="1">
      <c r="B918" s="92"/>
      <c r="C918" s="92"/>
    </row>
    <row r="919" ht="14.25" customHeight="1">
      <c r="B919" s="92"/>
      <c r="C919" s="92"/>
    </row>
    <row r="920" ht="14.25" customHeight="1">
      <c r="B920" s="92"/>
      <c r="C920" s="92"/>
    </row>
    <row r="921" ht="14.25" customHeight="1">
      <c r="B921" s="92"/>
      <c r="C921" s="92"/>
    </row>
    <row r="922" ht="14.25" customHeight="1">
      <c r="B922" s="92"/>
      <c r="C922" s="92"/>
    </row>
    <row r="923" ht="14.25" customHeight="1">
      <c r="B923" s="92"/>
      <c r="C923" s="92"/>
    </row>
    <row r="924" ht="14.25" customHeight="1">
      <c r="B924" s="92"/>
      <c r="C924" s="92"/>
    </row>
    <row r="925" ht="14.25" customHeight="1">
      <c r="B925" s="92"/>
      <c r="C925" s="92"/>
    </row>
    <row r="926" ht="14.25" customHeight="1">
      <c r="B926" s="92"/>
      <c r="C926" s="92"/>
    </row>
    <row r="927" ht="14.25" customHeight="1">
      <c r="B927" s="92"/>
      <c r="C927" s="92"/>
    </row>
    <row r="928" ht="14.25" customHeight="1">
      <c r="B928" s="92"/>
      <c r="C928" s="92"/>
    </row>
    <row r="929" ht="14.25" customHeight="1">
      <c r="B929" s="92"/>
      <c r="C929" s="92"/>
    </row>
    <row r="930" ht="14.25" customHeight="1">
      <c r="B930" s="92"/>
      <c r="C930" s="92"/>
    </row>
    <row r="931" ht="14.25" customHeight="1">
      <c r="B931" s="92"/>
      <c r="C931" s="92"/>
    </row>
    <row r="932" ht="14.25" customHeight="1">
      <c r="B932" s="92"/>
      <c r="C932" s="92"/>
    </row>
    <row r="933" ht="14.25" customHeight="1">
      <c r="B933" s="92"/>
      <c r="C933" s="92"/>
    </row>
    <row r="934" ht="14.25" customHeight="1">
      <c r="B934" s="92"/>
      <c r="C934" s="92"/>
    </row>
    <row r="935" ht="14.25" customHeight="1">
      <c r="B935" s="92"/>
      <c r="C935" s="92"/>
    </row>
    <row r="936" ht="14.25" customHeight="1">
      <c r="B936" s="92"/>
      <c r="C936" s="92"/>
    </row>
    <row r="937" ht="14.25" customHeight="1">
      <c r="B937" s="92"/>
      <c r="C937" s="92"/>
    </row>
    <row r="938" ht="14.25" customHeight="1">
      <c r="B938" s="92"/>
      <c r="C938" s="92"/>
    </row>
    <row r="939" ht="14.25" customHeight="1">
      <c r="B939" s="92"/>
      <c r="C939" s="92"/>
    </row>
    <row r="940" ht="14.25" customHeight="1">
      <c r="B940" s="92"/>
      <c r="C940" s="92"/>
    </row>
    <row r="941" ht="14.25" customHeight="1">
      <c r="B941" s="92"/>
      <c r="C941" s="92"/>
    </row>
    <row r="942" ht="14.25" customHeight="1">
      <c r="B942" s="92"/>
      <c r="C942" s="92"/>
    </row>
    <row r="943" ht="14.25" customHeight="1">
      <c r="B943" s="92"/>
      <c r="C943" s="92"/>
    </row>
    <row r="944" ht="14.25" customHeight="1">
      <c r="B944" s="92"/>
      <c r="C944" s="92"/>
    </row>
    <row r="945" ht="14.25" customHeight="1">
      <c r="B945" s="92"/>
      <c r="C945" s="92"/>
    </row>
    <row r="946" ht="14.25" customHeight="1">
      <c r="B946" s="92"/>
      <c r="C946" s="92"/>
    </row>
    <row r="947" ht="14.25" customHeight="1">
      <c r="B947" s="92"/>
      <c r="C947" s="92"/>
    </row>
    <row r="948" ht="14.25" customHeight="1">
      <c r="B948" s="92"/>
      <c r="C948" s="92"/>
    </row>
    <row r="949" ht="14.25" customHeight="1">
      <c r="B949" s="92"/>
      <c r="C949" s="92"/>
    </row>
    <row r="950" ht="14.25" customHeight="1">
      <c r="B950" s="92"/>
      <c r="C950" s="92"/>
    </row>
    <row r="951" ht="14.25" customHeight="1">
      <c r="B951" s="92"/>
      <c r="C951" s="92"/>
    </row>
    <row r="952" ht="14.25" customHeight="1">
      <c r="B952" s="92"/>
      <c r="C952" s="92"/>
    </row>
    <row r="953" ht="14.25" customHeight="1">
      <c r="B953" s="92"/>
      <c r="C953" s="92"/>
    </row>
    <row r="954" ht="14.25" customHeight="1">
      <c r="B954" s="92"/>
      <c r="C954" s="92"/>
    </row>
    <row r="955" ht="14.25" customHeight="1">
      <c r="B955" s="92"/>
      <c r="C955" s="92"/>
    </row>
    <row r="956" ht="14.25" customHeight="1">
      <c r="B956" s="92"/>
      <c r="C956" s="92"/>
    </row>
    <row r="957" ht="14.25" customHeight="1">
      <c r="B957" s="92"/>
      <c r="C957" s="92"/>
    </row>
    <row r="958" ht="14.25" customHeight="1">
      <c r="B958" s="92"/>
      <c r="C958" s="92"/>
    </row>
    <row r="959" ht="14.25" customHeight="1">
      <c r="B959" s="92"/>
      <c r="C959" s="92"/>
    </row>
    <row r="960" ht="14.25" customHeight="1">
      <c r="B960" s="92"/>
      <c r="C960" s="92"/>
    </row>
    <row r="961" ht="14.25" customHeight="1">
      <c r="B961" s="92"/>
      <c r="C961" s="92"/>
    </row>
    <row r="962" ht="14.25" customHeight="1">
      <c r="B962" s="92"/>
      <c r="C962" s="92"/>
    </row>
    <row r="963" ht="14.25" customHeight="1">
      <c r="B963" s="92"/>
      <c r="C963" s="92"/>
    </row>
    <row r="964" ht="14.25" customHeight="1">
      <c r="B964" s="92"/>
      <c r="C964" s="92"/>
    </row>
    <row r="965" ht="14.25" customHeight="1">
      <c r="B965" s="92"/>
      <c r="C965" s="92"/>
    </row>
    <row r="966" ht="14.25" customHeight="1">
      <c r="B966" s="92"/>
      <c r="C966" s="92"/>
    </row>
    <row r="967" ht="14.25" customHeight="1">
      <c r="B967" s="92"/>
      <c r="C967" s="92"/>
    </row>
    <row r="968" ht="14.25" customHeight="1">
      <c r="B968" s="92"/>
      <c r="C968" s="92"/>
    </row>
    <row r="969" ht="14.25" customHeight="1">
      <c r="B969" s="92"/>
      <c r="C969" s="92"/>
    </row>
    <row r="970" ht="14.25" customHeight="1">
      <c r="B970" s="92"/>
      <c r="C970" s="92"/>
    </row>
    <row r="971" ht="14.25" customHeight="1">
      <c r="B971" s="92"/>
      <c r="C971" s="92"/>
    </row>
    <row r="972" ht="14.25" customHeight="1">
      <c r="B972" s="92"/>
      <c r="C972" s="92"/>
    </row>
    <row r="973" ht="14.25" customHeight="1">
      <c r="B973" s="92"/>
      <c r="C973" s="92"/>
    </row>
    <row r="974" ht="14.25" customHeight="1">
      <c r="B974" s="92"/>
      <c r="C974" s="92"/>
    </row>
    <row r="975" ht="14.25" customHeight="1">
      <c r="B975" s="92"/>
      <c r="C975" s="92"/>
    </row>
    <row r="976" ht="14.25" customHeight="1">
      <c r="B976" s="92"/>
      <c r="C976" s="92"/>
    </row>
    <row r="977" ht="14.25" customHeight="1">
      <c r="B977" s="92"/>
      <c r="C977" s="92"/>
    </row>
    <row r="978" ht="14.25" customHeight="1">
      <c r="B978" s="92"/>
      <c r="C978" s="92"/>
    </row>
    <row r="979" ht="14.25" customHeight="1">
      <c r="B979" s="92"/>
      <c r="C979" s="92"/>
    </row>
    <row r="980" ht="14.25" customHeight="1">
      <c r="B980" s="92"/>
      <c r="C980" s="92"/>
    </row>
    <row r="981" ht="14.25" customHeight="1">
      <c r="B981" s="92"/>
      <c r="C981" s="92"/>
    </row>
    <row r="982" ht="14.25" customHeight="1">
      <c r="B982" s="92"/>
      <c r="C982" s="92"/>
    </row>
    <row r="983" ht="14.25" customHeight="1">
      <c r="B983" s="92"/>
      <c r="C983" s="92"/>
    </row>
    <row r="984" ht="14.25" customHeight="1">
      <c r="B984" s="92"/>
      <c r="C984" s="92"/>
    </row>
    <row r="985" ht="14.25" customHeight="1">
      <c r="B985" s="92"/>
      <c r="C985" s="92"/>
    </row>
    <row r="986" ht="14.25" customHeight="1">
      <c r="B986" s="92"/>
      <c r="C986" s="92"/>
    </row>
    <row r="987" ht="14.25" customHeight="1">
      <c r="B987" s="92"/>
      <c r="C987" s="92"/>
    </row>
    <row r="988" ht="14.25" customHeight="1">
      <c r="B988" s="92"/>
      <c r="C988" s="92"/>
    </row>
    <row r="989" ht="14.25" customHeight="1">
      <c r="B989" s="92"/>
      <c r="C989" s="92"/>
    </row>
    <row r="990" ht="14.25" customHeight="1">
      <c r="B990" s="92"/>
      <c r="C990" s="92"/>
    </row>
    <row r="991" ht="14.25" customHeight="1">
      <c r="B991" s="92"/>
      <c r="C991" s="92"/>
    </row>
    <row r="992" ht="14.25" customHeight="1">
      <c r="B992" s="92"/>
      <c r="C992" s="92"/>
    </row>
    <row r="993" ht="14.25" customHeight="1">
      <c r="B993" s="92"/>
      <c r="C993" s="92"/>
    </row>
    <row r="994" ht="14.25" customHeight="1">
      <c r="B994" s="92"/>
      <c r="C994" s="92"/>
    </row>
    <row r="995" ht="14.25" customHeight="1">
      <c r="B995" s="92"/>
      <c r="C995" s="92"/>
    </row>
    <row r="996" ht="14.25" customHeight="1">
      <c r="B996" s="92"/>
      <c r="C996" s="92"/>
    </row>
    <row r="997" ht="14.25" customHeight="1">
      <c r="B997" s="92"/>
      <c r="C997" s="92"/>
    </row>
    <row r="998" ht="14.25" customHeight="1">
      <c r="B998" s="92"/>
      <c r="C998" s="92"/>
    </row>
    <row r="999" ht="14.25" customHeight="1">
      <c r="B999" s="92"/>
      <c r="C999" s="92"/>
    </row>
    <row r="1000" ht="14.25" customHeight="1">
      <c r="B1000" s="92"/>
      <c r="C1000" s="9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 outlineLevelRow="1"/>
  <cols>
    <col customWidth="1" min="1" max="6" width="8.86"/>
    <col customWidth="1" min="7" max="7" width="16.0"/>
    <col customWidth="1" min="8" max="8" width="18.43"/>
    <col customWidth="1" min="9" max="9" width="16.0"/>
    <col customWidth="1" min="10" max="10" width="21.0"/>
    <col customWidth="1" min="11" max="11" width="10.57"/>
    <col customWidth="1" min="12" max="12" width="11.14"/>
    <col customWidth="1" min="13" max="13" width="11.43"/>
    <col customWidth="1" min="14" max="15" width="36.0"/>
    <col customWidth="1" min="16" max="16" width="23.43"/>
    <col customWidth="1" min="17" max="17" width="43.43"/>
    <col customWidth="1" min="18" max="18" width="18.43"/>
    <col customWidth="1" min="19" max="19" width="11.14"/>
    <col customWidth="1" min="20" max="20" width="11.43"/>
    <col customWidth="1" min="21" max="22" width="16.0"/>
    <col customWidth="1" min="23" max="23" width="14.43"/>
    <col customWidth="1" min="24" max="24" width="10.14"/>
    <col customWidth="1" min="25" max="25" width="16.86"/>
    <col customWidth="1" min="26" max="26" width="11.14"/>
    <col customWidth="1" min="27" max="27" width="11.43"/>
    <col customWidth="1" min="28" max="28" width="13.43"/>
    <col customWidth="1" min="29" max="29" width="16.0"/>
    <col customWidth="1" min="30" max="30" width="11.14"/>
    <col customWidth="1" min="31" max="31" width="11.43"/>
    <col customWidth="1" min="32" max="40" width="8.86"/>
  </cols>
  <sheetData>
    <row r="1" ht="14.25" customHeight="1">
      <c r="C1" s="92" t="s">
        <v>176</v>
      </c>
      <c r="D1" s="95" t="s">
        <v>177</v>
      </c>
      <c r="E1" s="95" t="s">
        <v>178</v>
      </c>
      <c r="F1" s="95" t="s">
        <v>179</v>
      </c>
      <c r="G1" s="95" t="s">
        <v>180</v>
      </c>
      <c r="H1" s="95"/>
      <c r="I1" s="95"/>
      <c r="J1" s="95"/>
      <c r="K1" s="95"/>
      <c r="L1" s="95"/>
      <c r="M1" s="95"/>
      <c r="N1" s="95" t="s">
        <v>181</v>
      </c>
      <c r="O1" s="95"/>
      <c r="P1" s="95"/>
      <c r="Q1" s="95"/>
      <c r="R1" s="95"/>
      <c r="S1" s="95"/>
      <c r="T1" s="95"/>
      <c r="U1" s="95" t="s">
        <v>182</v>
      </c>
      <c r="V1" s="95"/>
      <c r="W1" s="95"/>
      <c r="X1" s="95"/>
      <c r="Y1" s="95"/>
      <c r="Z1" s="95"/>
      <c r="AA1" s="95"/>
      <c r="AB1" s="95" t="s">
        <v>183</v>
      </c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</row>
    <row r="2" ht="14.25" customHeight="1">
      <c r="D2" s="95"/>
      <c r="E2" s="95"/>
      <c r="F2" s="95"/>
      <c r="G2" s="95" t="s">
        <v>170</v>
      </c>
      <c r="H2" s="95" t="s">
        <v>184</v>
      </c>
      <c r="I2" s="95" t="s">
        <v>185</v>
      </c>
      <c r="J2" s="95" t="s">
        <v>186</v>
      </c>
      <c r="K2" s="95" t="s">
        <v>7</v>
      </c>
      <c r="L2" s="95" t="s">
        <v>187</v>
      </c>
      <c r="M2" s="95" t="s">
        <v>123</v>
      </c>
      <c r="N2" s="95" t="s">
        <v>188</v>
      </c>
      <c r="O2" s="95" t="s">
        <v>189</v>
      </c>
      <c r="P2" s="95" t="s">
        <v>190</v>
      </c>
      <c r="Q2" s="95" t="s">
        <v>191</v>
      </c>
      <c r="R2" s="95" t="s">
        <v>192</v>
      </c>
      <c r="S2" s="95" t="s">
        <v>187</v>
      </c>
      <c r="T2" s="95" t="s">
        <v>123</v>
      </c>
      <c r="U2" s="95" t="s">
        <v>6</v>
      </c>
      <c r="V2" s="95" t="s">
        <v>3</v>
      </c>
      <c r="W2" s="95" t="s">
        <v>193</v>
      </c>
      <c r="X2" s="95" t="s">
        <v>8</v>
      </c>
      <c r="Y2" s="95" t="s">
        <v>194</v>
      </c>
      <c r="Z2" s="95" t="s">
        <v>187</v>
      </c>
      <c r="AA2" s="95" t="s">
        <v>123</v>
      </c>
      <c r="AB2" s="95" t="s">
        <v>10</v>
      </c>
      <c r="AC2" s="95" t="s">
        <v>15</v>
      </c>
      <c r="AD2" s="95" t="s">
        <v>187</v>
      </c>
      <c r="AE2" s="95" t="s">
        <v>123</v>
      </c>
      <c r="AF2" s="95"/>
      <c r="AG2" s="95"/>
      <c r="AH2" s="95"/>
      <c r="AI2" s="95"/>
      <c r="AJ2" s="95"/>
      <c r="AK2" s="95"/>
      <c r="AL2" s="95"/>
      <c r="AM2" s="95"/>
      <c r="AN2" s="95"/>
    </row>
    <row r="3" ht="14.25" customHeight="1">
      <c r="B3" s="507">
        <f t="shared" ref="B3:B318" si="1">IFERROR(VLOOKUP(C3,#REF!,2,0),0)</f>
        <v>0</v>
      </c>
      <c r="C3" s="95" t="str">
        <f t="shared" ref="C3:C318" si="2">D3&amp;E3&amp;F3</f>
        <v>売上高</v>
      </c>
      <c r="D3" s="95" t="s">
        <v>195</v>
      </c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</row>
    <row r="4" ht="14.25" customHeight="1">
      <c r="B4" s="507">
        <f t="shared" si="1"/>
        <v>0</v>
      </c>
      <c r="C4" s="95" t="str">
        <f t="shared" si="2"/>
        <v>飲食売上高</v>
      </c>
      <c r="D4" s="95"/>
      <c r="E4" s="95" t="s">
        <v>37</v>
      </c>
      <c r="F4" s="95"/>
      <c r="G4" s="95">
        <v>0.0</v>
      </c>
      <c r="H4" s="95">
        <v>7400514.0</v>
      </c>
      <c r="I4" s="95">
        <v>0.0</v>
      </c>
      <c r="J4" s="95">
        <v>4368869.0</v>
      </c>
      <c r="K4" s="95">
        <v>0.0</v>
      </c>
      <c r="L4" s="95">
        <v>0.0</v>
      </c>
      <c r="M4" s="95">
        <v>1.1769383E7</v>
      </c>
      <c r="N4" s="95">
        <v>0.0</v>
      </c>
      <c r="O4" s="95">
        <v>0.0</v>
      </c>
      <c r="P4" s="95">
        <v>1629283.0</v>
      </c>
      <c r="Q4" s="95">
        <v>1994652.0</v>
      </c>
      <c r="R4" s="95">
        <v>0.0</v>
      </c>
      <c r="S4" s="95">
        <v>0.0</v>
      </c>
      <c r="T4" s="95">
        <v>3623935.0</v>
      </c>
      <c r="U4" s="95">
        <v>15.0</v>
      </c>
      <c r="V4" s="95">
        <v>0.0</v>
      </c>
      <c r="W4" s="95">
        <v>1.7474644E7</v>
      </c>
      <c r="X4" s="95">
        <v>1863085.0</v>
      </c>
      <c r="Y4" s="95">
        <v>0.0</v>
      </c>
      <c r="Z4" s="95">
        <v>0.0</v>
      </c>
      <c r="AA4" s="95">
        <v>1.9337744E7</v>
      </c>
      <c r="AB4" s="95">
        <v>0.0</v>
      </c>
      <c r="AC4" s="95">
        <v>0.0</v>
      </c>
      <c r="AD4" s="95">
        <v>0.0</v>
      </c>
      <c r="AE4" s="95">
        <v>0.0</v>
      </c>
      <c r="AF4" s="95"/>
      <c r="AG4" s="95"/>
      <c r="AH4" s="95"/>
      <c r="AI4" s="95"/>
      <c r="AJ4" s="95"/>
      <c r="AK4" s="95"/>
      <c r="AL4" s="95"/>
      <c r="AM4" s="95"/>
      <c r="AN4" s="95"/>
    </row>
    <row r="5" ht="14.25" customHeight="1">
      <c r="B5" s="507">
        <f t="shared" si="1"/>
        <v>0</v>
      </c>
      <c r="C5" s="95" t="str">
        <f t="shared" si="2"/>
        <v>料匠虎白</v>
      </c>
      <c r="D5" s="95"/>
      <c r="E5" s="95"/>
      <c r="F5" s="95" t="s">
        <v>196</v>
      </c>
      <c r="G5" s="95">
        <v>0.0</v>
      </c>
      <c r="H5" s="95">
        <v>7400514.0</v>
      </c>
      <c r="I5" s="95">
        <v>0.0</v>
      </c>
      <c r="J5" s="95">
        <v>0.0</v>
      </c>
      <c r="K5" s="95">
        <v>0.0</v>
      </c>
      <c r="L5" s="95">
        <v>0.0</v>
      </c>
      <c r="M5" s="95">
        <v>7400514.0</v>
      </c>
      <c r="N5" s="95">
        <v>0.0</v>
      </c>
      <c r="O5" s="95">
        <v>0.0</v>
      </c>
      <c r="P5" s="95">
        <v>0.0</v>
      </c>
      <c r="Q5" s="95">
        <v>1994652.0</v>
      </c>
      <c r="R5" s="95">
        <v>0.0</v>
      </c>
      <c r="S5" s="95">
        <v>0.0</v>
      </c>
      <c r="T5" s="95">
        <v>1994652.0</v>
      </c>
      <c r="U5" s="95">
        <v>14.0</v>
      </c>
      <c r="V5" s="95">
        <v>0.0</v>
      </c>
      <c r="W5" s="95">
        <v>0.0</v>
      </c>
      <c r="X5" s="95">
        <v>0.0</v>
      </c>
      <c r="Y5" s="95">
        <v>0.0</v>
      </c>
      <c r="Z5" s="95">
        <v>0.0</v>
      </c>
      <c r="AA5" s="95">
        <v>14.0</v>
      </c>
      <c r="AB5" s="95">
        <v>0.0</v>
      </c>
      <c r="AC5" s="95">
        <v>0.0</v>
      </c>
      <c r="AD5" s="95">
        <v>0.0</v>
      </c>
      <c r="AE5" s="95">
        <v>0.0</v>
      </c>
      <c r="AF5" s="95"/>
      <c r="AG5" s="95"/>
      <c r="AH5" s="95"/>
      <c r="AI5" s="95"/>
      <c r="AJ5" s="95"/>
      <c r="AK5" s="95"/>
      <c r="AL5" s="95"/>
      <c r="AM5" s="95"/>
      <c r="AN5" s="95"/>
    </row>
    <row r="6" ht="14.25" customHeight="1">
      <c r="B6" s="507">
        <f t="shared" si="1"/>
        <v>0</v>
      </c>
      <c r="C6" s="95" t="str">
        <f t="shared" si="2"/>
        <v>こはく食堂</v>
      </c>
      <c r="D6" s="95"/>
      <c r="E6" s="95"/>
      <c r="F6" s="95" t="s">
        <v>197</v>
      </c>
      <c r="G6" s="95">
        <v>0.0</v>
      </c>
      <c r="H6" s="95">
        <v>0.0</v>
      </c>
      <c r="I6" s="95">
        <v>0.0</v>
      </c>
      <c r="J6" s="95">
        <v>4368869.0</v>
      </c>
      <c r="K6" s="95">
        <v>0.0</v>
      </c>
      <c r="L6" s="95">
        <v>0.0</v>
      </c>
      <c r="M6" s="95">
        <v>4368869.0</v>
      </c>
      <c r="N6" s="95">
        <v>0.0</v>
      </c>
      <c r="O6" s="95">
        <v>0.0</v>
      </c>
      <c r="P6" s="95">
        <v>0.0</v>
      </c>
      <c r="Q6" s="95">
        <v>0.0</v>
      </c>
      <c r="R6" s="95">
        <v>0.0</v>
      </c>
      <c r="S6" s="95">
        <v>0.0</v>
      </c>
      <c r="T6" s="95">
        <v>0.0</v>
      </c>
      <c r="U6" s="95">
        <v>0.0</v>
      </c>
      <c r="V6" s="95">
        <v>0.0</v>
      </c>
      <c r="W6" s="95">
        <v>0.0</v>
      </c>
      <c r="X6" s="95">
        <v>0.0</v>
      </c>
      <c r="Y6" s="95">
        <v>0.0</v>
      </c>
      <c r="Z6" s="95">
        <v>0.0</v>
      </c>
      <c r="AA6" s="95">
        <v>0.0</v>
      </c>
      <c r="AB6" s="95">
        <v>0.0</v>
      </c>
      <c r="AC6" s="95">
        <v>0.0</v>
      </c>
      <c r="AD6" s="95">
        <v>0.0</v>
      </c>
      <c r="AE6" s="95">
        <v>0.0</v>
      </c>
      <c r="AF6" s="95"/>
      <c r="AG6" s="95"/>
      <c r="AH6" s="95"/>
      <c r="AI6" s="95"/>
      <c r="AJ6" s="95"/>
      <c r="AK6" s="95"/>
      <c r="AL6" s="95"/>
      <c r="AM6" s="95"/>
      <c r="AN6" s="95"/>
    </row>
    <row r="7" ht="14.25" customHeight="1">
      <c r="B7" s="507">
        <f t="shared" si="1"/>
        <v>0</v>
      </c>
      <c r="C7" s="95" t="str">
        <f t="shared" si="2"/>
        <v>buffetKOHAKU</v>
      </c>
      <c r="D7" s="95"/>
      <c r="E7" s="95"/>
      <c r="F7" s="95" t="s">
        <v>198</v>
      </c>
      <c r="G7" s="95">
        <v>0.0</v>
      </c>
      <c r="H7" s="95">
        <v>0.0</v>
      </c>
      <c r="I7" s="95">
        <v>0.0</v>
      </c>
      <c r="J7" s="95">
        <v>0.0</v>
      </c>
      <c r="K7" s="95">
        <v>0.0</v>
      </c>
      <c r="L7" s="95">
        <v>0.0</v>
      </c>
      <c r="M7" s="95">
        <v>0.0</v>
      </c>
      <c r="N7" s="95">
        <v>0.0</v>
      </c>
      <c r="O7" s="95">
        <v>0.0</v>
      </c>
      <c r="P7" s="95">
        <v>1629283.0</v>
      </c>
      <c r="Q7" s="95">
        <v>0.0</v>
      </c>
      <c r="R7" s="95">
        <v>0.0</v>
      </c>
      <c r="S7" s="95">
        <v>0.0</v>
      </c>
      <c r="T7" s="95">
        <v>1629283.0</v>
      </c>
      <c r="U7" s="95">
        <v>1.0</v>
      </c>
      <c r="V7" s="95">
        <v>0.0</v>
      </c>
      <c r="W7" s="95">
        <v>0.0</v>
      </c>
      <c r="X7" s="95">
        <v>0.0</v>
      </c>
      <c r="Y7" s="95">
        <v>0.0</v>
      </c>
      <c r="Z7" s="95">
        <v>0.0</v>
      </c>
      <c r="AA7" s="95">
        <v>1.0</v>
      </c>
      <c r="AB7" s="95">
        <v>0.0</v>
      </c>
      <c r="AC7" s="95">
        <v>0.0</v>
      </c>
      <c r="AD7" s="95">
        <v>0.0</v>
      </c>
      <c r="AE7" s="95">
        <v>0.0</v>
      </c>
      <c r="AF7" s="95"/>
      <c r="AG7" s="95"/>
      <c r="AH7" s="95"/>
      <c r="AI7" s="95"/>
      <c r="AJ7" s="95"/>
      <c r="AK7" s="95"/>
      <c r="AL7" s="95"/>
      <c r="AM7" s="95"/>
      <c r="AN7" s="95"/>
    </row>
    <row r="8" ht="14.25" customHeight="1">
      <c r="B8" s="507">
        <f t="shared" si="1"/>
        <v>0</v>
      </c>
      <c r="C8" s="95" t="str">
        <f t="shared" si="2"/>
        <v>補助科目なし</v>
      </c>
      <c r="D8" s="95"/>
      <c r="E8" s="95"/>
      <c r="F8" s="95" t="s">
        <v>199</v>
      </c>
      <c r="G8" s="95">
        <v>0.0</v>
      </c>
      <c r="H8" s="95">
        <v>0.0</v>
      </c>
      <c r="I8" s="95">
        <v>0.0</v>
      </c>
      <c r="J8" s="95">
        <v>0.0</v>
      </c>
      <c r="K8" s="95">
        <v>0.0</v>
      </c>
      <c r="L8" s="95">
        <v>0.0</v>
      </c>
      <c r="M8" s="95">
        <v>0.0</v>
      </c>
      <c r="N8" s="95">
        <v>0.0</v>
      </c>
      <c r="O8" s="95">
        <v>0.0</v>
      </c>
      <c r="P8" s="95">
        <v>0.0</v>
      </c>
      <c r="Q8" s="95">
        <v>0.0</v>
      </c>
      <c r="R8" s="95">
        <v>0.0</v>
      </c>
      <c r="S8" s="95">
        <v>0.0</v>
      </c>
      <c r="T8" s="95">
        <v>0.0</v>
      </c>
      <c r="U8" s="95">
        <v>0.0</v>
      </c>
      <c r="V8" s="95">
        <v>0.0</v>
      </c>
      <c r="W8" s="95">
        <v>1.7474644E7</v>
      </c>
      <c r="X8" s="95">
        <v>1863085.0</v>
      </c>
      <c r="Y8" s="95">
        <v>0.0</v>
      </c>
      <c r="Z8" s="95">
        <v>0.0</v>
      </c>
      <c r="AA8" s="95">
        <v>1.9337729E7</v>
      </c>
      <c r="AB8" s="95">
        <v>0.0</v>
      </c>
      <c r="AC8" s="95">
        <v>0.0</v>
      </c>
      <c r="AD8" s="95">
        <v>0.0</v>
      </c>
      <c r="AE8" s="95">
        <v>0.0</v>
      </c>
      <c r="AF8" s="95"/>
      <c r="AG8" s="95"/>
      <c r="AH8" s="95"/>
      <c r="AI8" s="95"/>
      <c r="AJ8" s="95"/>
      <c r="AK8" s="95"/>
      <c r="AL8" s="95"/>
      <c r="AM8" s="95"/>
      <c r="AN8" s="95"/>
    </row>
    <row r="9" ht="14.25" customHeight="1">
      <c r="B9" s="507">
        <f t="shared" si="1"/>
        <v>0</v>
      </c>
      <c r="C9" s="95" t="str">
        <f t="shared" si="2"/>
        <v>旅館売上高</v>
      </c>
      <c r="D9" s="95"/>
      <c r="E9" s="95" t="s">
        <v>38</v>
      </c>
      <c r="F9" s="95"/>
      <c r="G9" s="95">
        <v>6236260.0</v>
      </c>
      <c r="H9" s="95">
        <v>0.0</v>
      </c>
      <c r="I9" s="95">
        <v>1.1526594E7</v>
      </c>
      <c r="J9" s="95">
        <v>0.0</v>
      </c>
      <c r="K9" s="95">
        <v>0.0</v>
      </c>
      <c r="L9" s="95">
        <v>0.0</v>
      </c>
      <c r="M9" s="95">
        <v>1.7762854E7</v>
      </c>
      <c r="N9" s="95">
        <v>6165223.0</v>
      </c>
      <c r="O9" s="95">
        <v>3926798.0</v>
      </c>
      <c r="P9" s="95">
        <v>0.0</v>
      </c>
      <c r="Q9" s="95">
        <v>0.0</v>
      </c>
      <c r="R9" s="95">
        <v>0.0</v>
      </c>
      <c r="S9" s="95">
        <v>0.0</v>
      </c>
      <c r="T9" s="95">
        <v>1.0092021E7</v>
      </c>
      <c r="U9" s="95">
        <v>5899264.0</v>
      </c>
      <c r="V9" s="95">
        <v>3.1783442E7</v>
      </c>
      <c r="W9" s="95">
        <v>0.0</v>
      </c>
      <c r="X9" s="95">
        <v>8056872.0</v>
      </c>
      <c r="Y9" s="95">
        <v>0.0</v>
      </c>
      <c r="Z9" s="95">
        <v>0.0</v>
      </c>
      <c r="AA9" s="95">
        <v>4.5739578E7</v>
      </c>
      <c r="AB9" s="95">
        <v>0.0</v>
      </c>
      <c r="AC9" s="95">
        <v>0.0</v>
      </c>
      <c r="AD9" s="95">
        <v>0.0</v>
      </c>
      <c r="AE9" s="95">
        <v>0.0</v>
      </c>
      <c r="AF9" s="95"/>
      <c r="AG9" s="95"/>
      <c r="AH9" s="95"/>
      <c r="AI9" s="95"/>
      <c r="AJ9" s="95"/>
      <c r="AK9" s="95"/>
      <c r="AL9" s="95"/>
      <c r="AM9" s="95"/>
      <c r="AN9" s="95"/>
    </row>
    <row r="10" ht="14.25" customHeight="1">
      <c r="B10" s="507">
        <f t="shared" si="1"/>
        <v>0</v>
      </c>
      <c r="C10" s="95" t="str">
        <f t="shared" si="2"/>
        <v>送迎代</v>
      </c>
      <c r="D10" s="95"/>
      <c r="E10" s="95"/>
      <c r="F10" s="95" t="s">
        <v>200</v>
      </c>
      <c r="G10" s="95">
        <v>0.0</v>
      </c>
      <c r="H10" s="95">
        <v>0.0</v>
      </c>
      <c r="I10" s="95">
        <v>5455.0</v>
      </c>
      <c r="J10" s="95">
        <v>0.0</v>
      </c>
      <c r="K10" s="95">
        <v>0.0</v>
      </c>
      <c r="L10" s="95">
        <v>0.0</v>
      </c>
      <c r="M10" s="95">
        <v>5455.0</v>
      </c>
      <c r="N10" s="95">
        <v>0.0</v>
      </c>
      <c r="O10" s="95">
        <v>0.0</v>
      </c>
      <c r="P10" s="95">
        <v>0.0</v>
      </c>
      <c r="Q10" s="95">
        <v>0.0</v>
      </c>
      <c r="R10" s="95">
        <v>0.0</v>
      </c>
      <c r="S10" s="95">
        <v>0.0</v>
      </c>
      <c r="T10" s="95">
        <v>0.0</v>
      </c>
      <c r="U10" s="95">
        <v>0.0</v>
      </c>
      <c r="V10" s="95">
        <v>0.0</v>
      </c>
      <c r="W10" s="95">
        <v>0.0</v>
      </c>
      <c r="X10" s="95">
        <v>0.0</v>
      </c>
      <c r="Y10" s="95">
        <v>0.0</v>
      </c>
      <c r="Z10" s="95">
        <v>0.0</v>
      </c>
      <c r="AA10" s="95">
        <v>0.0</v>
      </c>
      <c r="AB10" s="95">
        <v>0.0</v>
      </c>
      <c r="AC10" s="95">
        <v>0.0</v>
      </c>
      <c r="AD10" s="95">
        <v>0.0</v>
      </c>
      <c r="AE10" s="95">
        <v>0.0</v>
      </c>
      <c r="AF10" s="95"/>
      <c r="AG10" s="95"/>
      <c r="AH10" s="95"/>
      <c r="AI10" s="95"/>
      <c r="AJ10" s="95"/>
      <c r="AK10" s="95"/>
      <c r="AL10" s="95"/>
      <c r="AM10" s="95"/>
      <c r="AN10" s="95"/>
    </row>
    <row r="11" ht="14.25" customHeight="1">
      <c r="B11" s="507">
        <f t="shared" si="1"/>
        <v>0</v>
      </c>
      <c r="C11" s="95" t="str">
        <f t="shared" si="2"/>
        <v>補助科目なし</v>
      </c>
      <c r="D11" s="95"/>
      <c r="E11" s="95"/>
      <c r="F11" s="95" t="s">
        <v>199</v>
      </c>
      <c r="G11" s="95">
        <v>6236260.0</v>
      </c>
      <c r="H11" s="95">
        <v>0.0</v>
      </c>
      <c r="I11" s="95">
        <v>1.1521139E7</v>
      </c>
      <c r="J11" s="95">
        <v>0.0</v>
      </c>
      <c r="K11" s="95">
        <v>0.0</v>
      </c>
      <c r="L11" s="95">
        <v>0.0</v>
      </c>
      <c r="M11" s="95">
        <v>1.7757399E7</v>
      </c>
      <c r="N11" s="95">
        <v>6165223.0</v>
      </c>
      <c r="O11" s="95">
        <v>3926798.0</v>
      </c>
      <c r="P11" s="95">
        <v>0.0</v>
      </c>
      <c r="Q11" s="95">
        <v>0.0</v>
      </c>
      <c r="R11" s="95">
        <v>0.0</v>
      </c>
      <c r="S11" s="95">
        <v>0.0</v>
      </c>
      <c r="T11" s="95">
        <v>1.0092021E7</v>
      </c>
      <c r="U11" s="95">
        <v>5899264.0</v>
      </c>
      <c r="V11" s="95">
        <v>3.1783442E7</v>
      </c>
      <c r="W11" s="95">
        <v>0.0</v>
      </c>
      <c r="X11" s="95">
        <v>8056872.0</v>
      </c>
      <c r="Y11" s="95">
        <v>0.0</v>
      </c>
      <c r="Z11" s="95">
        <v>0.0</v>
      </c>
      <c r="AA11" s="95">
        <v>4.5739578E7</v>
      </c>
      <c r="AB11" s="95">
        <v>0.0</v>
      </c>
      <c r="AC11" s="95">
        <v>0.0</v>
      </c>
      <c r="AD11" s="95">
        <v>0.0</v>
      </c>
      <c r="AE11" s="95">
        <v>0.0</v>
      </c>
      <c r="AF11" s="95"/>
      <c r="AG11" s="95"/>
      <c r="AH11" s="95"/>
      <c r="AI11" s="95"/>
      <c r="AJ11" s="95"/>
      <c r="AK11" s="95"/>
      <c r="AL11" s="95"/>
      <c r="AM11" s="95"/>
      <c r="AN11" s="95"/>
    </row>
    <row r="12" ht="14.25" customHeight="1">
      <c r="B12" s="507">
        <f t="shared" si="1"/>
        <v>0</v>
      </c>
      <c r="C12" s="95" t="str">
        <f t="shared" si="2"/>
        <v>売店売上高</v>
      </c>
      <c r="D12" s="95"/>
      <c r="E12" s="95" t="s">
        <v>39</v>
      </c>
      <c r="F12" s="95"/>
      <c r="G12" s="95">
        <v>0.0</v>
      </c>
      <c r="H12" s="95">
        <v>0.0</v>
      </c>
      <c r="I12" s="95">
        <v>209028.0</v>
      </c>
      <c r="J12" s="95">
        <v>0.0</v>
      </c>
      <c r="K12" s="95">
        <v>0.0</v>
      </c>
      <c r="L12" s="95">
        <v>0.0</v>
      </c>
      <c r="M12" s="95">
        <v>209028.0</v>
      </c>
      <c r="N12" s="95">
        <v>37731.0</v>
      </c>
      <c r="O12" s="95">
        <v>5000.0</v>
      </c>
      <c r="P12" s="95">
        <v>0.0</v>
      </c>
      <c r="Q12" s="95">
        <v>0.0</v>
      </c>
      <c r="R12" s="95">
        <v>0.0</v>
      </c>
      <c r="S12" s="95">
        <v>0.0</v>
      </c>
      <c r="T12" s="95">
        <v>42731.0</v>
      </c>
      <c r="U12" s="95">
        <v>2728.0</v>
      </c>
      <c r="V12" s="95">
        <v>182238.0</v>
      </c>
      <c r="W12" s="95">
        <v>0.0</v>
      </c>
      <c r="X12" s="95">
        <v>0.0</v>
      </c>
      <c r="Y12" s="95">
        <v>0.0</v>
      </c>
      <c r="Z12" s="95">
        <v>0.0</v>
      </c>
      <c r="AA12" s="95">
        <v>184966.0</v>
      </c>
      <c r="AB12" s="95">
        <v>0.0</v>
      </c>
      <c r="AC12" s="95">
        <v>0.0</v>
      </c>
      <c r="AD12" s="95">
        <v>0.0</v>
      </c>
      <c r="AE12" s="95">
        <v>0.0</v>
      </c>
      <c r="AF12" s="95"/>
      <c r="AG12" s="95"/>
      <c r="AH12" s="95"/>
      <c r="AI12" s="95"/>
      <c r="AJ12" s="95"/>
      <c r="AK12" s="95"/>
      <c r="AL12" s="95"/>
      <c r="AM12" s="95"/>
      <c r="AN12" s="95"/>
    </row>
    <row r="13" ht="14.25" customHeight="1">
      <c r="B13" s="507">
        <f t="shared" si="1"/>
        <v>0</v>
      </c>
      <c r="C13" s="95" t="str">
        <f t="shared" si="2"/>
        <v>売上値引・返品</v>
      </c>
      <c r="D13" s="95"/>
      <c r="E13" s="95" t="s">
        <v>201</v>
      </c>
      <c r="F13" s="95"/>
      <c r="G13" s="95">
        <v>0.0</v>
      </c>
      <c r="H13" s="95">
        <v>0.0</v>
      </c>
      <c r="I13" s="95">
        <v>0.0</v>
      </c>
      <c r="J13" s="95">
        <v>0.0</v>
      </c>
      <c r="K13" s="95">
        <v>0.0</v>
      </c>
      <c r="L13" s="95">
        <v>0.0</v>
      </c>
      <c r="M13" s="95">
        <v>0.0</v>
      </c>
      <c r="N13" s="95">
        <v>0.0</v>
      </c>
      <c r="O13" s="95">
        <v>0.0</v>
      </c>
      <c r="P13" s="95">
        <v>0.0</v>
      </c>
      <c r="Q13" s="95">
        <v>0.0</v>
      </c>
      <c r="R13" s="95">
        <v>0.0</v>
      </c>
      <c r="S13" s="95">
        <v>0.0</v>
      </c>
      <c r="T13" s="95">
        <v>0.0</v>
      </c>
      <c r="U13" s="95">
        <v>0.0</v>
      </c>
      <c r="V13" s="95">
        <v>0.0</v>
      </c>
      <c r="W13" s="95">
        <v>0.0</v>
      </c>
      <c r="X13" s="95">
        <v>0.0</v>
      </c>
      <c r="Y13" s="95">
        <v>0.0</v>
      </c>
      <c r="Z13" s="95">
        <v>0.0</v>
      </c>
      <c r="AA13" s="95">
        <v>0.0</v>
      </c>
      <c r="AB13" s="95">
        <v>0.0</v>
      </c>
      <c r="AC13" s="95">
        <v>0.0</v>
      </c>
      <c r="AD13" s="95">
        <v>0.0</v>
      </c>
      <c r="AE13" s="95">
        <v>0.0</v>
      </c>
      <c r="AF13" s="95"/>
      <c r="AG13" s="95"/>
      <c r="AH13" s="95"/>
      <c r="AI13" s="95"/>
      <c r="AJ13" s="95"/>
      <c r="AK13" s="95"/>
      <c r="AL13" s="95"/>
      <c r="AM13" s="95"/>
      <c r="AN13" s="95"/>
    </row>
    <row r="14" ht="14.25" customHeight="1">
      <c r="B14" s="507">
        <f t="shared" si="1"/>
        <v>0</v>
      </c>
      <c r="C14" s="95" t="str">
        <f t="shared" si="2"/>
        <v>バースデー券利用</v>
      </c>
      <c r="D14" s="95"/>
      <c r="E14" s="95"/>
      <c r="F14" s="95" t="s">
        <v>202</v>
      </c>
      <c r="G14" s="95">
        <v>0.0</v>
      </c>
      <c r="H14" s="95">
        <v>0.0</v>
      </c>
      <c r="I14" s="95">
        <v>0.0</v>
      </c>
      <c r="J14" s="95">
        <v>0.0</v>
      </c>
      <c r="K14" s="95">
        <v>0.0</v>
      </c>
      <c r="L14" s="95">
        <v>0.0</v>
      </c>
      <c r="M14" s="95">
        <v>0.0</v>
      </c>
      <c r="N14" s="95">
        <v>0.0</v>
      </c>
      <c r="O14" s="95">
        <v>0.0</v>
      </c>
      <c r="P14" s="95">
        <v>0.0</v>
      </c>
      <c r="Q14" s="95">
        <v>0.0</v>
      </c>
      <c r="R14" s="95">
        <v>0.0</v>
      </c>
      <c r="S14" s="95">
        <v>0.0</v>
      </c>
      <c r="T14" s="95">
        <v>0.0</v>
      </c>
      <c r="U14" s="95">
        <v>0.0</v>
      </c>
      <c r="V14" s="95">
        <v>0.0</v>
      </c>
      <c r="W14" s="95">
        <v>0.0</v>
      </c>
      <c r="X14" s="95">
        <v>0.0</v>
      </c>
      <c r="Y14" s="95">
        <v>0.0</v>
      </c>
      <c r="Z14" s="95">
        <v>0.0</v>
      </c>
      <c r="AA14" s="95">
        <v>0.0</v>
      </c>
      <c r="AB14" s="95">
        <v>0.0</v>
      </c>
      <c r="AC14" s="95">
        <v>0.0</v>
      </c>
      <c r="AD14" s="95">
        <v>0.0</v>
      </c>
      <c r="AE14" s="95">
        <v>0.0</v>
      </c>
      <c r="AF14" s="95"/>
      <c r="AG14" s="95"/>
      <c r="AH14" s="95"/>
      <c r="AI14" s="95"/>
      <c r="AJ14" s="95"/>
      <c r="AK14" s="95"/>
      <c r="AL14" s="95"/>
      <c r="AM14" s="95"/>
      <c r="AN14" s="95"/>
    </row>
    <row r="15" ht="14.25" customHeight="1">
      <c r="B15" s="507">
        <f t="shared" si="1"/>
        <v>0</v>
      </c>
      <c r="C15" s="95" t="str">
        <f t="shared" si="2"/>
        <v>HOT PRICE</v>
      </c>
      <c r="D15" s="95"/>
      <c r="E15" s="95"/>
      <c r="F15" s="95" t="s">
        <v>203</v>
      </c>
      <c r="G15" s="95">
        <v>0.0</v>
      </c>
      <c r="H15" s="95">
        <v>0.0</v>
      </c>
      <c r="I15" s="95">
        <v>0.0</v>
      </c>
      <c r="J15" s="95">
        <v>0.0</v>
      </c>
      <c r="K15" s="95">
        <v>0.0</v>
      </c>
      <c r="L15" s="95">
        <v>0.0</v>
      </c>
      <c r="M15" s="95">
        <v>0.0</v>
      </c>
      <c r="N15" s="95">
        <v>0.0</v>
      </c>
      <c r="O15" s="95">
        <v>0.0</v>
      </c>
      <c r="P15" s="95">
        <v>0.0</v>
      </c>
      <c r="Q15" s="95">
        <v>0.0</v>
      </c>
      <c r="R15" s="95">
        <v>0.0</v>
      </c>
      <c r="S15" s="95">
        <v>0.0</v>
      </c>
      <c r="T15" s="95">
        <v>0.0</v>
      </c>
      <c r="U15" s="95">
        <v>0.0</v>
      </c>
      <c r="V15" s="95">
        <v>0.0</v>
      </c>
      <c r="W15" s="95">
        <v>0.0</v>
      </c>
      <c r="X15" s="95">
        <v>0.0</v>
      </c>
      <c r="Y15" s="95">
        <v>0.0</v>
      </c>
      <c r="Z15" s="95">
        <v>0.0</v>
      </c>
      <c r="AA15" s="95">
        <v>0.0</v>
      </c>
      <c r="AB15" s="95">
        <v>0.0</v>
      </c>
      <c r="AC15" s="95">
        <v>0.0</v>
      </c>
      <c r="AD15" s="95">
        <v>0.0</v>
      </c>
      <c r="AE15" s="95">
        <v>0.0</v>
      </c>
      <c r="AF15" s="95"/>
      <c r="AG15" s="95"/>
      <c r="AH15" s="95"/>
      <c r="AI15" s="95"/>
      <c r="AJ15" s="95"/>
      <c r="AK15" s="95"/>
      <c r="AL15" s="95"/>
      <c r="AM15" s="95"/>
      <c r="AN15" s="95"/>
    </row>
    <row r="16" ht="14.25" customHeight="1">
      <c r="B16" s="507">
        <f t="shared" si="1"/>
        <v>0</v>
      </c>
      <c r="C16" s="95" t="str">
        <f t="shared" si="2"/>
        <v>補助科目なし</v>
      </c>
      <c r="D16" s="95"/>
      <c r="E16" s="95"/>
      <c r="F16" s="95" t="s">
        <v>199</v>
      </c>
      <c r="G16" s="95">
        <v>0.0</v>
      </c>
      <c r="H16" s="95">
        <v>0.0</v>
      </c>
      <c r="I16" s="95">
        <v>0.0</v>
      </c>
      <c r="J16" s="95">
        <v>0.0</v>
      </c>
      <c r="K16" s="95">
        <v>0.0</v>
      </c>
      <c r="L16" s="95">
        <v>0.0</v>
      </c>
      <c r="M16" s="95">
        <v>0.0</v>
      </c>
      <c r="N16" s="95">
        <v>0.0</v>
      </c>
      <c r="O16" s="95">
        <v>0.0</v>
      </c>
      <c r="P16" s="95">
        <v>0.0</v>
      </c>
      <c r="Q16" s="95">
        <v>0.0</v>
      </c>
      <c r="R16" s="95">
        <v>0.0</v>
      </c>
      <c r="S16" s="95">
        <v>0.0</v>
      </c>
      <c r="T16" s="95">
        <v>0.0</v>
      </c>
      <c r="U16" s="95">
        <v>0.0</v>
      </c>
      <c r="V16" s="95">
        <v>0.0</v>
      </c>
      <c r="W16" s="95">
        <v>0.0</v>
      </c>
      <c r="X16" s="95">
        <v>0.0</v>
      </c>
      <c r="Y16" s="95">
        <v>0.0</v>
      </c>
      <c r="Z16" s="95">
        <v>0.0</v>
      </c>
      <c r="AA16" s="95">
        <v>0.0</v>
      </c>
      <c r="AB16" s="95">
        <v>0.0</v>
      </c>
      <c r="AC16" s="95">
        <v>0.0</v>
      </c>
      <c r="AD16" s="95">
        <v>0.0</v>
      </c>
      <c r="AE16" s="95">
        <v>0.0</v>
      </c>
      <c r="AF16" s="95"/>
      <c r="AG16" s="95"/>
      <c r="AH16" s="95"/>
      <c r="AI16" s="95"/>
      <c r="AJ16" s="95"/>
      <c r="AK16" s="95"/>
      <c r="AL16" s="95"/>
      <c r="AM16" s="95"/>
      <c r="AN16" s="95"/>
    </row>
    <row r="17" ht="14.25" customHeight="1">
      <c r="B17" s="507">
        <f t="shared" si="1"/>
        <v>0</v>
      </c>
      <c r="C17" s="95" t="str">
        <f t="shared" si="2"/>
        <v>売上高</v>
      </c>
      <c r="D17" s="95"/>
      <c r="E17" s="95" t="s">
        <v>195</v>
      </c>
      <c r="F17" s="95"/>
      <c r="G17" s="95">
        <v>0.0</v>
      </c>
      <c r="H17" s="95">
        <v>0.0</v>
      </c>
      <c r="I17" s="95">
        <v>0.0</v>
      </c>
      <c r="J17" s="95">
        <v>0.0</v>
      </c>
      <c r="K17" s="95">
        <v>0.0</v>
      </c>
      <c r="L17" s="95">
        <v>0.0</v>
      </c>
      <c r="M17" s="95">
        <v>0.0</v>
      </c>
      <c r="N17" s="95">
        <v>0.0</v>
      </c>
      <c r="O17" s="95">
        <v>0.0</v>
      </c>
      <c r="P17" s="95">
        <v>0.0</v>
      </c>
      <c r="Q17" s="95">
        <v>0.0</v>
      </c>
      <c r="R17" s="95">
        <v>0.0</v>
      </c>
      <c r="S17" s="95">
        <v>0.0</v>
      </c>
      <c r="T17" s="95">
        <v>0.0</v>
      </c>
      <c r="U17" s="95">
        <v>0.0</v>
      </c>
      <c r="V17" s="95">
        <v>0.0</v>
      </c>
      <c r="W17" s="95">
        <v>0.0</v>
      </c>
      <c r="X17" s="95">
        <v>0.0</v>
      </c>
      <c r="Y17" s="95">
        <v>112000.0</v>
      </c>
      <c r="Z17" s="95">
        <v>0.0</v>
      </c>
      <c r="AA17" s="95">
        <v>112000.0</v>
      </c>
      <c r="AB17" s="95">
        <v>0.0</v>
      </c>
      <c r="AC17" s="95">
        <v>0.0</v>
      </c>
      <c r="AD17" s="95">
        <v>0.0</v>
      </c>
      <c r="AE17" s="95">
        <v>0.0</v>
      </c>
      <c r="AF17" s="95"/>
      <c r="AG17" s="95"/>
      <c r="AH17" s="95"/>
      <c r="AI17" s="95"/>
      <c r="AJ17" s="95"/>
      <c r="AK17" s="95"/>
      <c r="AL17" s="95"/>
      <c r="AM17" s="95"/>
      <c r="AN17" s="95"/>
    </row>
    <row r="18" ht="14.25" customHeight="1">
      <c r="B18" s="507">
        <f t="shared" si="1"/>
        <v>0</v>
      </c>
      <c r="C18" s="95" t="str">
        <f t="shared" si="2"/>
        <v>ゴルフ事業収入</v>
      </c>
      <c r="D18" s="95"/>
      <c r="E18" s="95"/>
      <c r="F18" s="95" t="s">
        <v>204</v>
      </c>
      <c r="G18" s="95">
        <v>0.0</v>
      </c>
      <c r="H18" s="95">
        <v>0.0</v>
      </c>
      <c r="I18" s="95">
        <v>0.0</v>
      </c>
      <c r="J18" s="95">
        <v>0.0</v>
      </c>
      <c r="K18" s="95">
        <v>0.0</v>
      </c>
      <c r="L18" s="95">
        <v>0.0</v>
      </c>
      <c r="M18" s="95">
        <v>0.0</v>
      </c>
      <c r="N18" s="95">
        <v>0.0</v>
      </c>
      <c r="O18" s="95">
        <v>0.0</v>
      </c>
      <c r="P18" s="95">
        <v>0.0</v>
      </c>
      <c r="Q18" s="95">
        <v>0.0</v>
      </c>
      <c r="R18" s="95">
        <v>0.0</v>
      </c>
      <c r="S18" s="95">
        <v>0.0</v>
      </c>
      <c r="T18" s="95">
        <v>0.0</v>
      </c>
      <c r="U18" s="95">
        <v>0.0</v>
      </c>
      <c r="V18" s="95">
        <v>0.0</v>
      </c>
      <c r="W18" s="95">
        <v>0.0</v>
      </c>
      <c r="X18" s="95">
        <v>0.0</v>
      </c>
      <c r="Y18" s="95">
        <v>0.0</v>
      </c>
      <c r="Z18" s="95">
        <v>0.0</v>
      </c>
      <c r="AA18" s="95">
        <v>0.0</v>
      </c>
      <c r="AB18" s="95">
        <v>0.0</v>
      </c>
      <c r="AC18" s="95">
        <v>0.0</v>
      </c>
      <c r="AD18" s="95">
        <v>0.0</v>
      </c>
      <c r="AE18" s="95">
        <v>0.0</v>
      </c>
      <c r="AF18" s="95"/>
      <c r="AG18" s="95"/>
      <c r="AH18" s="95"/>
      <c r="AI18" s="95"/>
      <c r="AJ18" s="95"/>
      <c r="AK18" s="95"/>
      <c r="AL18" s="95"/>
      <c r="AM18" s="95"/>
      <c r="AN18" s="95"/>
    </row>
    <row r="19" ht="14.25" customHeight="1">
      <c r="B19" s="507">
        <f t="shared" si="1"/>
        <v>0</v>
      </c>
      <c r="C19" s="95" t="str">
        <f t="shared" si="2"/>
        <v>レストラン収入</v>
      </c>
      <c r="D19" s="95"/>
      <c r="E19" s="95"/>
      <c r="F19" s="95" t="s">
        <v>205</v>
      </c>
      <c r="G19" s="95">
        <v>0.0</v>
      </c>
      <c r="H19" s="95">
        <v>0.0</v>
      </c>
      <c r="I19" s="95">
        <v>0.0</v>
      </c>
      <c r="J19" s="95">
        <v>0.0</v>
      </c>
      <c r="K19" s="95">
        <v>0.0</v>
      </c>
      <c r="L19" s="95">
        <v>0.0</v>
      </c>
      <c r="M19" s="95">
        <v>0.0</v>
      </c>
      <c r="N19" s="95">
        <v>0.0</v>
      </c>
      <c r="O19" s="95">
        <v>0.0</v>
      </c>
      <c r="P19" s="95">
        <v>0.0</v>
      </c>
      <c r="Q19" s="95">
        <v>0.0</v>
      </c>
      <c r="R19" s="95">
        <v>0.0</v>
      </c>
      <c r="S19" s="95">
        <v>0.0</v>
      </c>
      <c r="T19" s="95">
        <v>0.0</v>
      </c>
      <c r="U19" s="95">
        <v>0.0</v>
      </c>
      <c r="V19" s="95">
        <v>0.0</v>
      </c>
      <c r="W19" s="95">
        <v>0.0</v>
      </c>
      <c r="X19" s="95">
        <v>0.0</v>
      </c>
      <c r="Y19" s="95">
        <v>0.0</v>
      </c>
      <c r="Z19" s="95">
        <v>0.0</v>
      </c>
      <c r="AA19" s="95">
        <v>0.0</v>
      </c>
      <c r="AB19" s="95">
        <v>0.0</v>
      </c>
      <c r="AC19" s="95">
        <v>0.0</v>
      </c>
      <c r="AD19" s="95">
        <v>0.0</v>
      </c>
      <c r="AE19" s="95">
        <v>0.0</v>
      </c>
      <c r="AF19" s="95"/>
      <c r="AG19" s="95"/>
      <c r="AH19" s="95"/>
      <c r="AI19" s="95"/>
      <c r="AJ19" s="95"/>
      <c r="AK19" s="95"/>
      <c r="AL19" s="95"/>
      <c r="AM19" s="95"/>
      <c r="AN19" s="95"/>
    </row>
    <row r="20" ht="14.25" customHeight="1">
      <c r="B20" s="507">
        <f t="shared" si="1"/>
        <v>0</v>
      </c>
      <c r="C20" s="95" t="str">
        <f t="shared" si="2"/>
        <v>茶店収入</v>
      </c>
      <c r="D20" s="95"/>
      <c r="E20" s="95"/>
      <c r="F20" s="95" t="s">
        <v>206</v>
      </c>
      <c r="G20" s="95">
        <v>0.0</v>
      </c>
      <c r="H20" s="95">
        <v>0.0</v>
      </c>
      <c r="I20" s="95">
        <v>0.0</v>
      </c>
      <c r="J20" s="95">
        <v>0.0</v>
      </c>
      <c r="K20" s="95">
        <v>0.0</v>
      </c>
      <c r="L20" s="95">
        <v>0.0</v>
      </c>
      <c r="M20" s="95">
        <v>0.0</v>
      </c>
      <c r="N20" s="95">
        <v>0.0</v>
      </c>
      <c r="O20" s="95">
        <v>0.0</v>
      </c>
      <c r="P20" s="95">
        <v>0.0</v>
      </c>
      <c r="Q20" s="95">
        <v>0.0</v>
      </c>
      <c r="R20" s="95">
        <v>0.0</v>
      </c>
      <c r="S20" s="95">
        <v>0.0</v>
      </c>
      <c r="T20" s="95">
        <v>0.0</v>
      </c>
      <c r="U20" s="95">
        <v>0.0</v>
      </c>
      <c r="V20" s="95">
        <v>0.0</v>
      </c>
      <c r="W20" s="95">
        <v>0.0</v>
      </c>
      <c r="X20" s="95">
        <v>0.0</v>
      </c>
      <c r="Y20" s="95">
        <v>0.0</v>
      </c>
      <c r="Z20" s="95">
        <v>0.0</v>
      </c>
      <c r="AA20" s="95">
        <v>0.0</v>
      </c>
      <c r="AB20" s="95">
        <v>0.0</v>
      </c>
      <c r="AC20" s="95">
        <v>0.0</v>
      </c>
      <c r="AD20" s="95">
        <v>0.0</v>
      </c>
      <c r="AE20" s="95">
        <v>0.0</v>
      </c>
      <c r="AF20" s="95"/>
      <c r="AG20" s="95"/>
      <c r="AH20" s="95"/>
      <c r="AI20" s="95"/>
      <c r="AJ20" s="95"/>
      <c r="AK20" s="95"/>
      <c r="AL20" s="95"/>
      <c r="AM20" s="95"/>
      <c r="AN20" s="95"/>
    </row>
    <row r="21" ht="14.25" customHeight="1">
      <c r="B21" s="507">
        <f t="shared" si="1"/>
        <v>0</v>
      </c>
      <c r="C21" s="95" t="str">
        <f t="shared" si="2"/>
        <v>ショップ売上</v>
      </c>
      <c r="D21" s="95"/>
      <c r="E21" s="95"/>
      <c r="F21" s="95" t="s">
        <v>207</v>
      </c>
      <c r="G21" s="95">
        <v>0.0</v>
      </c>
      <c r="H21" s="95">
        <v>0.0</v>
      </c>
      <c r="I21" s="95">
        <v>0.0</v>
      </c>
      <c r="J21" s="95">
        <v>0.0</v>
      </c>
      <c r="K21" s="95">
        <v>0.0</v>
      </c>
      <c r="L21" s="95">
        <v>0.0</v>
      </c>
      <c r="M21" s="95">
        <v>0.0</v>
      </c>
      <c r="N21" s="95">
        <v>0.0</v>
      </c>
      <c r="O21" s="95">
        <v>0.0</v>
      </c>
      <c r="P21" s="95">
        <v>0.0</v>
      </c>
      <c r="Q21" s="95">
        <v>0.0</v>
      </c>
      <c r="R21" s="95">
        <v>0.0</v>
      </c>
      <c r="S21" s="95">
        <v>0.0</v>
      </c>
      <c r="T21" s="95">
        <v>0.0</v>
      </c>
      <c r="U21" s="95">
        <v>0.0</v>
      </c>
      <c r="V21" s="95">
        <v>0.0</v>
      </c>
      <c r="W21" s="95">
        <v>0.0</v>
      </c>
      <c r="X21" s="95">
        <v>0.0</v>
      </c>
      <c r="Y21" s="95">
        <v>0.0</v>
      </c>
      <c r="Z21" s="95">
        <v>0.0</v>
      </c>
      <c r="AA21" s="95">
        <v>0.0</v>
      </c>
      <c r="AB21" s="95">
        <v>0.0</v>
      </c>
      <c r="AC21" s="95">
        <v>0.0</v>
      </c>
      <c r="AD21" s="95">
        <v>0.0</v>
      </c>
      <c r="AE21" s="95">
        <v>0.0</v>
      </c>
      <c r="AF21" s="95"/>
      <c r="AG21" s="95"/>
      <c r="AH21" s="95"/>
      <c r="AI21" s="95"/>
      <c r="AJ21" s="95"/>
      <c r="AK21" s="95"/>
      <c r="AL21" s="95"/>
      <c r="AM21" s="95"/>
      <c r="AN21" s="95"/>
    </row>
    <row r="22" ht="14.25" customHeight="1">
      <c r="B22" s="507">
        <f t="shared" si="1"/>
        <v>0</v>
      </c>
      <c r="C22" s="95" t="str">
        <f t="shared" si="2"/>
        <v>ショップ売上（軽減8％）</v>
      </c>
      <c r="D22" s="95"/>
      <c r="E22" s="95"/>
      <c r="F22" s="95" t="s">
        <v>208</v>
      </c>
      <c r="G22" s="95">
        <v>0.0</v>
      </c>
      <c r="H22" s="95">
        <v>0.0</v>
      </c>
      <c r="I22" s="95">
        <v>0.0</v>
      </c>
      <c r="J22" s="95">
        <v>0.0</v>
      </c>
      <c r="K22" s="95">
        <v>0.0</v>
      </c>
      <c r="L22" s="95">
        <v>0.0</v>
      </c>
      <c r="M22" s="95">
        <v>0.0</v>
      </c>
      <c r="N22" s="95">
        <v>0.0</v>
      </c>
      <c r="O22" s="95">
        <v>0.0</v>
      </c>
      <c r="P22" s="95">
        <v>0.0</v>
      </c>
      <c r="Q22" s="95">
        <v>0.0</v>
      </c>
      <c r="R22" s="95">
        <v>0.0</v>
      </c>
      <c r="S22" s="95">
        <v>0.0</v>
      </c>
      <c r="T22" s="95">
        <v>0.0</v>
      </c>
      <c r="U22" s="95">
        <v>0.0</v>
      </c>
      <c r="V22" s="95">
        <v>0.0</v>
      </c>
      <c r="W22" s="95">
        <v>0.0</v>
      </c>
      <c r="X22" s="95">
        <v>0.0</v>
      </c>
      <c r="Y22" s="95">
        <v>0.0</v>
      </c>
      <c r="Z22" s="95">
        <v>0.0</v>
      </c>
      <c r="AA22" s="95">
        <v>0.0</v>
      </c>
      <c r="AB22" s="95">
        <v>0.0</v>
      </c>
      <c r="AC22" s="95">
        <v>0.0</v>
      </c>
      <c r="AD22" s="95">
        <v>0.0</v>
      </c>
      <c r="AE22" s="95">
        <v>0.0</v>
      </c>
      <c r="AF22" s="95"/>
      <c r="AG22" s="95"/>
      <c r="AH22" s="95"/>
      <c r="AI22" s="95"/>
      <c r="AJ22" s="95"/>
      <c r="AK22" s="95"/>
      <c r="AL22" s="95"/>
      <c r="AM22" s="95"/>
      <c r="AN22" s="95"/>
    </row>
    <row r="23" ht="14.25" customHeight="1">
      <c r="B23" s="507">
        <f t="shared" si="1"/>
        <v>0</v>
      </c>
      <c r="C23" s="95" t="str">
        <f t="shared" si="2"/>
        <v>その他</v>
      </c>
      <c r="D23" s="95"/>
      <c r="E23" s="95"/>
      <c r="F23" s="95" t="s">
        <v>209</v>
      </c>
      <c r="G23" s="95">
        <v>0.0</v>
      </c>
      <c r="H23" s="95">
        <v>0.0</v>
      </c>
      <c r="I23" s="95">
        <v>0.0</v>
      </c>
      <c r="J23" s="95">
        <v>0.0</v>
      </c>
      <c r="K23" s="95">
        <v>0.0</v>
      </c>
      <c r="L23" s="95">
        <v>0.0</v>
      </c>
      <c r="M23" s="95">
        <v>0.0</v>
      </c>
      <c r="N23" s="95">
        <v>0.0</v>
      </c>
      <c r="O23" s="95">
        <v>0.0</v>
      </c>
      <c r="P23" s="95">
        <v>0.0</v>
      </c>
      <c r="Q23" s="95">
        <v>0.0</v>
      </c>
      <c r="R23" s="95">
        <v>0.0</v>
      </c>
      <c r="S23" s="95">
        <v>0.0</v>
      </c>
      <c r="T23" s="95">
        <v>0.0</v>
      </c>
      <c r="U23" s="95">
        <v>0.0</v>
      </c>
      <c r="V23" s="95">
        <v>0.0</v>
      </c>
      <c r="W23" s="95">
        <v>0.0</v>
      </c>
      <c r="X23" s="95">
        <v>0.0</v>
      </c>
      <c r="Y23" s="95">
        <v>0.0</v>
      </c>
      <c r="Z23" s="95">
        <v>0.0</v>
      </c>
      <c r="AA23" s="95">
        <v>0.0</v>
      </c>
      <c r="AB23" s="95">
        <v>0.0</v>
      </c>
      <c r="AC23" s="95">
        <v>0.0</v>
      </c>
      <c r="AD23" s="95">
        <v>0.0</v>
      </c>
      <c r="AE23" s="95">
        <v>0.0</v>
      </c>
      <c r="AF23" s="95"/>
      <c r="AG23" s="95"/>
      <c r="AH23" s="95"/>
      <c r="AI23" s="95"/>
      <c r="AJ23" s="95"/>
      <c r="AK23" s="95"/>
      <c r="AL23" s="95"/>
      <c r="AM23" s="95"/>
      <c r="AN23" s="95"/>
    </row>
    <row r="24" ht="14.25" customHeight="1">
      <c r="B24" s="507">
        <f t="shared" si="1"/>
        <v>0</v>
      </c>
      <c r="C24" s="95" t="str">
        <f t="shared" si="2"/>
        <v>Tメゾン脇田</v>
      </c>
      <c r="D24" s="95"/>
      <c r="E24" s="95"/>
      <c r="F24" s="95" t="s">
        <v>194</v>
      </c>
      <c r="G24" s="95">
        <v>0.0</v>
      </c>
      <c r="H24" s="95">
        <v>0.0</v>
      </c>
      <c r="I24" s="95">
        <v>0.0</v>
      </c>
      <c r="J24" s="95">
        <v>0.0</v>
      </c>
      <c r="K24" s="95">
        <v>0.0</v>
      </c>
      <c r="L24" s="95">
        <v>0.0</v>
      </c>
      <c r="M24" s="95">
        <v>0.0</v>
      </c>
      <c r="N24" s="95">
        <v>0.0</v>
      </c>
      <c r="O24" s="95">
        <v>0.0</v>
      </c>
      <c r="P24" s="95">
        <v>0.0</v>
      </c>
      <c r="Q24" s="95">
        <v>0.0</v>
      </c>
      <c r="R24" s="95">
        <v>0.0</v>
      </c>
      <c r="S24" s="95">
        <v>0.0</v>
      </c>
      <c r="T24" s="95">
        <v>0.0</v>
      </c>
      <c r="U24" s="95">
        <v>0.0</v>
      </c>
      <c r="V24" s="95">
        <v>0.0</v>
      </c>
      <c r="W24" s="95">
        <v>0.0</v>
      </c>
      <c r="X24" s="95">
        <v>0.0</v>
      </c>
      <c r="Y24" s="95">
        <v>112000.0</v>
      </c>
      <c r="Z24" s="95">
        <v>0.0</v>
      </c>
      <c r="AA24" s="95">
        <v>112000.0</v>
      </c>
      <c r="AB24" s="95">
        <v>0.0</v>
      </c>
      <c r="AC24" s="95">
        <v>0.0</v>
      </c>
      <c r="AD24" s="95">
        <v>0.0</v>
      </c>
      <c r="AE24" s="95">
        <v>0.0</v>
      </c>
      <c r="AF24" s="95"/>
      <c r="AG24" s="95"/>
      <c r="AH24" s="95"/>
      <c r="AI24" s="95"/>
      <c r="AJ24" s="95"/>
      <c r="AK24" s="95"/>
      <c r="AL24" s="95"/>
      <c r="AM24" s="95"/>
      <c r="AN24" s="95"/>
    </row>
    <row r="25" ht="14.25" customHeight="1">
      <c r="B25" s="507">
        <f t="shared" si="1"/>
        <v>0</v>
      </c>
      <c r="C25" s="95" t="str">
        <f t="shared" si="2"/>
        <v>売上高合計</v>
      </c>
      <c r="D25" s="95" t="s">
        <v>24</v>
      </c>
      <c r="E25" s="95"/>
      <c r="F25" s="95"/>
      <c r="G25" s="95">
        <v>6236260.0</v>
      </c>
      <c r="H25" s="95">
        <v>7400514.0</v>
      </c>
      <c r="I25" s="95">
        <v>1.1735622E7</v>
      </c>
      <c r="J25" s="95">
        <v>4368869.0</v>
      </c>
      <c r="K25" s="95">
        <v>0.0</v>
      </c>
      <c r="L25" s="95">
        <v>0.0</v>
      </c>
      <c r="M25" s="95">
        <v>2.9741265E7</v>
      </c>
      <c r="N25" s="95">
        <v>6202954.0</v>
      </c>
      <c r="O25" s="95">
        <v>3931798.0</v>
      </c>
      <c r="P25" s="95">
        <v>1629283.0</v>
      </c>
      <c r="Q25" s="95">
        <v>1994652.0</v>
      </c>
      <c r="R25" s="95">
        <v>0.0</v>
      </c>
      <c r="S25" s="95">
        <v>0.0</v>
      </c>
      <c r="T25" s="95">
        <v>1.3758687E7</v>
      </c>
      <c r="U25" s="95">
        <v>5902007.0</v>
      </c>
      <c r="V25" s="95">
        <v>3.196568E7</v>
      </c>
      <c r="W25" s="95">
        <v>1.7474644E7</v>
      </c>
      <c r="X25" s="95">
        <v>9919957.0</v>
      </c>
      <c r="Y25" s="95">
        <v>112000.0</v>
      </c>
      <c r="Z25" s="95">
        <v>0.0</v>
      </c>
      <c r="AA25" s="95">
        <v>6.5374288E7</v>
      </c>
      <c r="AB25" s="95">
        <v>0.0</v>
      </c>
      <c r="AC25" s="95">
        <v>0.0</v>
      </c>
      <c r="AD25" s="95">
        <v>0.0</v>
      </c>
      <c r="AE25" s="95">
        <v>0.0</v>
      </c>
      <c r="AF25" s="95"/>
      <c r="AG25" s="95"/>
      <c r="AH25" s="95"/>
      <c r="AI25" s="95"/>
      <c r="AJ25" s="95"/>
      <c r="AK25" s="95"/>
      <c r="AL25" s="95"/>
      <c r="AM25" s="95"/>
      <c r="AN25" s="95"/>
    </row>
    <row r="26" ht="14.25" customHeight="1">
      <c r="B26" s="507">
        <f t="shared" si="1"/>
        <v>0</v>
      </c>
      <c r="C26" s="95" t="str">
        <f t="shared" si="2"/>
        <v>売上原価</v>
      </c>
      <c r="D26" s="95" t="s">
        <v>25</v>
      </c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</row>
    <row r="27" ht="14.25" customHeight="1">
      <c r="B27" s="507">
        <f t="shared" si="1"/>
        <v>0</v>
      </c>
      <c r="C27" s="95" t="str">
        <f t="shared" si="2"/>
        <v>期首棚卸高</v>
      </c>
      <c r="D27" s="95"/>
      <c r="E27" s="95" t="s">
        <v>210</v>
      </c>
      <c r="F27" s="95"/>
      <c r="G27" s="95">
        <v>0.0</v>
      </c>
      <c r="H27" s="95">
        <v>1740935.0</v>
      </c>
      <c r="I27" s="95">
        <v>0.0</v>
      </c>
      <c r="J27" s="95">
        <v>730583.0</v>
      </c>
      <c r="K27" s="95">
        <v>0.0</v>
      </c>
      <c r="L27" s="95">
        <v>0.0</v>
      </c>
      <c r="M27" s="95">
        <v>2471518.0</v>
      </c>
      <c r="N27" s="95">
        <v>0.0</v>
      </c>
      <c r="O27" s="95">
        <v>0.0</v>
      </c>
      <c r="P27" s="95">
        <v>201818.0</v>
      </c>
      <c r="Q27" s="95">
        <v>490070.0</v>
      </c>
      <c r="R27" s="95">
        <v>0.0</v>
      </c>
      <c r="S27" s="95">
        <v>0.0</v>
      </c>
      <c r="T27" s="95">
        <v>691888.0</v>
      </c>
      <c r="U27" s="95">
        <v>0.0</v>
      </c>
      <c r="V27" s="95">
        <v>0.0</v>
      </c>
      <c r="W27" s="95">
        <v>2601871.0</v>
      </c>
      <c r="X27" s="95">
        <v>0.0</v>
      </c>
      <c r="Y27" s="95">
        <v>0.0</v>
      </c>
      <c r="Z27" s="95">
        <v>0.0</v>
      </c>
      <c r="AA27" s="95">
        <v>2601871.0</v>
      </c>
      <c r="AB27" s="95">
        <v>0.0</v>
      </c>
      <c r="AC27" s="95">
        <v>0.0</v>
      </c>
      <c r="AD27" s="95">
        <v>0.0</v>
      </c>
      <c r="AE27" s="95">
        <v>0.0</v>
      </c>
      <c r="AF27" s="95"/>
      <c r="AG27" s="95"/>
      <c r="AH27" s="95"/>
      <c r="AI27" s="95"/>
      <c r="AJ27" s="95"/>
      <c r="AK27" s="95"/>
      <c r="AL27" s="95"/>
      <c r="AM27" s="95"/>
      <c r="AN27" s="95"/>
    </row>
    <row r="28" ht="14.25" customHeight="1">
      <c r="B28" s="507">
        <f t="shared" si="1"/>
        <v>0</v>
      </c>
      <c r="C28" s="95" t="str">
        <f t="shared" si="2"/>
        <v>飲食仕入高</v>
      </c>
      <c r="D28" s="95"/>
      <c r="E28" s="95" t="s">
        <v>211</v>
      </c>
      <c r="F28" s="95"/>
      <c r="G28" s="95">
        <v>-5850.0</v>
      </c>
      <c r="H28" s="95">
        <v>1438990.0</v>
      </c>
      <c r="I28" s="95">
        <v>-6454.0</v>
      </c>
      <c r="J28" s="95">
        <v>1883740.0</v>
      </c>
      <c r="K28" s="95">
        <v>0.0</v>
      </c>
      <c r="L28" s="95">
        <v>0.0</v>
      </c>
      <c r="M28" s="95">
        <v>3310426.0</v>
      </c>
      <c r="N28" s="95">
        <v>-105929.0</v>
      </c>
      <c r="O28" s="95">
        <v>0.0</v>
      </c>
      <c r="P28" s="95">
        <v>597153.0</v>
      </c>
      <c r="Q28" s="95">
        <v>1168874.0</v>
      </c>
      <c r="R28" s="95">
        <v>0.0</v>
      </c>
      <c r="S28" s="95">
        <v>0.0</v>
      </c>
      <c r="T28" s="95">
        <v>1660098.0</v>
      </c>
      <c r="U28" s="95">
        <v>54559.0</v>
      </c>
      <c r="V28" s="95">
        <v>57763.0</v>
      </c>
      <c r="W28" s="95">
        <v>9201700.0</v>
      </c>
      <c r="X28" s="95">
        <v>165021.0</v>
      </c>
      <c r="Y28" s="95">
        <v>0.0</v>
      </c>
      <c r="Z28" s="95">
        <v>0.0</v>
      </c>
      <c r="AA28" s="95">
        <v>9479043.0</v>
      </c>
      <c r="AB28" s="95">
        <v>0.0</v>
      </c>
      <c r="AC28" s="95">
        <v>0.0</v>
      </c>
      <c r="AD28" s="95">
        <v>0.0</v>
      </c>
      <c r="AE28" s="95">
        <v>0.0</v>
      </c>
      <c r="AF28" s="95"/>
      <c r="AG28" s="95"/>
      <c r="AH28" s="95"/>
      <c r="AI28" s="95"/>
      <c r="AJ28" s="95"/>
      <c r="AK28" s="95"/>
      <c r="AL28" s="95"/>
      <c r="AM28" s="95"/>
      <c r="AN28" s="95"/>
    </row>
    <row r="29" ht="14.25" customHeight="1">
      <c r="B29" s="507">
        <f t="shared" si="1"/>
        <v>0</v>
      </c>
      <c r="C29" s="95" t="str">
        <f t="shared" si="2"/>
        <v>売店仕入高</v>
      </c>
      <c r="D29" s="95"/>
      <c r="E29" s="95" t="s">
        <v>212</v>
      </c>
      <c r="F29" s="95"/>
      <c r="G29" s="95">
        <v>8400.0</v>
      </c>
      <c r="H29" s="95">
        <v>0.0</v>
      </c>
      <c r="I29" s="95">
        <v>58365.0</v>
      </c>
      <c r="J29" s="95">
        <v>0.0</v>
      </c>
      <c r="K29" s="95">
        <v>0.0</v>
      </c>
      <c r="L29" s="95">
        <v>0.0</v>
      </c>
      <c r="M29" s="95">
        <v>66765.0</v>
      </c>
      <c r="N29" s="95">
        <v>0.0</v>
      </c>
      <c r="O29" s="95">
        <v>0.0</v>
      </c>
      <c r="P29" s="95">
        <v>0.0</v>
      </c>
      <c r="Q29" s="95">
        <v>0.0</v>
      </c>
      <c r="R29" s="95">
        <v>0.0</v>
      </c>
      <c r="S29" s="95">
        <v>0.0</v>
      </c>
      <c r="T29" s="95">
        <v>0.0</v>
      </c>
      <c r="U29" s="95">
        <v>0.0</v>
      </c>
      <c r="V29" s="95">
        <v>56508.0</v>
      </c>
      <c r="W29" s="95">
        <v>0.0</v>
      </c>
      <c r="X29" s="95">
        <v>0.0</v>
      </c>
      <c r="Y29" s="95">
        <v>0.0</v>
      </c>
      <c r="Z29" s="95">
        <v>0.0</v>
      </c>
      <c r="AA29" s="95">
        <v>56508.0</v>
      </c>
      <c r="AB29" s="95">
        <v>0.0</v>
      </c>
      <c r="AC29" s="95">
        <v>0.0</v>
      </c>
      <c r="AD29" s="95">
        <v>0.0</v>
      </c>
      <c r="AE29" s="95">
        <v>0.0</v>
      </c>
      <c r="AF29" s="95"/>
      <c r="AG29" s="95"/>
      <c r="AH29" s="95"/>
      <c r="AI29" s="95"/>
      <c r="AJ29" s="95"/>
      <c r="AK29" s="95"/>
      <c r="AL29" s="95"/>
      <c r="AM29" s="95"/>
      <c r="AN29" s="95"/>
    </row>
    <row r="30" ht="14.25" customHeight="1">
      <c r="B30" s="507">
        <f t="shared" si="1"/>
        <v>0</v>
      </c>
      <c r="C30" s="95" t="str">
        <f t="shared" si="2"/>
        <v>当期商品仕入高</v>
      </c>
      <c r="D30" s="95"/>
      <c r="E30" s="95" t="s">
        <v>213</v>
      </c>
      <c r="F30" s="95"/>
      <c r="G30" s="95">
        <v>0.0</v>
      </c>
      <c r="H30" s="95">
        <v>0.0</v>
      </c>
      <c r="I30" s="95">
        <v>0.0</v>
      </c>
      <c r="J30" s="95">
        <v>0.0</v>
      </c>
      <c r="K30" s="95">
        <v>0.0</v>
      </c>
      <c r="L30" s="95">
        <v>0.0</v>
      </c>
      <c r="M30" s="95">
        <v>0.0</v>
      </c>
      <c r="N30" s="95">
        <v>0.0</v>
      </c>
      <c r="O30" s="95">
        <v>0.0</v>
      </c>
      <c r="P30" s="95">
        <v>0.0</v>
      </c>
      <c r="Q30" s="95">
        <v>0.0</v>
      </c>
      <c r="R30" s="95">
        <v>0.0</v>
      </c>
      <c r="S30" s="95">
        <v>0.0</v>
      </c>
      <c r="T30" s="95">
        <v>0.0</v>
      </c>
      <c r="U30" s="95">
        <v>0.0</v>
      </c>
      <c r="V30" s="95">
        <v>0.0</v>
      </c>
      <c r="W30" s="95">
        <v>0.0</v>
      </c>
      <c r="X30" s="95">
        <v>0.0</v>
      </c>
      <c r="Y30" s="95">
        <v>0.0</v>
      </c>
      <c r="Z30" s="95">
        <v>0.0</v>
      </c>
      <c r="AA30" s="95">
        <v>0.0</v>
      </c>
      <c r="AB30" s="95">
        <v>0.0</v>
      </c>
      <c r="AC30" s="95">
        <v>0.0</v>
      </c>
      <c r="AD30" s="95">
        <v>0.0</v>
      </c>
      <c r="AE30" s="95">
        <v>0.0</v>
      </c>
      <c r="AF30" s="95"/>
      <c r="AG30" s="95"/>
      <c r="AH30" s="95"/>
      <c r="AI30" s="95"/>
      <c r="AJ30" s="95"/>
      <c r="AK30" s="95"/>
      <c r="AL30" s="95"/>
      <c r="AM30" s="95"/>
      <c r="AN30" s="95"/>
    </row>
    <row r="31" ht="14.25" customHeight="1">
      <c r="B31" s="507">
        <f t="shared" si="1"/>
        <v>0</v>
      </c>
      <c r="C31" s="95" t="str">
        <f t="shared" si="2"/>
        <v>当期商品仕入高（軽減8％）</v>
      </c>
      <c r="D31" s="95"/>
      <c r="E31" s="95" t="s">
        <v>214</v>
      </c>
      <c r="F31" s="95"/>
      <c r="G31" s="95">
        <v>0.0</v>
      </c>
      <c r="H31" s="95">
        <v>0.0</v>
      </c>
      <c r="I31" s="95">
        <v>0.0</v>
      </c>
      <c r="J31" s="95">
        <v>0.0</v>
      </c>
      <c r="K31" s="95">
        <v>0.0</v>
      </c>
      <c r="L31" s="95">
        <v>0.0</v>
      </c>
      <c r="M31" s="95">
        <v>0.0</v>
      </c>
      <c r="N31" s="95">
        <v>0.0</v>
      </c>
      <c r="O31" s="95">
        <v>0.0</v>
      </c>
      <c r="P31" s="95">
        <v>0.0</v>
      </c>
      <c r="Q31" s="95">
        <v>0.0</v>
      </c>
      <c r="R31" s="95">
        <v>0.0</v>
      </c>
      <c r="S31" s="95">
        <v>0.0</v>
      </c>
      <c r="T31" s="95">
        <v>0.0</v>
      </c>
      <c r="U31" s="95">
        <v>0.0</v>
      </c>
      <c r="V31" s="95">
        <v>0.0</v>
      </c>
      <c r="W31" s="95">
        <v>250250.0</v>
      </c>
      <c r="X31" s="95">
        <v>0.0</v>
      </c>
      <c r="Y31" s="95">
        <v>0.0</v>
      </c>
      <c r="Z31" s="95">
        <v>0.0</v>
      </c>
      <c r="AA31" s="95">
        <v>250250.0</v>
      </c>
      <c r="AB31" s="95">
        <v>0.0</v>
      </c>
      <c r="AC31" s="95">
        <v>0.0</v>
      </c>
      <c r="AD31" s="95">
        <v>0.0</v>
      </c>
      <c r="AE31" s="95">
        <v>0.0</v>
      </c>
      <c r="AF31" s="95"/>
      <c r="AG31" s="95"/>
      <c r="AH31" s="95"/>
      <c r="AI31" s="95"/>
      <c r="AJ31" s="95"/>
      <c r="AK31" s="95"/>
      <c r="AL31" s="95"/>
      <c r="AM31" s="95"/>
      <c r="AN31" s="95"/>
    </row>
    <row r="32" ht="14.25" customHeight="1">
      <c r="B32" s="507">
        <f t="shared" si="1"/>
        <v>0</v>
      </c>
      <c r="C32" s="95" t="str">
        <f t="shared" si="2"/>
        <v>期末棚卸高</v>
      </c>
      <c r="D32" s="95"/>
      <c r="E32" s="95" t="s">
        <v>215</v>
      </c>
      <c r="F32" s="95"/>
      <c r="G32" s="95">
        <v>0.0</v>
      </c>
      <c r="H32" s="95">
        <v>1151973.0</v>
      </c>
      <c r="I32" s="95">
        <v>0.0</v>
      </c>
      <c r="J32" s="95">
        <v>648067.0</v>
      </c>
      <c r="K32" s="95">
        <v>0.0</v>
      </c>
      <c r="L32" s="95">
        <v>0.0</v>
      </c>
      <c r="M32" s="95">
        <v>1800040.0</v>
      </c>
      <c r="N32" s="95">
        <v>0.0</v>
      </c>
      <c r="O32" s="95">
        <v>0.0</v>
      </c>
      <c r="P32" s="95">
        <v>261042.0</v>
      </c>
      <c r="Q32" s="95">
        <v>255449.0</v>
      </c>
      <c r="R32" s="95">
        <v>0.0</v>
      </c>
      <c r="S32" s="95">
        <v>0.0</v>
      </c>
      <c r="T32" s="95">
        <v>516491.0</v>
      </c>
      <c r="U32" s="95">
        <v>0.0</v>
      </c>
      <c r="V32" s="95">
        <v>0.0</v>
      </c>
      <c r="W32" s="95">
        <v>2787208.0</v>
      </c>
      <c r="X32" s="95">
        <v>0.0</v>
      </c>
      <c r="Y32" s="95">
        <v>0.0</v>
      </c>
      <c r="Z32" s="95">
        <v>0.0</v>
      </c>
      <c r="AA32" s="95">
        <v>2787208.0</v>
      </c>
      <c r="AB32" s="95">
        <v>0.0</v>
      </c>
      <c r="AC32" s="95">
        <v>0.0</v>
      </c>
      <c r="AD32" s="95">
        <v>0.0</v>
      </c>
      <c r="AE32" s="95">
        <v>0.0</v>
      </c>
      <c r="AF32" s="95"/>
      <c r="AG32" s="95"/>
      <c r="AH32" s="95"/>
      <c r="AI32" s="95"/>
      <c r="AJ32" s="95"/>
      <c r="AK32" s="95"/>
      <c r="AL32" s="95"/>
      <c r="AM32" s="95"/>
      <c r="AN32" s="95"/>
    </row>
    <row r="33" ht="14.25" customHeight="1">
      <c r="B33" s="507">
        <f t="shared" si="1"/>
        <v>0</v>
      </c>
      <c r="C33" s="95" t="str">
        <f t="shared" si="2"/>
        <v>売上原価合計</v>
      </c>
      <c r="D33" s="95" t="s">
        <v>216</v>
      </c>
      <c r="E33" s="95"/>
      <c r="F33" s="95"/>
      <c r="G33" s="95">
        <v>2550.0</v>
      </c>
      <c r="H33" s="95">
        <v>2027952.0</v>
      </c>
      <c r="I33" s="95">
        <v>51911.0</v>
      </c>
      <c r="J33" s="95">
        <v>1966256.0</v>
      </c>
      <c r="K33" s="95">
        <v>0.0</v>
      </c>
      <c r="L33" s="95">
        <v>0.0</v>
      </c>
      <c r="M33" s="95">
        <v>4048669.0</v>
      </c>
      <c r="N33" s="95">
        <v>-105929.0</v>
      </c>
      <c r="O33" s="95">
        <v>0.0</v>
      </c>
      <c r="P33" s="95">
        <v>537929.0</v>
      </c>
      <c r="Q33" s="95">
        <v>1403495.0</v>
      </c>
      <c r="R33" s="95">
        <v>0.0</v>
      </c>
      <c r="S33" s="95">
        <v>0.0</v>
      </c>
      <c r="T33" s="95">
        <v>1835495.0</v>
      </c>
      <c r="U33" s="95">
        <v>54559.0</v>
      </c>
      <c r="V33" s="95">
        <v>114271.0</v>
      </c>
      <c r="W33" s="95">
        <v>9266613.0</v>
      </c>
      <c r="X33" s="95">
        <v>165021.0</v>
      </c>
      <c r="Y33" s="95">
        <v>0.0</v>
      </c>
      <c r="Z33" s="95">
        <v>0.0</v>
      </c>
      <c r="AA33" s="95">
        <v>9600464.0</v>
      </c>
      <c r="AB33" s="95">
        <v>0.0</v>
      </c>
      <c r="AC33" s="95">
        <v>0.0</v>
      </c>
      <c r="AD33" s="95">
        <v>0.0</v>
      </c>
      <c r="AE33" s="95">
        <v>0.0</v>
      </c>
      <c r="AF33" s="95"/>
      <c r="AG33" s="95"/>
      <c r="AH33" s="95"/>
      <c r="AI33" s="95"/>
      <c r="AJ33" s="95"/>
      <c r="AK33" s="95"/>
      <c r="AL33" s="95"/>
      <c r="AM33" s="95"/>
      <c r="AN33" s="95"/>
    </row>
    <row r="34" ht="14.25" customHeight="1">
      <c r="B34" s="507">
        <f t="shared" si="1"/>
        <v>0</v>
      </c>
      <c r="C34" s="95" t="str">
        <f t="shared" si="2"/>
        <v>売上総利益</v>
      </c>
      <c r="D34" s="95" t="s">
        <v>27</v>
      </c>
      <c r="E34" s="95"/>
      <c r="F34" s="95"/>
      <c r="G34" s="95">
        <v>6233710.0</v>
      </c>
      <c r="H34" s="95">
        <v>5372562.0</v>
      </c>
      <c r="I34" s="95">
        <v>1.1683711E7</v>
      </c>
      <c r="J34" s="95">
        <v>2402613.0</v>
      </c>
      <c r="K34" s="95">
        <v>0.0</v>
      </c>
      <c r="L34" s="95">
        <v>0.0</v>
      </c>
      <c r="M34" s="95">
        <v>2.5692596E7</v>
      </c>
      <c r="N34" s="95">
        <v>6308883.0</v>
      </c>
      <c r="O34" s="95">
        <v>3931798.0</v>
      </c>
      <c r="P34" s="95">
        <v>1091354.0</v>
      </c>
      <c r="Q34" s="95">
        <v>591157.0</v>
      </c>
      <c r="R34" s="95">
        <v>0.0</v>
      </c>
      <c r="S34" s="95">
        <v>0.0</v>
      </c>
      <c r="T34" s="95">
        <v>1.1923192E7</v>
      </c>
      <c r="U34" s="95">
        <v>5847448.0</v>
      </c>
      <c r="V34" s="95">
        <v>3.1851409E7</v>
      </c>
      <c r="W34" s="95">
        <v>8208031.0</v>
      </c>
      <c r="X34" s="95">
        <v>9754936.0</v>
      </c>
      <c r="Y34" s="95">
        <v>112000.0</v>
      </c>
      <c r="Z34" s="95">
        <v>0.0</v>
      </c>
      <c r="AA34" s="95">
        <v>5.5773824E7</v>
      </c>
      <c r="AB34" s="95">
        <v>0.0</v>
      </c>
      <c r="AC34" s="95">
        <v>0.0</v>
      </c>
      <c r="AD34" s="95">
        <v>0.0</v>
      </c>
      <c r="AE34" s="95">
        <v>0.0</v>
      </c>
      <c r="AF34" s="95"/>
      <c r="AG34" s="95"/>
      <c r="AH34" s="95"/>
      <c r="AI34" s="95"/>
      <c r="AJ34" s="95"/>
      <c r="AK34" s="95"/>
      <c r="AL34" s="95"/>
      <c r="AM34" s="95"/>
      <c r="AN34" s="95"/>
    </row>
    <row r="35" ht="14.25" customHeight="1">
      <c r="B35" s="507">
        <f t="shared" si="1"/>
        <v>0</v>
      </c>
      <c r="C35" s="95" t="str">
        <f t="shared" si="2"/>
        <v>販売費及び一般管理費</v>
      </c>
      <c r="D35" s="95" t="s">
        <v>217</v>
      </c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</row>
    <row r="36" ht="14.25" customHeight="1">
      <c r="B36" s="507">
        <f t="shared" si="1"/>
        <v>0</v>
      </c>
      <c r="C36" s="95" t="str">
        <f t="shared" si="2"/>
        <v>給与手当</v>
      </c>
      <c r="D36" s="95"/>
      <c r="E36" s="95" t="s">
        <v>43</v>
      </c>
      <c r="F36" s="95"/>
      <c r="G36" s="95">
        <v>2336945.0</v>
      </c>
      <c r="H36" s="95">
        <v>0.0</v>
      </c>
      <c r="I36" s="95">
        <v>2345230.0</v>
      </c>
      <c r="J36" s="95">
        <v>0.0</v>
      </c>
      <c r="K36" s="95">
        <v>0.0</v>
      </c>
      <c r="L36" s="95">
        <v>0.0</v>
      </c>
      <c r="M36" s="95">
        <v>4682175.0</v>
      </c>
      <c r="N36" s="95">
        <v>1881476.0</v>
      </c>
      <c r="O36" s="95">
        <v>1613865.0</v>
      </c>
      <c r="P36" s="95">
        <v>0.0</v>
      </c>
      <c r="Q36" s="95">
        <v>0.0</v>
      </c>
      <c r="R36" s="95">
        <v>0.0</v>
      </c>
      <c r="S36" s="95">
        <v>0.0</v>
      </c>
      <c r="T36" s="95">
        <v>3495341.0</v>
      </c>
      <c r="U36" s="95">
        <v>1166111.0</v>
      </c>
      <c r="V36" s="95">
        <v>4441818.0</v>
      </c>
      <c r="W36" s="95">
        <v>0.0</v>
      </c>
      <c r="X36" s="95">
        <v>1690479.0</v>
      </c>
      <c r="Y36" s="95">
        <v>0.0</v>
      </c>
      <c r="Z36" s="95">
        <v>0.0</v>
      </c>
      <c r="AA36" s="95">
        <v>7298408.0</v>
      </c>
      <c r="AB36" s="95">
        <v>3651369.0</v>
      </c>
      <c r="AC36" s="95">
        <v>3541494.0</v>
      </c>
      <c r="AD36" s="95">
        <v>0.0</v>
      </c>
      <c r="AE36" s="95">
        <v>7192863.0</v>
      </c>
      <c r="AF36" s="95"/>
      <c r="AG36" s="95"/>
      <c r="AH36" s="95"/>
      <c r="AI36" s="95"/>
      <c r="AJ36" s="95"/>
      <c r="AK36" s="95"/>
      <c r="AL36" s="95"/>
      <c r="AM36" s="95"/>
      <c r="AN36" s="95"/>
    </row>
    <row r="37" ht="14.25" customHeight="1">
      <c r="B37" s="507">
        <f t="shared" si="1"/>
        <v>0</v>
      </c>
      <c r="C37" s="95" t="str">
        <f t="shared" si="2"/>
        <v>雑給</v>
      </c>
      <c r="D37" s="95"/>
      <c r="E37" s="95" t="s">
        <v>44</v>
      </c>
      <c r="F37" s="95"/>
      <c r="G37" s="95">
        <v>1239259.0</v>
      </c>
      <c r="H37" s="95">
        <v>0.0</v>
      </c>
      <c r="I37" s="95">
        <v>778921.0</v>
      </c>
      <c r="J37" s="95">
        <v>0.0</v>
      </c>
      <c r="K37" s="95">
        <v>0.0</v>
      </c>
      <c r="L37" s="95">
        <v>0.0</v>
      </c>
      <c r="M37" s="95">
        <v>2018180.0</v>
      </c>
      <c r="N37" s="95">
        <v>283583.0</v>
      </c>
      <c r="O37" s="95">
        <v>293955.0</v>
      </c>
      <c r="P37" s="95">
        <v>0.0</v>
      </c>
      <c r="Q37" s="95">
        <v>0.0</v>
      </c>
      <c r="R37" s="95">
        <v>0.0</v>
      </c>
      <c r="S37" s="95">
        <v>0.0</v>
      </c>
      <c r="T37" s="95">
        <v>577538.0</v>
      </c>
      <c r="U37" s="95">
        <v>340040.0</v>
      </c>
      <c r="V37" s="95">
        <v>4289058.0</v>
      </c>
      <c r="W37" s="95">
        <v>0.0</v>
      </c>
      <c r="X37" s="95">
        <v>1311946.0</v>
      </c>
      <c r="Y37" s="95">
        <v>0.0</v>
      </c>
      <c r="Z37" s="95">
        <v>0.0</v>
      </c>
      <c r="AA37" s="95">
        <v>5941044.0</v>
      </c>
      <c r="AB37" s="95">
        <v>286302.0</v>
      </c>
      <c r="AC37" s="95">
        <v>354677.0</v>
      </c>
      <c r="AD37" s="95">
        <v>0.0</v>
      </c>
      <c r="AE37" s="95">
        <v>640979.0</v>
      </c>
      <c r="AF37" s="95"/>
      <c r="AG37" s="95"/>
      <c r="AH37" s="95"/>
      <c r="AI37" s="95"/>
      <c r="AJ37" s="95"/>
      <c r="AK37" s="95"/>
      <c r="AL37" s="95"/>
      <c r="AM37" s="95"/>
      <c r="AN37" s="95"/>
    </row>
    <row r="38" ht="14.25" customHeight="1">
      <c r="B38" s="507">
        <f t="shared" si="1"/>
        <v>0</v>
      </c>
      <c r="C38" s="95" t="str">
        <f t="shared" si="2"/>
        <v>賞与引当金繰入</v>
      </c>
      <c r="D38" s="95"/>
      <c r="E38" s="95" t="s">
        <v>47</v>
      </c>
      <c r="F38" s="95"/>
      <c r="G38" s="95">
        <v>156250.0</v>
      </c>
      <c r="H38" s="95">
        <v>0.0</v>
      </c>
      <c r="I38" s="95">
        <v>246750.0</v>
      </c>
      <c r="J38" s="95">
        <v>0.0</v>
      </c>
      <c r="K38" s="95">
        <v>0.0</v>
      </c>
      <c r="L38" s="95">
        <v>0.0</v>
      </c>
      <c r="M38" s="95">
        <v>403000.0</v>
      </c>
      <c r="N38" s="95">
        <v>157700.0</v>
      </c>
      <c r="O38" s="95">
        <v>149100.0</v>
      </c>
      <c r="P38" s="95">
        <v>0.0</v>
      </c>
      <c r="Q38" s="95">
        <v>0.0</v>
      </c>
      <c r="R38" s="95">
        <v>0.0</v>
      </c>
      <c r="S38" s="95">
        <v>0.0</v>
      </c>
      <c r="T38" s="95">
        <v>306800.0</v>
      </c>
      <c r="U38" s="95">
        <v>88500.0</v>
      </c>
      <c r="V38" s="95">
        <v>456200.0</v>
      </c>
      <c r="W38" s="95">
        <v>0.0</v>
      </c>
      <c r="X38" s="95">
        <v>159000.0</v>
      </c>
      <c r="Y38" s="95">
        <v>0.0</v>
      </c>
      <c r="Z38" s="95">
        <v>0.0</v>
      </c>
      <c r="AA38" s="95">
        <v>703700.0</v>
      </c>
      <c r="AB38" s="95">
        <v>512300.0</v>
      </c>
      <c r="AC38" s="95">
        <v>454260.0</v>
      </c>
      <c r="AD38" s="95">
        <v>0.0</v>
      </c>
      <c r="AE38" s="95">
        <v>966560.0</v>
      </c>
      <c r="AF38" s="95"/>
      <c r="AG38" s="95"/>
      <c r="AH38" s="95"/>
      <c r="AI38" s="95"/>
      <c r="AJ38" s="95"/>
      <c r="AK38" s="95"/>
      <c r="AL38" s="95"/>
      <c r="AM38" s="95"/>
      <c r="AN38" s="95"/>
    </row>
    <row r="39" ht="14.25" customHeight="1">
      <c r="B39" s="507">
        <f t="shared" si="1"/>
        <v>0</v>
      </c>
      <c r="C39" s="95" t="str">
        <f t="shared" si="2"/>
        <v>法定福利費</v>
      </c>
      <c r="D39" s="95"/>
      <c r="E39" s="95" t="s">
        <v>48</v>
      </c>
      <c r="F39" s="95"/>
      <c r="G39" s="95">
        <v>472951.0</v>
      </c>
      <c r="H39" s="95">
        <v>0.0</v>
      </c>
      <c r="I39" s="95">
        <v>463137.0</v>
      </c>
      <c r="J39" s="95">
        <v>0.0</v>
      </c>
      <c r="K39" s="95">
        <v>0.0</v>
      </c>
      <c r="L39" s="95">
        <v>0.0</v>
      </c>
      <c r="M39" s="95">
        <v>936088.0</v>
      </c>
      <c r="N39" s="95">
        <v>328869.0</v>
      </c>
      <c r="O39" s="95">
        <v>296825.0</v>
      </c>
      <c r="P39" s="95">
        <v>0.0</v>
      </c>
      <c r="Q39" s="95">
        <v>0.0</v>
      </c>
      <c r="R39" s="95">
        <v>0.0</v>
      </c>
      <c r="S39" s="95">
        <v>0.0</v>
      </c>
      <c r="T39" s="95">
        <v>625694.0</v>
      </c>
      <c r="U39" s="95">
        <v>187960.0</v>
      </c>
      <c r="V39" s="95">
        <v>928492.0</v>
      </c>
      <c r="W39" s="95">
        <v>0.0</v>
      </c>
      <c r="X39" s="95">
        <v>417888.0</v>
      </c>
      <c r="Y39" s="95">
        <v>0.0</v>
      </c>
      <c r="Z39" s="95">
        <v>0.0</v>
      </c>
      <c r="AA39" s="95">
        <v>1534340.0</v>
      </c>
      <c r="AB39" s="95">
        <v>598103.0</v>
      </c>
      <c r="AC39" s="95">
        <v>604215.0</v>
      </c>
      <c r="AD39" s="95">
        <v>0.0</v>
      </c>
      <c r="AE39" s="95">
        <v>1202318.0</v>
      </c>
      <c r="AF39" s="95"/>
      <c r="AG39" s="95"/>
      <c r="AH39" s="95"/>
      <c r="AI39" s="95"/>
      <c r="AJ39" s="95"/>
      <c r="AK39" s="95"/>
      <c r="AL39" s="95"/>
      <c r="AM39" s="95"/>
      <c r="AN39" s="95"/>
    </row>
    <row r="40" ht="14.25" customHeight="1">
      <c r="B40" s="507">
        <f t="shared" si="1"/>
        <v>0</v>
      </c>
      <c r="C40" s="95" t="str">
        <f t="shared" si="2"/>
        <v>福利厚生費</v>
      </c>
      <c r="D40" s="95"/>
      <c r="E40" s="95" t="s">
        <v>49</v>
      </c>
      <c r="F40" s="95"/>
      <c r="G40" s="95">
        <v>-36000.0</v>
      </c>
      <c r="H40" s="95">
        <v>0.0</v>
      </c>
      <c r="I40" s="95">
        <v>-52273.0</v>
      </c>
      <c r="J40" s="95">
        <v>0.0</v>
      </c>
      <c r="K40" s="95">
        <v>0.0</v>
      </c>
      <c r="L40" s="95">
        <v>0.0</v>
      </c>
      <c r="M40" s="95">
        <v>-88273.0</v>
      </c>
      <c r="N40" s="95">
        <v>140712.0</v>
      </c>
      <c r="O40" s="95">
        <v>-76615.0</v>
      </c>
      <c r="P40" s="95">
        <v>0.0</v>
      </c>
      <c r="Q40" s="95">
        <v>0.0</v>
      </c>
      <c r="R40" s="95">
        <v>0.0</v>
      </c>
      <c r="S40" s="95">
        <v>0.0</v>
      </c>
      <c r="T40" s="95">
        <v>64097.0</v>
      </c>
      <c r="U40" s="95">
        <v>12602.0</v>
      </c>
      <c r="V40" s="95">
        <v>126621.0</v>
      </c>
      <c r="W40" s="95">
        <v>6500.0</v>
      </c>
      <c r="X40" s="95">
        <v>20546.0</v>
      </c>
      <c r="Y40" s="95">
        <v>0.0</v>
      </c>
      <c r="Z40" s="95">
        <v>0.0</v>
      </c>
      <c r="AA40" s="95">
        <v>166269.0</v>
      </c>
      <c r="AB40" s="95">
        <v>333953.0</v>
      </c>
      <c r="AC40" s="95">
        <v>444892.0</v>
      </c>
      <c r="AD40" s="95">
        <v>0.0</v>
      </c>
      <c r="AE40" s="95">
        <v>778845.0</v>
      </c>
      <c r="AF40" s="95"/>
      <c r="AG40" s="95"/>
      <c r="AH40" s="95"/>
      <c r="AI40" s="95"/>
      <c r="AJ40" s="95"/>
      <c r="AK40" s="95"/>
      <c r="AL40" s="95"/>
      <c r="AM40" s="95"/>
      <c r="AN40" s="95"/>
    </row>
    <row r="41" ht="14.25" customHeight="1">
      <c r="B41" s="507">
        <f t="shared" si="1"/>
        <v>0</v>
      </c>
      <c r="C41" s="95" t="str">
        <f t="shared" si="2"/>
        <v>Tメゾン脇田</v>
      </c>
      <c r="D41" s="95"/>
      <c r="E41" s="95"/>
      <c r="F41" s="95" t="s">
        <v>194</v>
      </c>
      <c r="G41" s="95">
        <v>0.0</v>
      </c>
      <c r="H41" s="95">
        <v>0.0</v>
      </c>
      <c r="I41" s="95">
        <v>0.0</v>
      </c>
      <c r="J41" s="95">
        <v>0.0</v>
      </c>
      <c r="K41" s="95">
        <v>0.0</v>
      </c>
      <c r="L41" s="95">
        <v>0.0</v>
      </c>
      <c r="M41" s="95">
        <v>0.0</v>
      </c>
      <c r="N41" s="95">
        <v>0.0</v>
      </c>
      <c r="O41" s="95">
        <v>0.0</v>
      </c>
      <c r="P41" s="95">
        <v>0.0</v>
      </c>
      <c r="Q41" s="95">
        <v>0.0</v>
      </c>
      <c r="R41" s="95">
        <v>0.0</v>
      </c>
      <c r="S41" s="95">
        <v>0.0</v>
      </c>
      <c r="T41" s="95">
        <v>0.0</v>
      </c>
      <c r="U41" s="95">
        <v>0.0</v>
      </c>
      <c r="V41" s="95">
        <v>129303.0</v>
      </c>
      <c r="W41" s="95">
        <v>0.0</v>
      </c>
      <c r="X41" s="95">
        <v>116910.0</v>
      </c>
      <c r="Y41" s="95">
        <v>0.0</v>
      </c>
      <c r="Z41" s="95">
        <v>0.0</v>
      </c>
      <c r="AA41" s="95">
        <v>246213.0</v>
      </c>
      <c r="AB41" s="95">
        <v>148547.0</v>
      </c>
      <c r="AC41" s="95">
        <v>123546.0</v>
      </c>
      <c r="AD41" s="95">
        <v>0.0</v>
      </c>
      <c r="AE41" s="95">
        <v>272093.0</v>
      </c>
      <c r="AF41" s="95"/>
      <c r="AG41" s="95"/>
      <c r="AH41" s="95"/>
      <c r="AI41" s="95"/>
      <c r="AJ41" s="95"/>
      <c r="AK41" s="95"/>
      <c r="AL41" s="95"/>
      <c r="AM41" s="95"/>
      <c r="AN41" s="95"/>
    </row>
    <row r="42" ht="14.25" customHeight="1">
      <c r="B42" s="507">
        <f t="shared" si="1"/>
        <v>0</v>
      </c>
      <c r="C42" s="95" t="str">
        <f t="shared" si="2"/>
        <v>サンハイツJ棟</v>
      </c>
      <c r="D42" s="95"/>
      <c r="E42" s="95"/>
      <c r="F42" s="95" t="s">
        <v>218</v>
      </c>
      <c r="G42" s="95">
        <v>39000.0</v>
      </c>
      <c r="H42" s="95">
        <v>0.0</v>
      </c>
      <c r="I42" s="95">
        <v>0.0</v>
      </c>
      <c r="J42" s="95">
        <v>0.0</v>
      </c>
      <c r="K42" s="95">
        <v>0.0</v>
      </c>
      <c r="L42" s="95">
        <v>0.0</v>
      </c>
      <c r="M42" s="95">
        <v>39000.0</v>
      </c>
      <c r="N42" s="95">
        <v>0.0</v>
      </c>
      <c r="O42" s="95">
        <v>0.0</v>
      </c>
      <c r="P42" s="95">
        <v>0.0</v>
      </c>
      <c r="Q42" s="95">
        <v>0.0</v>
      </c>
      <c r="R42" s="95">
        <v>0.0</v>
      </c>
      <c r="S42" s="95">
        <v>0.0</v>
      </c>
      <c r="T42" s="95">
        <v>0.0</v>
      </c>
      <c r="U42" s="95">
        <v>0.0</v>
      </c>
      <c r="V42" s="95">
        <v>0.0</v>
      </c>
      <c r="W42" s="95">
        <v>0.0</v>
      </c>
      <c r="X42" s="95">
        <v>0.0</v>
      </c>
      <c r="Y42" s="95">
        <v>0.0</v>
      </c>
      <c r="Z42" s="95">
        <v>0.0</v>
      </c>
      <c r="AA42" s="95">
        <v>0.0</v>
      </c>
      <c r="AB42" s="95">
        <v>0.0</v>
      </c>
      <c r="AC42" s="95">
        <v>0.0</v>
      </c>
      <c r="AD42" s="95">
        <v>0.0</v>
      </c>
      <c r="AE42" s="95">
        <v>0.0</v>
      </c>
      <c r="AF42" s="95"/>
      <c r="AG42" s="95"/>
      <c r="AH42" s="95"/>
      <c r="AI42" s="95"/>
      <c r="AJ42" s="95"/>
      <c r="AK42" s="95"/>
      <c r="AL42" s="95"/>
      <c r="AM42" s="95"/>
      <c r="AN42" s="95"/>
    </row>
    <row r="43" ht="14.25" customHeight="1">
      <c r="B43" s="507">
        <f t="shared" si="1"/>
        <v>0</v>
      </c>
      <c r="C43" s="95" t="str">
        <f t="shared" si="2"/>
        <v>パームコート206</v>
      </c>
      <c r="D43" s="95"/>
      <c r="E43" s="95"/>
      <c r="F43" s="95" t="s">
        <v>219</v>
      </c>
      <c r="G43" s="95">
        <v>0.0</v>
      </c>
      <c r="H43" s="95">
        <v>0.0</v>
      </c>
      <c r="I43" s="95">
        <v>0.0</v>
      </c>
      <c r="J43" s="95">
        <v>0.0</v>
      </c>
      <c r="K43" s="95">
        <v>0.0</v>
      </c>
      <c r="L43" s="95">
        <v>0.0</v>
      </c>
      <c r="M43" s="95">
        <v>0.0</v>
      </c>
      <c r="N43" s="95">
        <v>0.0</v>
      </c>
      <c r="O43" s="95">
        <v>42840.0</v>
      </c>
      <c r="P43" s="95">
        <v>0.0</v>
      </c>
      <c r="Q43" s="95">
        <v>0.0</v>
      </c>
      <c r="R43" s="95">
        <v>0.0</v>
      </c>
      <c r="S43" s="95">
        <v>0.0</v>
      </c>
      <c r="T43" s="95">
        <v>42840.0</v>
      </c>
      <c r="U43" s="95">
        <v>0.0</v>
      </c>
      <c r="V43" s="95">
        <v>0.0</v>
      </c>
      <c r="W43" s="95">
        <v>0.0</v>
      </c>
      <c r="X43" s="95">
        <v>0.0</v>
      </c>
      <c r="Y43" s="95">
        <v>0.0</v>
      </c>
      <c r="Z43" s="95">
        <v>0.0</v>
      </c>
      <c r="AA43" s="95">
        <v>0.0</v>
      </c>
      <c r="AB43" s="95">
        <v>0.0</v>
      </c>
      <c r="AC43" s="95">
        <v>0.0</v>
      </c>
      <c r="AD43" s="95">
        <v>0.0</v>
      </c>
      <c r="AE43" s="95">
        <v>0.0</v>
      </c>
      <c r="AF43" s="95"/>
      <c r="AG43" s="95"/>
      <c r="AH43" s="95"/>
      <c r="AI43" s="95"/>
      <c r="AJ43" s="95"/>
      <c r="AK43" s="95"/>
      <c r="AL43" s="95"/>
      <c r="AM43" s="95"/>
      <c r="AN43" s="95"/>
    </row>
    <row r="44" ht="14.25" customHeight="1">
      <c r="B44" s="507">
        <f t="shared" si="1"/>
        <v>0</v>
      </c>
      <c r="C44" s="95" t="str">
        <f t="shared" si="2"/>
        <v>ロワールイン赤間202</v>
      </c>
      <c r="D44" s="95"/>
      <c r="E44" s="95"/>
      <c r="F44" s="95" t="s">
        <v>220</v>
      </c>
      <c r="G44" s="95">
        <v>0.0</v>
      </c>
      <c r="H44" s="95">
        <v>0.0</v>
      </c>
      <c r="I44" s="95">
        <v>0.0</v>
      </c>
      <c r="J44" s="95">
        <v>0.0</v>
      </c>
      <c r="K44" s="95">
        <v>0.0</v>
      </c>
      <c r="L44" s="95">
        <v>0.0</v>
      </c>
      <c r="M44" s="95">
        <v>0.0</v>
      </c>
      <c r="N44" s="95">
        <v>0.0</v>
      </c>
      <c r="O44" s="95">
        <v>0.0</v>
      </c>
      <c r="P44" s="95">
        <v>0.0</v>
      </c>
      <c r="Q44" s="95">
        <v>0.0</v>
      </c>
      <c r="R44" s="95">
        <v>0.0</v>
      </c>
      <c r="S44" s="95">
        <v>0.0</v>
      </c>
      <c r="T44" s="95">
        <v>0.0</v>
      </c>
      <c r="U44" s="95">
        <v>35330.0</v>
      </c>
      <c r="V44" s="95">
        <v>0.0</v>
      </c>
      <c r="W44" s="95">
        <v>0.0</v>
      </c>
      <c r="X44" s="95">
        <v>0.0</v>
      </c>
      <c r="Y44" s="95">
        <v>0.0</v>
      </c>
      <c r="Z44" s="95">
        <v>0.0</v>
      </c>
      <c r="AA44" s="95">
        <v>35330.0</v>
      </c>
      <c r="AB44" s="95">
        <v>0.0</v>
      </c>
      <c r="AC44" s="95">
        <v>0.0</v>
      </c>
      <c r="AD44" s="95">
        <v>0.0</v>
      </c>
      <c r="AE44" s="95">
        <v>0.0</v>
      </c>
      <c r="AF44" s="95"/>
      <c r="AG44" s="95"/>
      <c r="AH44" s="95"/>
      <c r="AI44" s="95"/>
      <c r="AJ44" s="95"/>
      <c r="AK44" s="95"/>
      <c r="AL44" s="95"/>
      <c r="AM44" s="95"/>
      <c r="AN44" s="95"/>
    </row>
    <row r="45" ht="14.25" customHeight="1">
      <c r="B45" s="507">
        <f t="shared" si="1"/>
        <v>0</v>
      </c>
      <c r="C45" s="95" t="str">
        <f t="shared" si="2"/>
        <v>プラウド仙石原207</v>
      </c>
      <c r="D45" s="95"/>
      <c r="E45" s="95"/>
      <c r="F45" s="95" t="s">
        <v>221</v>
      </c>
      <c r="G45" s="95">
        <v>0.0</v>
      </c>
      <c r="H45" s="95">
        <v>0.0</v>
      </c>
      <c r="I45" s="95">
        <v>0.0</v>
      </c>
      <c r="J45" s="95">
        <v>0.0</v>
      </c>
      <c r="K45" s="95">
        <v>0.0</v>
      </c>
      <c r="L45" s="95">
        <v>0.0</v>
      </c>
      <c r="M45" s="95">
        <v>0.0</v>
      </c>
      <c r="N45" s="95">
        <v>0.0</v>
      </c>
      <c r="O45" s="95">
        <v>-197800.0</v>
      </c>
      <c r="P45" s="95">
        <v>0.0</v>
      </c>
      <c r="Q45" s="95">
        <v>0.0</v>
      </c>
      <c r="R45" s="95">
        <v>0.0</v>
      </c>
      <c r="S45" s="95">
        <v>0.0</v>
      </c>
      <c r="T45" s="95">
        <v>-197800.0</v>
      </c>
      <c r="U45" s="95">
        <v>0.0</v>
      </c>
      <c r="V45" s="95">
        <v>0.0</v>
      </c>
      <c r="W45" s="95">
        <v>0.0</v>
      </c>
      <c r="X45" s="95">
        <v>0.0</v>
      </c>
      <c r="Y45" s="95">
        <v>0.0</v>
      </c>
      <c r="Z45" s="95">
        <v>0.0</v>
      </c>
      <c r="AA45" s="95">
        <v>0.0</v>
      </c>
      <c r="AB45" s="95">
        <v>0.0</v>
      </c>
      <c r="AC45" s="95">
        <v>0.0</v>
      </c>
      <c r="AD45" s="95">
        <v>0.0</v>
      </c>
      <c r="AE45" s="95">
        <v>0.0</v>
      </c>
      <c r="AF45" s="95"/>
      <c r="AG45" s="95"/>
      <c r="AH45" s="95"/>
      <c r="AI45" s="95"/>
      <c r="AJ45" s="95"/>
      <c r="AK45" s="95"/>
      <c r="AL45" s="95"/>
      <c r="AM45" s="95"/>
      <c r="AN45" s="95"/>
    </row>
    <row r="46" ht="14.25" customHeight="1">
      <c r="B46" s="507">
        <f t="shared" si="1"/>
        <v>0</v>
      </c>
      <c r="C46" s="95" t="str">
        <f t="shared" si="2"/>
        <v>その他</v>
      </c>
      <c r="D46" s="95"/>
      <c r="E46" s="95"/>
      <c r="F46" s="95" t="s">
        <v>209</v>
      </c>
      <c r="G46" s="95">
        <v>0.0</v>
      </c>
      <c r="H46" s="95">
        <v>0.0</v>
      </c>
      <c r="I46" s="95">
        <v>0.0</v>
      </c>
      <c r="J46" s="95">
        <v>0.0</v>
      </c>
      <c r="K46" s="95">
        <v>0.0</v>
      </c>
      <c r="L46" s="95">
        <v>0.0</v>
      </c>
      <c r="M46" s="95">
        <v>0.0</v>
      </c>
      <c r="N46" s="95">
        <v>0.0</v>
      </c>
      <c r="O46" s="95">
        <v>0.0</v>
      </c>
      <c r="P46" s="95">
        <v>0.0</v>
      </c>
      <c r="Q46" s="95">
        <v>0.0</v>
      </c>
      <c r="R46" s="95">
        <v>0.0</v>
      </c>
      <c r="S46" s="95">
        <v>0.0</v>
      </c>
      <c r="T46" s="95">
        <v>0.0</v>
      </c>
      <c r="U46" s="95">
        <v>0.0</v>
      </c>
      <c r="V46" s="95">
        <v>0.0</v>
      </c>
      <c r="W46" s="95">
        <v>6500.0</v>
      </c>
      <c r="X46" s="95">
        <v>0.0</v>
      </c>
      <c r="Y46" s="95">
        <v>0.0</v>
      </c>
      <c r="Z46" s="95">
        <v>0.0</v>
      </c>
      <c r="AA46" s="95">
        <v>6500.0</v>
      </c>
      <c r="AB46" s="95">
        <v>260860.0</v>
      </c>
      <c r="AC46" s="95">
        <v>25973.0</v>
      </c>
      <c r="AD46" s="95">
        <v>0.0</v>
      </c>
      <c r="AE46" s="95">
        <v>286833.0</v>
      </c>
      <c r="AF46" s="95"/>
      <c r="AG46" s="95"/>
      <c r="AH46" s="95"/>
      <c r="AI46" s="95"/>
      <c r="AJ46" s="95"/>
      <c r="AK46" s="95"/>
      <c r="AL46" s="95"/>
      <c r="AM46" s="95"/>
      <c r="AN46" s="95"/>
    </row>
    <row r="47" ht="14.25" customHeight="1">
      <c r="B47" s="507">
        <f t="shared" si="1"/>
        <v>0</v>
      </c>
      <c r="C47" s="95" t="str">
        <f t="shared" si="2"/>
        <v>アビターレ107</v>
      </c>
      <c r="D47" s="95"/>
      <c r="E47" s="95"/>
      <c r="F47" s="95" t="s">
        <v>222</v>
      </c>
      <c r="G47" s="95">
        <v>0.0</v>
      </c>
      <c r="H47" s="95">
        <v>0.0</v>
      </c>
      <c r="I47" s="95">
        <v>0.0</v>
      </c>
      <c r="J47" s="95">
        <v>0.0</v>
      </c>
      <c r="K47" s="95">
        <v>0.0</v>
      </c>
      <c r="L47" s="95">
        <v>0.0</v>
      </c>
      <c r="M47" s="95">
        <v>0.0</v>
      </c>
      <c r="N47" s="95">
        <v>58700.0</v>
      </c>
      <c r="O47" s="95">
        <v>0.0</v>
      </c>
      <c r="P47" s="95">
        <v>0.0</v>
      </c>
      <c r="Q47" s="95">
        <v>0.0</v>
      </c>
      <c r="R47" s="95">
        <v>0.0</v>
      </c>
      <c r="S47" s="95">
        <v>0.0</v>
      </c>
      <c r="T47" s="95">
        <v>58700.0</v>
      </c>
      <c r="U47" s="95">
        <v>0.0</v>
      </c>
      <c r="V47" s="95">
        <v>0.0</v>
      </c>
      <c r="W47" s="95">
        <v>0.0</v>
      </c>
      <c r="X47" s="95">
        <v>0.0</v>
      </c>
      <c r="Y47" s="95">
        <v>0.0</v>
      </c>
      <c r="Z47" s="95">
        <v>0.0</v>
      </c>
      <c r="AA47" s="95">
        <v>0.0</v>
      </c>
      <c r="AB47" s="95">
        <v>0.0</v>
      </c>
      <c r="AC47" s="95">
        <v>0.0</v>
      </c>
      <c r="AD47" s="95">
        <v>0.0</v>
      </c>
      <c r="AE47" s="95">
        <v>0.0</v>
      </c>
      <c r="AF47" s="95"/>
      <c r="AG47" s="95"/>
      <c r="AH47" s="95"/>
      <c r="AI47" s="95"/>
      <c r="AJ47" s="95"/>
      <c r="AK47" s="95"/>
      <c r="AL47" s="95"/>
      <c r="AM47" s="95"/>
      <c r="AN47" s="95"/>
    </row>
    <row r="48" ht="14.25" customHeight="1">
      <c r="B48" s="507">
        <f t="shared" si="1"/>
        <v>0</v>
      </c>
      <c r="C48" s="95" t="str">
        <f t="shared" si="2"/>
        <v>制服</v>
      </c>
      <c r="D48" s="95"/>
      <c r="E48" s="95"/>
      <c r="F48" s="95" t="s">
        <v>223</v>
      </c>
      <c r="G48" s="95">
        <v>0.0</v>
      </c>
      <c r="H48" s="95">
        <v>0.0</v>
      </c>
      <c r="I48" s="95">
        <v>0.0</v>
      </c>
      <c r="J48" s="95">
        <v>0.0</v>
      </c>
      <c r="K48" s="95">
        <v>0.0</v>
      </c>
      <c r="L48" s="95">
        <v>0.0</v>
      </c>
      <c r="M48" s="95">
        <v>0.0</v>
      </c>
      <c r="N48" s="95">
        <v>0.0</v>
      </c>
      <c r="O48" s="95">
        <v>0.0</v>
      </c>
      <c r="P48" s="95">
        <v>0.0</v>
      </c>
      <c r="Q48" s="95">
        <v>0.0</v>
      </c>
      <c r="R48" s="95">
        <v>0.0</v>
      </c>
      <c r="S48" s="95">
        <v>0.0</v>
      </c>
      <c r="T48" s="95">
        <v>0.0</v>
      </c>
      <c r="U48" s="95">
        <v>0.0</v>
      </c>
      <c r="V48" s="95">
        <v>0.0</v>
      </c>
      <c r="W48" s="95">
        <v>0.0</v>
      </c>
      <c r="X48" s="95">
        <v>0.0</v>
      </c>
      <c r="Y48" s="95">
        <v>0.0</v>
      </c>
      <c r="Z48" s="95">
        <v>0.0</v>
      </c>
      <c r="AA48" s="95">
        <v>0.0</v>
      </c>
      <c r="AB48" s="95">
        <v>0.0</v>
      </c>
      <c r="AC48" s="95">
        <v>0.0</v>
      </c>
      <c r="AD48" s="95">
        <v>0.0</v>
      </c>
      <c r="AE48" s="95">
        <v>0.0</v>
      </c>
      <c r="AF48" s="95"/>
      <c r="AG48" s="95"/>
      <c r="AH48" s="95"/>
      <c r="AI48" s="95"/>
      <c r="AJ48" s="95"/>
      <c r="AK48" s="95"/>
      <c r="AL48" s="95"/>
      <c r="AM48" s="95"/>
      <c r="AN48" s="95"/>
    </row>
    <row r="49" ht="14.25" customHeight="1">
      <c r="B49" s="507">
        <f t="shared" si="1"/>
        <v>0</v>
      </c>
      <c r="C49" s="95" t="str">
        <f t="shared" si="2"/>
        <v>補助科目なし</v>
      </c>
      <c r="D49" s="95"/>
      <c r="E49" s="95"/>
      <c r="F49" s="95" t="s">
        <v>199</v>
      </c>
      <c r="G49" s="95">
        <v>-75000.0</v>
      </c>
      <c r="H49" s="95">
        <v>0.0</v>
      </c>
      <c r="I49" s="95">
        <v>-52273.0</v>
      </c>
      <c r="J49" s="95">
        <v>0.0</v>
      </c>
      <c r="K49" s="95">
        <v>0.0</v>
      </c>
      <c r="L49" s="95">
        <v>0.0</v>
      </c>
      <c r="M49" s="95">
        <v>-127273.0</v>
      </c>
      <c r="N49" s="95">
        <v>82012.0</v>
      </c>
      <c r="O49" s="95">
        <v>78345.0</v>
      </c>
      <c r="P49" s="95">
        <v>0.0</v>
      </c>
      <c r="Q49" s="95">
        <v>0.0</v>
      </c>
      <c r="R49" s="95">
        <v>0.0</v>
      </c>
      <c r="S49" s="95">
        <v>0.0</v>
      </c>
      <c r="T49" s="95">
        <v>160357.0</v>
      </c>
      <c r="U49" s="95">
        <v>-22728.0</v>
      </c>
      <c r="V49" s="95">
        <v>-2682.0</v>
      </c>
      <c r="W49" s="95">
        <v>0.0</v>
      </c>
      <c r="X49" s="95">
        <v>-96364.0</v>
      </c>
      <c r="Y49" s="95">
        <v>0.0</v>
      </c>
      <c r="Z49" s="95">
        <v>0.0</v>
      </c>
      <c r="AA49" s="95">
        <v>-121774.0</v>
      </c>
      <c r="AB49" s="95">
        <v>-75454.0</v>
      </c>
      <c r="AC49" s="95">
        <v>295373.0</v>
      </c>
      <c r="AD49" s="95">
        <v>0.0</v>
      </c>
      <c r="AE49" s="95">
        <v>219919.0</v>
      </c>
      <c r="AF49" s="95"/>
      <c r="AG49" s="95"/>
      <c r="AH49" s="95"/>
      <c r="AI49" s="95"/>
      <c r="AJ49" s="95"/>
      <c r="AK49" s="95"/>
      <c r="AL49" s="95"/>
      <c r="AM49" s="95"/>
      <c r="AN49" s="95"/>
    </row>
    <row r="50" ht="14.25" customHeight="1">
      <c r="B50" s="507">
        <f t="shared" si="1"/>
        <v>0</v>
      </c>
      <c r="C50" s="95" t="str">
        <f t="shared" si="2"/>
        <v>派遣外注費</v>
      </c>
      <c r="D50" s="95"/>
      <c r="E50" s="95" t="s">
        <v>50</v>
      </c>
      <c r="F50" s="95"/>
      <c r="G50" s="95">
        <v>250633.0</v>
      </c>
      <c r="H50" s="95">
        <v>0.0</v>
      </c>
      <c r="I50" s="95">
        <v>388919.0</v>
      </c>
      <c r="J50" s="95">
        <v>0.0</v>
      </c>
      <c r="K50" s="95">
        <v>0.0</v>
      </c>
      <c r="L50" s="95">
        <v>0.0</v>
      </c>
      <c r="M50" s="95">
        <v>639552.0</v>
      </c>
      <c r="N50" s="95">
        <v>0.0</v>
      </c>
      <c r="O50" s="95">
        <v>0.0</v>
      </c>
      <c r="P50" s="95">
        <v>0.0</v>
      </c>
      <c r="Q50" s="95">
        <v>0.0</v>
      </c>
      <c r="R50" s="95">
        <v>0.0</v>
      </c>
      <c r="S50" s="95">
        <v>0.0</v>
      </c>
      <c r="T50" s="95">
        <v>0.0</v>
      </c>
      <c r="U50" s="95">
        <v>0.0</v>
      </c>
      <c r="V50" s="95">
        <v>454243.0</v>
      </c>
      <c r="W50" s="95">
        <v>0.0</v>
      </c>
      <c r="X50" s="95">
        <v>81910.0</v>
      </c>
      <c r="Y50" s="95">
        <v>0.0</v>
      </c>
      <c r="Z50" s="95">
        <v>0.0</v>
      </c>
      <c r="AA50" s="95">
        <v>536153.0</v>
      </c>
      <c r="AB50" s="95">
        <v>2753000.0</v>
      </c>
      <c r="AC50" s="95">
        <v>3353476.0</v>
      </c>
      <c r="AD50" s="95">
        <v>0.0</v>
      </c>
      <c r="AE50" s="95">
        <v>6106476.0</v>
      </c>
      <c r="AF50" s="95"/>
      <c r="AG50" s="95"/>
      <c r="AH50" s="95"/>
      <c r="AI50" s="95"/>
      <c r="AJ50" s="95"/>
      <c r="AK50" s="95"/>
      <c r="AL50" s="95"/>
      <c r="AM50" s="95"/>
      <c r="AN50" s="95"/>
    </row>
    <row r="51" ht="14.25" customHeight="1">
      <c r="B51" s="507">
        <f t="shared" si="1"/>
        <v>0</v>
      </c>
      <c r="C51" s="95" t="str">
        <f t="shared" si="2"/>
        <v>グッドマンサービス</v>
      </c>
      <c r="D51" s="95"/>
      <c r="E51" s="95"/>
      <c r="F51" s="95" t="s">
        <v>224</v>
      </c>
      <c r="G51" s="95">
        <v>250633.0</v>
      </c>
      <c r="H51" s="95">
        <v>0.0</v>
      </c>
      <c r="I51" s="95">
        <v>167089.0</v>
      </c>
      <c r="J51" s="95">
        <v>0.0</v>
      </c>
      <c r="K51" s="95">
        <v>0.0</v>
      </c>
      <c r="L51" s="95">
        <v>0.0</v>
      </c>
      <c r="M51" s="95">
        <v>417722.0</v>
      </c>
      <c r="N51" s="95">
        <v>0.0</v>
      </c>
      <c r="O51" s="95">
        <v>0.0</v>
      </c>
      <c r="P51" s="95">
        <v>0.0</v>
      </c>
      <c r="Q51" s="95">
        <v>0.0</v>
      </c>
      <c r="R51" s="95">
        <v>0.0</v>
      </c>
      <c r="S51" s="95">
        <v>0.0</v>
      </c>
      <c r="T51" s="95">
        <v>0.0</v>
      </c>
      <c r="U51" s="95">
        <v>0.0</v>
      </c>
      <c r="V51" s="95">
        <v>0.0</v>
      </c>
      <c r="W51" s="95">
        <v>0.0</v>
      </c>
      <c r="X51" s="95">
        <v>0.0</v>
      </c>
      <c r="Y51" s="95">
        <v>0.0</v>
      </c>
      <c r="Z51" s="95">
        <v>0.0</v>
      </c>
      <c r="AA51" s="95">
        <v>0.0</v>
      </c>
      <c r="AB51" s="95">
        <v>0.0</v>
      </c>
      <c r="AC51" s="95">
        <v>0.0</v>
      </c>
      <c r="AD51" s="95">
        <v>0.0</v>
      </c>
      <c r="AE51" s="95">
        <v>0.0</v>
      </c>
      <c r="AF51" s="95"/>
      <c r="AG51" s="95"/>
      <c r="AH51" s="95"/>
      <c r="AI51" s="95"/>
      <c r="AJ51" s="95"/>
      <c r="AK51" s="95"/>
      <c r="AL51" s="95"/>
      <c r="AM51" s="95"/>
      <c r="AN51" s="95"/>
    </row>
    <row r="52" ht="14.25" customHeight="1">
      <c r="B52" s="507">
        <f t="shared" si="1"/>
        <v>0</v>
      </c>
      <c r="C52" s="95" t="str">
        <f t="shared" si="2"/>
        <v>マトリクス・エスディ</v>
      </c>
      <c r="D52" s="95"/>
      <c r="E52" s="95"/>
      <c r="F52" s="95" t="s">
        <v>225</v>
      </c>
      <c r="G52" s="95">
        <v>0.0</v>
      </c>
      <c r="H52" s="95">
        <v>0.0</v>
      </c>
      <c r="I52" s="95">
        <v>0.0</v>
      </c>
      <c r="J52" s="95">
        <v>0.0</v>
      </c>
      <c r="K52" s="95">
        <v>0.0</v>
      </c>
      <c r="L52" s="95">
        <v>0.0</v>
      </c>
      <c r="M52" s="95">
        <v>0.0</v>
      </c>
      <c r="N52" s="95">
        <v>0.0</v>
      </c>
      <c r="O52" s="95">
        <v>0.0</v>
      </c>
      <c r="P52" s="95">
        <v>0.0</v>
      </c>
      <c r="Q52" s="95">
        <v>0.0</v>
      </c>
      <c r="R52" s="95">
        <v>0.0</v>
      </c>
      <c r="S52" s="95">
        <v>0.0</v>
      </c>
      <c r="T52" s="95">
        <v>0.0</v>
      </c>
      <c r="U52" s="95">
        <v>0.0</v>
      </c>
      <c r="V52" s="95">
        <v>0.0</v>
      </c>
      <c r="W52" s="95">
        <v>0.0</v>
      </c>
      <c r="X52" s="95">
        <v>0.0</v>
      </c>
      <c r="Y52" s="95">
        <v>0.0</v>
      </c>
      <c r="Z52" s="95">
        <v>0.0</v>
      </c>
      <c r="AA52" s="95">
        <v>0.0</v>
      </c>
      <c r="AB52" s="95">
        <v>0.0</v>
      </c>
      <c r="AC52" s="95">
        <v>164169.0</v>
      </c>
      <c r="AD52" s="95">
        <v>0.0</v>
      </c>
      <c r="AE52" s="95">
        <v>164169.0</v>
      </c>
      <c r="AF52" s="95"/>
      <c r="AG52" s="95"/>
      <c r="AH52" s="95"/>
      <c r="AI52" s="95"/>
      <c r="AJ52" s="95"/>
      <c r="AK52" s="95"/>
      <c r="AL52" s="95"/>
      <c r="AM52" s="95"/>
      <c r="AN52" s="95"/>
    </row>
    <row r="53" ht="14.25" customHeight="1">
      <c r="B53" s="507">
        <f t="shared" si="1"/>
        <v>0</v>
      </c>
      <c r="C53" s="95" t="str">
        <f t="shared" si="2"/>
        <v>Timee</v>
      </c>
      <c r="D53" s="95"/>
      <c r="E53" s="95"/>
      <c r="F53" s="95" t="s">
        <v>226</v>
      </c>
      <c r="G53" s="95">
        <v>0.0</v>
      </c>
      <c r="H53" s="95">
        <v>0.0</v>
      </c>
      <c r="I53" s="95">
        <v>221830.0</v>
      </c>
      <c r="J53" s="95">
        <v>0.0</v>
      </c>
      <c r="K53" s="95">
        <v>0.0</v>
      </c>
      <c r="L53" s="95">
        <v>0.0</v>
      </c>
      <c r="M53" s="95">
        <v>221830.0</v>
      </c>
      <c r="N53" s="95">
        <v>0.0</v>
      </c>
      <c r="O53" s="95">
        <v>0.0</v>
      </c>
      <c r="P53" s="95">
        <v>0.0</v>
      </c>
      <c r="Q53" s="95">
        <v>0.0</v>
      </c>
      <c r="R53" s="95">
        <v>0.0</v>
      </c>
      <c r="S53" s="95">
        <v>0.0</v>
      </c>
      <c r="T53" s="95">
        <v>0.0</v>
      </c>
      <c r="U53" s="95">
        <v>0.0</v>
      </c>
      <c r="V53" s="95">
        <v>340606.0</v>
      </c>
      <c r="W53" s="95">
        <v>0.0</v>
      </c>
      <c r="X53" s="95">
        <v>81910.0</v>
      </c>
      <c r="Y53" s="95">
        <v>0.0</v>
      </c>
      <c r="Z53" s="95">
        <v>0.0</v>
      </c>
      <c r="AA53" s="95">
        <v>422516.0</v>
      </c>
      <c r="AB53" s="95">
        <v>0.0</v>
      </c>
      <c r="AC53" s="95">
        <v>0.0</v>
      </c>
      <c r="AD53" s="95">
        <v>0.0</v>
      </c>
      <c r="AE53" s="95">
        <v>0.0</v>
      </c>
      <c r="AF53" s="95"/>
      <c r="AG53" s="95"/>
      <c r="AH53" s="95"/>
      <c r="AI53" s="95"/>
      <c r="AJ53" s="95"/>
      <c r="AK53" s="95"/>
      <c r="AL53" s="95"/>
      <c r="AM53" s="95"/>
      <c r="AN53" s="95"/>
    </row>
    <row r="54" ht="14.25" customHeight="1">
      <c r="B54" s="507">
        <f t="shared" si="1"/>
        <v>0</v>
      </c>
      <c r="C54" s="95" t="str">
        <f t="shared" si="2"/>
        <v>AFO</v>
      </c>
      <c r="D54" s="95"/>
      <c r="E54" s="95"/>
      <c r="F54" s="95" t="s">
        <v>227</v>
      </c>
      <c r="G54" s="95">
        <v>0.0</v>
      </c>
      <c r="H54" s="95">
        <v>0.0</v>
      </c>
      <c r="I54" s="95">
        <v>0.0</v>
      </c>
      <c r="J54" s="95">
        <v>0.0</v>
      </c>
      <c r="K54" s="95">
        <v>0.0</v>
      </c>
      <c r="L54" s="95">
        <v>0.0</v>
      </c>
      <c r="M54" s="95">
        <v>0.0</v>
      </c>
      <c r="N54" s="95">
        <v>0.0</v>
      </c>
      <c r="O54" s="95">
        <v>0.0</v>
      </c>
      <c r="P54" s="95">
        <v>0.0</v>
      </c>
      <c r="Q54" s="95">
        <v>0.0</v>
      </c>
      <c r="R54" s="95">
        <v>0.0</v>
      </c>
      <c r="S54" s="95">
        <v>0.0</v>
      </c>
      <c r="T54" s="95">
        <v>0.0</v>
      </c>
      <c r="U54" s="95">
        <v>0.0</v>
      </c>
      <c r="V54" s="95">
        <v>113637.0</v>
      </c>
      <c r="W54" s="95">
        <v>0.0</v>
      </c>
      <c r="X54" s="95">
        <v>0.0</v>
      </c>
      <c r="Y54" s="95">
        <v>0.0</v>
      </c>
      <c r="Z54" s="95">
        <v>0.0</v>
      </c>
      <c r="AA54" s="95">
        <v>113637.0</v>
      </c>
      <c r="AB54" s="95">
        <v>0.0</v>
      </c>
      <c r="AC54" s="95">
        <v>0.0</v>
      </c>
      <c r="AD54" s="95">
        <v>0.0</v>
      </c>
      <c r="AE54" s="95">
        <v>0.0</v>
      </c>
      <c r="AF54" s="95"/>
      <c r="AG54" s="95"/>
      <c r="AH54" s="95"/>
      <c r="AI54" s="95"/>
      <c r="AJ54" s="95"/>
      <c r="AK54" s="95"/>
      <c r="AL54" s="95"/>
      <c r="AM54" s="95"/>
      <c r="AN54" s="95"/>
    </row>
    <row r="55" ht="14.25" customHeight="1">
      <c r="B55" s="507">
        <f t="shared" si="1"/>
        <v>0</v>
      </c>
      <c r="C55" s="95" t="str">
        <f t="shared" si="2"/>
        <v>リミ</v>
      </c>
      <c r="D55" s="95"/>
      <c r="E55" s="95"/>
      <c r="F55" s="95" t="s">
        <v>228</v>
      </c>
      <c r="G55" s="95">
        <v>0.0</v>
      </c>
      <c r="H55" s="95">
        <v>0.0</v>
      </c>
      <c r="I55" s="95">
        <v>0.0</v>
      </c>
      <c r="J55" s="95">
        <v>0.0</v>
      </c>
      <c r="K55" s="95">
        <v>0.0</v>
      </c>
      <c r="L55" s="95">
        <v>0.0</v>
      </c>
      <c r="M55" s="95">
        <v>0.0</v>
      </c>
      <c r="N55" s="95">
        <v>0.0</v>
      </c>
      <c r="O55" s="95">
        <v>0.0</v>
      </c>
      <c r="P55" s="95">
        <v>0.0</v>
      </c>
      <c r="Q55" s="95">
        <v>0.0</v>
      </c>
      <c r="R55" s="95">
        <v>0.0</v>
      </c>
      <c r="S55" s="95">
        <v>0.0</v>
      </c>
      <c r="T55" s="95">
        <v>0.0</v>
      </c>
      <c r="U55" s="95">
        <v>0.0</v>
      </c>
      <c r="V55" s="95">
        <v>0.0</v>
      </c>
      <c r="W55" s="95">
        <v>0.0</v>
      </c>
      <c r="X55" s="95">
        <v>0.0</v>
      </c>
      <c r="Y55" s="95">
        <v>0.0</v>
      </c>
      <c r="Z55" s="95">
        <v>0.0</v>
      </c>
      <c r="AA55" s="95">
        <v>0.0</v>
      </c>
      <c r="AB55" s="95">
        <v>0.0</v>
      </c>
      <c r="AC55" s="95">
        <v>0.0</v>
      </c>
      <c r="AD55" s="95">
        <v>0.0</v>
      </c>
      <c r="AE55" s="95">
        <v>0.0</v>
      </c>
      <c r="AF55" s="95"/>
      <c r="AG55" s="95"/>
      <c r="AH55" s="95"/>
      <c r="AI55" s="95"/>
      <c r="AJ55" s="95"/>
      <c r="AK55" s="95"/>
      <c r="AL55" s="95"/>
      <c r="AM55" s="95"/>
      <c r="AN55" s="95"/>
    </row>
    <row r="56" ht="14.25" customHeight="1">
      <c r="B56" s="507">
        <f t="shared" si="1"/>
        <v>0</v>
      </c>
      <c r="C56" s="95" t="str">
        <f t="shared" si="2"/>
        <v>RMS</v>
      </c>
      <c r="D56" s="95"/>
      <c r="E56" s="95"/>
      <c r="F56" s="95" t="s">
        <v>229</v>
      </c>
      <c r="G56" s="95">
        <v>0.0</v>
      </c>
      <c r="H56" s="95">
        <v>0.0</v>
      </c>
      <c r="I56" s="95">
        <v>0.0</v>
      </c>
      <c r="J56" s="95">
        <v>0.0</v>
      </c>
      <c r="K56" s="95">
        <v>0.0</v>
      </c>
      <c r="L56" s="95">
        <v>0.0</v>
      </c>
      <c r="M56" s="95">
        <v>0.0</v>
      </c>
      <c r="N56" s="95">
        <v>0.0</v>
      </c>
      <c r="O56" s="95">
        <v>0.0</v>
      </c>
      <c r="P56" s="95">
        <v>0.0</v>
      </c>
      <c r="Q56" s="95">
        <v>0.0</v>
      </c>
      <c r="R56" s="95">
        <v>0.0</v>
      </c>
      <c r="S56" s="95">
        <v>0.0</v>
      </c>
      <c r="T56" s="95">
        <v>0.0</v>
      </c>
      <c r="U56" s="95">
        <v>0.0</v>
      </c>
      <c r="V56" s="95">
        <v>0.0</v>
      </c>
      <c r="W56" s="95">
        <v>0.0</v>
      </c>
      <c r="X56" s="95">
        <v>0.0</v>
      </c>
      <c r="Y56" s="95">
        <v>0.0</v>
      </c>
      <c r="Z56" s="95">
        <v>0.0</v>
      </c>
      <c r="AA56" s="95">
        <v>0.0</v>
      </c>
      <c r="AB56" s="95">
        <v>2753000.0</v>
      </c>
      <c r="AC56" s="95">
        <v>2753000.0</v>
      </c>
      <c r="AD56" s="95">
        <v>0.0</v>
      </c>
      <c r="AE56" s="95">
        <v>5506000.0</v>
      </c>
      <c r="AF56" s="95"/>
      <c r="AG56" s="95"/>
      <c r="AH56" s="95"/>
      <c r="AI56" s="95"/>
      <c r="AJ56" s="95"/>
      <c r="AK56" s="95"/>
      <c r="AL56" s="95"/>
      <c r="AM56" s="95"/>
      <c r="AN56" s="95"/>
    </row>
    <row r="57" ht="14.25" customHeight="1">
      <c r="B57" s="507">
        <f t="shared" si="1"/>
        <v>0</v>
      </c>
      <c r="C57" s="95" t="str">
        <f t="shared" si="2"/>
        <v>PFJ顧問料</v>
      </c>
      <c r="D57" s="95"/>
      <c r="E57" s="95"/>
      <c r="F57" s="95" t="s">
        <v>230</v>
      </c>
      <c r="G57" s="95">
        <v>0.0</v>
      </c>
      <c r="H57" s="95">
        <v>0.0</v>
      </c>
      <c r="I57" s="95">
        <v>0.0</v>
      </c>
      <c r="J57" s="95">
        <v>0.0</v>
      </c>
      <c r="K57" s="95">
        <v>0.0</v>
      </c>
      <c r="L57" s="95">
        <v>0.0</v>
      </c>
      <c r="M57" s="95">
        <v>0.0</v>
      </c>
      <c r="N57" s="95">
        <v>0.0</v>
      </c>
      <c r="O57" s="95">
        <v>0.0</v>
      </c>
      <c r="P57" s="95">
        <v>0.0</v>
      </c>
      <c r="Q57" s="95">
        <v>0.0</v>
      </c>
      <c r="R57" s="95">
        <v>0.0</v>
      </c>
      <c r="S57" s="95">
        <v>0.0</v>
      </c>
      <c r="T57" s="95">
        <v>0.0</v>
      </c>
      <c r="U57" s="95">
        <v>0.0</v>
      </c>
      <c r="V57" s="95">
        <v>0.0</v>
      </c>
      <c r="W57" s="95">
        <v>0.0</v>
      </c>
      <c r="X57" s="95">
        <v>0.0</v>
      </c>
      <c r="Y57" s="95">
        <v>0.0</v>
      </c>
      <c r="Z57" s="95">
        <v>0.0</v>
      </c>
      <c r="AA57" s="95">
        <v>0.0</v>
      </c>
      <c r="AB57" s="95">
        <v>0.0</v>
      </c>
      <c r="AC57" s="95">
        <v>300000.0</v>
      </c>
      <c r="AD57" s="95">
        <v>0.0</v>
      </c>
      <c r="AE57" s="95">
        <v>300000.0</v>
      </c>
      <c r="AF57" s="95"/>
      <c r="AG57" s="95"/>
      <c r="AH57" s="95"/>
      <c r="AI57" s="95"/>
      <c r="AJ57" s="95"/>
      <c r="AK57" s="95"/>
      <c r="AL57" s="95"/>
      <c r="AM57" s="95"/>
      <c r="AN57" s="95"/>
    </row>
    <row r="58" ht="14.25" customHeight="1">
      <c r="B58" s="507">
        <f t="shared" si="1"/>
        <v>0</v>
      </c>
      <c r="C58" s="95" t="str">
        <f t="shared" si="2"/>
        <v>柴田弁護士</v>
      </c>
      <c r="D58" s="95"/>
      <c r="E58" s="95"/>
      <c r="F58" s="95" t="s">
        <v>231</v>
      </c>
      <c r="G58" s="95">
        <v>0.0</v>
      </c>
      <c r="H58" s="95">
        <v>0.0</v>
      </c>
      <c r="I58" s="95">
        <v>0.0</v>
      </c>
      <c r="J58" s="95">
        <v>0.0</v>
      </c>
      <c r="K58" s="95">
        <v>0.0</v>
      </c>
      <c r="L58" s="95">
        <v>0.0</v>
      </c>
      <c r="M58" s="95">
        <v>0.0</v>
      </c>
      <c r="N58" s="95">
        <v>0.0</v>
      </c>
      <c r="O58" s="95">
        <v>0.0</v>
      </c>
      <c r="P58" s="95">
        <v>0.0</v>
      </c>
      <c r="Q58" s="95">
        <v>0.0</v>
      </c>
      <c r="R58" s="95">
        <v>0.0</v>
      </c>
      <c r="S58" s="95">
        <v>0.0</v>
      </c>
      <c r="T58" s="95">
        <v>0.0</v>
      </c>
      <c r="U58" s="95">
        <v>0.0</v>
      </c>
      <c r="V58" s="95">
        <v>0.0</v>
      </c>
      <c r="W58" s="95">
        <v>0.0</v>
      </c>
      <c r="X58" s="95">
        <v>0.0</v>
      </c>
      <c r="Y58" s="95">
        <v>0.0</v>
      </c>
      <c r="Z58" s="95">
        <v>0.0</v>
      </c>
      <c r="AA58" s="95">
        <v>0.0</v>
      </c>
      <c r="AB58" s="95">
        <v>0.0</v>
      </c>
      <c r="AC58" s="95">
        <v>27216.0</v>
      </c>
      <c r="AD58" s="95">
        <v>0.0</v>
      </c>
      <c r="AE58" s="95">
        <v>27216.0</v>
      </c>
      <c r="AF58" s="95"/>
      <c r="AG58" s="95"/>
      <c r="AH58" s="95"/>
      <c r="AI58" s="95"/>
      <c r="AJ58" s="95"/>
      <c r="AK58" s="95"/>
      <c r="AL58" s="95"/>
      <c r="AM58" s="95"/>
      <c r="AN58" s="95"/>
    </row>
    <row r="59" ht="14.25" customHeight="1">
      <c r="B59" s="507">
        <f t="shared" si="1"/>
        <v>0</v>
      </c>
      <c r="C59" s="95" t="str">
        <f t="shared" si="2"/>
        <v>松尾愼祐弁護士</v>
      </c>
      <c r="D59" s="95"/>
      <c r="E59" s="95"/>
      <c r="F59" s="95" t="s">
        <v>232</v>
      </c>
      <c r="G59" s="95">
        <v>0.0</v>
      </c>
      <c r="H59" s="95">
        <v>0.0</v>
      </c>
      <c r="I59" s="95">
        <v>0.0</v>
      </c>
      <c r="J59" s="95">
        <v>0.0</v>
      </c>
      <c r="K59" s="95">
        <v>0.0</v>
      </c>
      <c r="L59" s="95">
        <v>0.0</v>
      </c>
      <c r="M59" s="95">
        <v>0.0</v>
      </c>
      <c r="N59" s="95">
        <v>0.0</v>
      </c>
      <c r="O59" s="95">
        <v>0.0</v>
      </c>
      <c r="P59" s="95">
        <v>0.0</v>
      </c>
      <c r="Q59" s="95">
        <v>0.0</v>
      </c>
      <c r="R59" s="95">
        <v>0.0</v>
      </c>
      <c r="S59" s="95">
        <v>0.0</v>
      </c>
      <c r="T59" s="95">
        <v>0.0</v>
      </c>
      <c r="U59" s="95">
        <v>0.0</v>
      </c>
      <c r="V59" s="95">
        <v>0.0</v>
      </c>
      <c r="W59" s="95">
        <v>0.0</v>
      </c>
      <c r="X59" s="95">
        <v>0.0</v>
      </c>
      <c r="Y59" s="95">
        <v>0.0</v>
      </c>
      <c r="Z59" s="95">
        <v>0.0</v>
      </c>
      <c r="AA59" s="95">
        <v>0.0</v>
      </c>
      <c r="AB59" s="95">
        <v>0.0</v>
      </c>
      <c r="AC59" s="95">
        <v>100000.0</v>
      </c>
      <c r="AD59" s="95">
        <v>0.0</v>
      </c>
      <c r="AE59" s="95">
        <v>100000.0</v>
      </c>
      <c r="AF59" s="95"/>
      <c r="AG59" s="95"/>
      <c r="AH59" s="95"/>
      <c r="AI59" s="95"/>
      <c r="AJ59" s="95"/>
      <c r="AK59" s="95"/>
      <c r="AL59" s="95"/>
      <c r="AM59" s="95"/>
      <c r="AN59" s="95"/>
    </row>
    <row r="60" ht="14.25" customHeight="1">
      <c r="B60" s="507">
        <f t="shared" si="1"/>
        <v>0</v>
      </c>
      <c r="C60" s="95" t="str">
        <f t="shared" si="2"/>
        <v>内田・阿部法律事務所</v>
      </c>
      <c r="D60" s="95"/>
      <c r="E60" s="95"/>
      <c r="F60" s="95" t="s">
        <v>233</v>
      </c>
      <c r="G60" s="95">
        <v>0.0</v>
      </c>
      <c r="H60" s="95">
        <v>0.0</v>
      </c>
      <c r="I60" s="95">
        <v>0.0</v>
      </c>
      <c r="J60" s="95">
        <v>0.0</v>
      </c>
      <c r="K60" s="95">
        <v>0.0</v>
      </c>
      <c r="L60" s="95">
        <v>0.0</v>
      </c>
      <c r="M60" s="95">
        <v>0.0</v>
      </c>
      <c r="N60" s="95">
        <v>0.0</v>
      </c>
      <c r="O60" s="95">
        <v>0.0</v>
      </c>
      <c r="P60" s="95">
        <v>0.0</v>
      </c>
      <c r="Q60" s="95">
        <v>0.0</v>
      </c>
      <c r="R60" s="95">
        <v>0.0</v>
      </c>
      <c r="S60" s="95">
        <v>0.0</v>
      </c>
      <c r="T60" s="95">
        <v>0.0</v>
      </c>
      <c r="U60" s="95">
        <v>0.0</v>
      </c>
      <c r="V60" s="95">
        <v>0.0</v>
      </c>
      <c r="W60" s="95">
        <v>0.0</v>
      </c>
      <c r="X60" s="95">
        <v>0.0</v>
      </c>
      <c r="Y60" s="95">
        <v>0.0</v>
      </c>
      <c r="Z60" s="95">
        <v>0.0</v>
      </c>
      <c r="AA60" s="95">
        <v>0.0</v>
      </c>
      <c r="AB60" s="95">
        <v>0.0</v>
      </c>
      <c r="AC60" s="95">
        <v>9091.0</v>
      </c>
      <c r="AD60" s="95">
        <v>0.0</v>
      </c>
      <c r="AE60" s="95">
        <v>9091.0</v>
      </c>
      <c r="AF60" s="95"/>
      <c r="AG60" s="95"/>
      <c r="AH60" s="95"/>
      <c r="AI60" s="95"/>
      <c r="AJ60" s="95"/>
      <c r="AK60" s="95"/>
      <c r="AL60" s="95"/>
      <c r="AM60" s="95"/>
      <c r="AN60" s="95"/>
    </row>
    <row r="61" ht="14.25" customHeight="1">
      <c r="B61" s="507">
        <f t="shared" si="1"/>
        <v>0</v>
      </c>
      <c r="C61" s="95" t="str">
        <f t="shared" si="2"/>
        <v>補助科目なし</v>
      </c>
      <c r="D61" s="95"/>
      <c r="E61" s="95"/>
      <c r="F61" s="95" t="s">
        <v>199</v>
      </c>
      <c r="G61" s="95">
        <v>0.0</v>
      </c>
      <c r="H61" s="95">
        <v>0.0</v>
      </c>
      <c r="I61" s="95">
        <v>0.0</v>
      </c>
      <c r="J61" s="95">
        <v>0.0</v>
      </c>
      <c r="K61" s="95">
        <v>0.0</v>
      </c>
      <c r="L61" s="95">
        <v>0.0</v>
      </c>
      <c r="M61" s="95">
        <v>0.0</v>
      </c>
      <c r="N61" s="95">
        <v>0.0</v>
      </c>
      <c r="O61" s="95">
        <v>0.0</v>
      </c>
      <c r="P61" s="95">
        <v>0.0</v>
      </c>
      <c r="Q61" s="95">
        <v>0.0</v>
      </c>
      <c r="R61" s="95">
        <v>0.0</v>
      </c>
      <c r="S61" s="95">
        <v>0.0</v>
      </c>
      <c r="T61" s="95">
        <v>0.0</v>
      </c>
      <c r="U61" s="95">
        <v>0.0</v>
      </c>
      <c r="V61" s="95">
        <v>0.0</v>
      </c>
      <c r="W61" s="95">
        <v>0.0</v>
      </c>
      <c r="X61" s="95">
        <v>0.0</v>
      </c>
      <c r="Y61" s="95">
        <v>0.0</v>
      </c>
      <c r="Z61" s="95">
        <v>0.0</v>
      </c>
      <c r="AA61" s="95">
        <v>0.0</v>
      </c>
      <c r="AB61" s="95">
        <v>0.0</v>
      </c>
      <c r="AC61" s="95">
        <v>0.0</v>
      </c>
      <c r="AD61" s="95">
        <v>0.0</v>
      </c>
      <c r="AE61" s="95">
        <v>0.0</v>
      </c>
      <c r="AF61" s="95"/>
      <c r="AG61" s="95"/>
      <c r="AH61" s="95"/>
      <c r="AI61" s="95"/>
      <c r="AJ61" s="95"/>
      <c r="AK61" s="95"/>
      <c r="AL61" s="95"/>
      <c r="AM61" s="95"/>
      <c r="AN61" s="95"/>
    </row>
    <row r="62" ht="14.25" customHeight="1">
      <c r="B62" s="507">
        <f t="shared" si="1"/>
        <v>0</v>
      </c>
      <c r="C62" s="95" t="str">
        <f t="shared" si="2"/>
        <v>委託外注費</v>
      </c>
      <c r="D62" s="95"/>
      <c r="E62" s="95" t="s">
        <v>51</v>
      </c>
      <c r="F62" s="95"/>
      <c r="G62" s="95">
        <v>0.0</v>
      </c>
      <c r="H62" s="95">
        <v>1053455.0</v>
      </c>
      <c r="I62" s="95">
        <v>0.0</v>
      </c>
      <c r="J62" s="95">
        <v>0.0</v>
      </c>
      <c r="K62" s="95">
        <v>0.0</v>
      </c>
      <c r="L62" s="95">
        <v>0.0</v>
      </c>
      <c r="M62" s="95">
        <v>1053455.0</v>
      </c>
      <c r="N62" s="95">
        <v>640.0</v>
      </c>
      <c r="O62" s="95">
        <v>160.0</v>
      </c>
      <c r="P62" s="95">
        <v>0.0</v>
      </c>
      <c r="Q62" s="95">
        <v>0.0</v>
      </c>
      <c r="R62" s="95">
        <v>0.0</v>
      </c>
      <c r="S62" s="95">
        <v>0.0</v>
      </c>
      <c r="T62" s="95">
        <v>800.0</v>
      </c>
      <c r="U62" s="95">
        <v>0.0</v>
      </c>
      <c r="V62" s="95">
        <v>0.0</v>
      </c>
      <c r="W62" s="95">
        <v>0.0</v>
      </c>
      <c r="X62" s="95">
        <v>0.0</v>
      </c>
      <c r="Y62" s="95">
        <v>0.0</v>
      </c>
      <c r="Z62" s="95">
        <v>0.0</v>
      </c>
      <c r="AA62" s="95">
        <v>0.0</v>
      </c>
      <c r="AB62" s="95">
        <v>1241935.0</v>
      </c>
      <c r="AC62" s="95">
        <v>1221935.0</v>
      </c>
      <c r="AD62" s="95">
        <v>0.0</v>
      </c>
      <c r="AE62" s="95">
        <v>2463870.0</v>
      </c>
      <c r="AF62" s="95"/>
      <c r="AG62" s="95"/>
      <c r="AH62" s="95"/>
      <c r="AI62" s="95"/>
      <c r="AJ62" s="95"/>
      <c r="AK62" s="95"/>
      <c r="AL62" s="95"/>
      <c r="AM62" s="95"/>
      <c r="AN62" s="95"/>
    </row>
    <row r="63" ht="14.25" customHeight="1">
      <c r="B63" s="507">
        <f t="shared" si="1"/>
        <v>0</v>
      </c>
      <c r="C63" s="95" t="str">
        <f t="shared" si="2"/>
        <v>トライアルホールディングス</v>
      </c>
      <c r="D63" s="95"/>
      <c r="E63" s="95"/>
      <c r="F63" s="95" t="s">
        <v>234</v>
      </c>
      <c r="G63" s="95">
        <v>0.0</v>
      </c>
      <c r="H63" s="95">
        <v>0.0</v>
      </c>
      <c r="I63" s="95">
        <v>0.0</v>
      </c>
      <c r="J63" s="95">
        <v>0.0</v>
      </c>
      <c r="K63" s="95">
        <v>0.0</v>
      </c>
      <c r="L63" s="95">
        <v>0.0</v>
      </c>
      <c r="M63" s="95">
        <v>0.0</v>
      </c>
      <c r="N63" s="95">
        <v>0.0</v>
      </c>
      <c r="O63" s="95">
        <v>0.0</v>
      </c>
      <c r="P63" s="95">
        <v>0.0</v>
      </c>
      <c r="Q63" s="95">
        <v>0.0</v>
      </c>
      <c r="R63" s="95">
        <v>0.0</v>
      </c>
      <c r="S63" s="95">
        <v>0.0</v>
      </c>
      <c r="T63" s="95">
        <v>0.0</v>
      </c>
      <c r="U63" s="95">
        <v>0.0</v>
      </c>
      <c r="V63" s="95">
        <v>0.0</v>
      </c>
      <c r="W63" s="95">
        <v>0.0</v>
      </c>
      <c r="X63" s="95">
        <v>0.0</v>
      </c>
      <c r="Y63" s="95">
        <v>0.0</v>
      </c>
      <c r="Z63" s="95">
        <v>0.0</v>
      </c>
      <c r="AA63" s="95">
        <v>0.0</v>
      </c>
      <c r="AB63" s="95">
        <v>105500.0</v>
      </c>
      <c r="AC63" s="95">
        <v>105500.0</v>
      </c>
      <c r="AD63" s="95">
        <v>0.0</v>
      </c>
      <c r="AE63" s="95">
        <v>211000.0</v>
      </c>
      <c r="AF63" s="95"/>
      <c r="AG63" s="95"/>
      <c r="AH63" s="95"/>
      <c r="AI63" s="95"/>
      <c r="AJ63" s="95"/>
      <c r="AK63" s="95"/>
      <c r="AL63" s="95"/>
      <c r="AM63" s="95"/>
      <c r="AN63" s="95"/>
    </row>
    <row r="64" ht="14.25" customHeight="1">
      <c r="B64" s="507">
        <f t="shared" si="1"/>
        <v>0</v>
      </c>
      <c r="C64" s="95" t="str">
        <f t="shared" si="2"/>
        <v>趙ハンナ</v>
      </c>
      <c r="D64" s="95"/>
      <c r="E64" s="95"/>
      <c r="F64" s="95" t="s">
        <v>235</v>
      </c>
      <c r="G64" s="95">
        <v>0.0</v>
      </c>
      <c r="H64" s="95">
        <v>0.0</v>
      </c>
      <c r="I64" s="95">
        <v>0.0</v>
      </c>
      <c r="J64" s="95">
        <v>0.0</v>
      </c>
      <c r="K64" s="95">
        <v>0.0</v>
      </c>
      <c r="L64" s="95">
        <v>0.0</v>
      </c>
      <c r="M64" s="95">
        <v>0.0</v>
      </c>
      <c r="N64" s="95">
        <v>0.0</v>
      </c>
      <c r="O64" s="95">
        <v>0.0</v>
      </c>
      <c r="P64" s="95">
        <v>0.0</v>
      </c>
      <c r="Q64" s="95">
        <v>0.0</v>
      </c>
      <c r="R64" s="95">
        <v>0.0</v>
      </c>
      <c r="S64" s="95">
        <v>0.0</v>
      </c>
      <c r="T64" s="95">
        <v>0.0</v>
      </c>
      <c r="U64" s="95">
        <v>0.0</v>
      </c>
      <c r="V64" s="95">
        <v>0.0</v>
      </c>
      <c r="W64" s="95">
        <v>0.0</v>
      </c>
      <c r="X64" s="95">
        <v>0.0</v>
      </c>
      <c r="Y64" s="95">
        <v>0.0</v>
      </c>
      <c r="Z64" s="95">
        <v>0.0</v>
      </c>
      <c r="AA64" s="95">
        <v>0.0</v>
      </c>
      <c r="AB64" s="95">
        <v>197684.0</v>
      </c>
      <c r="AC64" s="95">
        <v>197684.0</v>
      </c>
      <c r="AD64" s="95">
        <v>0.0</v>
      </c>
      <c r="AE64" s="95">
        <v>395368.0</v>
      </c>
      <c r="AF64" s="95"/>
      <c r="AG64" s="95"/>
      <c r="AH64" s="95"/>
      <c r="AI64" s="95"/>
      <c r="AJ64" s="95"/>
      <c r="AK64" s="95"/>
      <c r="AL64" s="95"/>
      <c r="AM64" s="95"/>
      <c r="AN64" s="95"/>
    </row>
    <row r="65" ht="14.25" customHeight="1">
      <c r="B65" s="507">
        <f t="shared" si="1"/>
        <v>0</v>
      </c>
      <c r="C65" s="95" t="str">
        <f t="shared" si="2"/>
        <v>富士桜</v>
      </c>
      <c r="D65" s="95"/>
      <c r="E65" s="95"/>
      <c r="F65" s="95" t="s">
        <v>236</v>
      </c>
      <c r="G65" s="95">
        <v>0.0</v>
      </c>
      <c r="H65" s="95">
        <v>0.0</v>
      </c>
      <c r="I65" s="95">
        <v>0.0</v>
      </c>
      <c r="J65" s="95">
        <v>0.0</v>
      </c>
      <c r="K65" s="95">
        <v>0.0</v>
      </c>
      <c r="L65" s="95">
        <v>0.0</v>
      </c>
      <c r="M65" s="95">
        <v>0.0</v>
      </c>
      <c r="N65" s="95">
        <v>0.0</v>
      </c>
      <c r="O65" s="95">
        <v>0.0</v>
      </c>
      <c r="P65" s="95">
        <v>0.0</v>
      </c>
      <c r="Q65" s="95">
        <v>0.0</v>
      </c>
      <c r="R65" s="95">
        <v>0.0</v>
      </c>
      <c r="S65" s="95">
        <v>0.0</v>
      </c>
      <c r="T65" s="95">
        <v>0.0</v>
      </c>
      <c r="U65" s="95">
        <v>0.0</v>
      </c>
      <c r="V65" s="95">
        <v>0.0</v>
      </c>
      <c r="W65" s="95">
        <v>0.0</v>
      </c>
      <c r="X65" s="95">
        <v>0.0</v>
      </c>
      <c r="Y65" s="95">
        <v>0.0</v>
      </c>
      <c r="Z65" s="95">
        <v>0.0</v>
      </c>
      <c r="AA65" s="95">
        <v>0.0</v>
      </c>
      <c r="AB65" s="95">
        <v>20000.0</v>
      </c>
      <c r="AC65" s="95">
        <v>0.0</v>
      </c>
      <c r="AD65" s="95">
        <v>0.0</v>
      </c>
      <c r="AE65" s="95">
        <v>20000.0</v>
      </c>
      <c r="AF65" s="95"/>
      <c r="AG65" s="95"/>
      <c r="AH65" s="95"/>
      <c r="AI65" s="95"/>
      <c r="AJ65" s="95"/>
      <c r="AK65" s="95"/>
      <c r="AL65" s="95"/>
      <c r="AM65" s="95"/>
      <c r="AN65" s="95"/>
    </row>
    <row r="66" ht="14.25" customHeight="1">
      <c r="B66" s="507">
        <f t="shared" si="1"/>
        <v>0</v>
      </c>
      <c r="C66" s="95" t="str">
        <f t="shared" si="2"/>
        <v>こはく本舗</v>
      </c>
      <c r="D66" s="95"/>
      <c r="E66" s="95"/>
      <c r="F66" s="95" t="s">
        <v>237</v>
      </c>
      <c r="G66" s="95">
        <v>0.0</v>
      </c>
      <c r="H66" s="95">
        <v>1053455.0</v>
      </c>
      <c r="I66" s="95">
        <v>0.0</v>
      </c>
      <c r="J66" s="95">
        <v>0.0</v>
      </c>
      <c r="K66" s="95">
        <v>0.0</v>
      </c>
      <c r="L66" s="95">
        <v>0.0</v>
      </c>
      <c r="M66" s="95">
        <v>1053455.0</v>
      </c>
      <c r="N66" s="95">
        <v>0.0</v>
      </c>
      <c r="O66" s="95">
        <v>0.0</v>
      </c>
      <c r="P66" s="95">
        <v>0.0</v>
      </c>
      <c r="Q66" s="95">
        <v>0.0</v>
      </c>
      <c r="R66" s="95">
        <v>0.0</v>
      </c>
      <c r="S66" s="95">
        <v>0.0</v>
      </c>
      <c r="T66" s="95">
        <v>0.0</v>
      </c>
      <c r="U66" s="95">
        <v>0.0</v>
      </c>
      <c r="V66" s="95">
        <v>0.0</v>
      </c>
      <c r="W66" s="95">
        <v>0.0</v>
      </c>
      <c r="X66" s="95">
        <v>0.0</v>
      </c>
      <c r="Y66" s="95">
        <v>0.0</v>
      </c>
      <c r="Z66" s="95">
        <v>0.0</v>
      </c>
      <c r="AA66" s="95">
        <v>0.0</v>
      </c>
      <c r="AB66" s="95">
        <v>918751.0</v>
      </c>
      <c r="AC66" s="95">
        <v>918751.0</v>
      </c>
      <c r="AD66" s="95">
        <v>0.0</v>
      </c>
      <c r="AE66" s="95">
        <v>1837502.0</v>
      </c>
      <c r="AF66" s="95"/>
      <c r="AG66" s="95"/>
      <c r="AH66" s="95"/>
      <c r="AI66" s="95"/>
      <c r="AJ66" s="95"/>
      <c r="AK66" s="95"/>
      <c r="AL66" s="95"/>
      <c r="AM66" s="95"/>
      <c r="AN66" s="95"/>
    </row>
    <row r="67" ht="14.25" customHeight="1">
      <c r="B67" s="507">
        <f t="shared" si="1"/>
        <v>0</v>
      </c>
      <c r="C67" s="95" t="str">
        <f t="shared" si="2"/>
        <v>補助科目なし</v>
      </c>
      <c r="D67" s="95"/>
      <c r="E67" s="95"/>
      <c r="F67" s="95" t="s">
        <v>199</v>
      </c>
      <c r="G67" s="95">
        <v>0.0</v>
      </c>
      <c r="H67" s="95">
        <v>0.0</v>
      </c>
      <c r="I67" s="95">
        <v>0.0</v>
      </c>
      <c r="J67" s="95">
        <v>0.0</v>
      </c>
      <c r="K67" s="95">
        <v>0.0</v>
      </c>
      <c r="L67" s="95">
        <v>0.0</v>
      </c>
      <c r="M67" s="95">
        <v>0.0</v>
      </c>
      <c r="N67" s="95">
        <v>640.0</v>
      </c>
      <c r="O67" s="95">
        <v>160.0</v>
      </c>
      <c r="P67" s="95">
        <v>0.0</v>
      </c>
      <c r="Q67" s="95">
        <v>0.0</v>
      </c>
      <c r="R67" s="95">
        <v>0.0</v>
      </c>
      <c r="S67" s="95">
        <v>0.0</v>
      </c>
      <c r="T67" s="95">
        <v>800.0</v>
      </c>
      <c r="U67" s="95">
        <v>0.0</v>
      </c>
      <c r="V67" s="95">
        <v>0.0</v>
      </c>
      <c r="W67" s="95">
        <v>0.0</v>
      </c>
      <c r="X67" s="95">
        <v>0.0</v>
      </c>
      <c r="Y67" s="95">
        <v>0.0</v>
      </c>
      <c r="Z67" s="95">
        <v>0.0</v>
      </c>
      <c r="AA67" s="95">
        <v>0.0</v>
      </c>
      <c r="AB67" s="95">
        <v>0.0</v>
      </c>
      <c r="AC67" s="95">
        <v>0.0</v>
      </c>
      <c r="AD67" s="95">
        <v>0.0</v>
      </c>
      <c r="AE67" s="95">
        <v>0.0</v>
      </c>
      <c r="AF67" s="95"/>
      <c r="AG67" s="95"/>
      <c r="AH67" s="95"/>
      <c r="AI67" s="95"/>
      <c r="AJ67" s="95"/>
      <c r="AK67" s="95"/>
      <c r="AL67" s="95"/>
      <c r="AM67" s="95"/>
      <c r="AN67" s="95"/>
    </row>
    <row r="68" ht="14.25" customHeight="1">
      <c r="B68" s="507">
        <f t="shared" si="1"/>
        <v>0</v>
      </c>
      <c r="C68" s="95" t="str">
        <f t="shared" si="2"/>
        <v>出向人件費</v>
      </c>
      <c r="D68" s="95"/>
      <c r="E68" s="95" t="s">
        <v>45</v>
      </c>
      <c r="F68" s="95"/>
      <c r="G68" s="95">
        <v>0.0</v>
      </c>
      <c r="H68" s="95">
        <v>0.0</v>
      </c>
      <c r="I68" s="95">
        <v>0.0</v>
      </c>
      <c r="J68" s="95">
        <v>0.0</v>
      </c>
      <c r="K68" s="95">
        <v>0.0</v>
      </c>
      <c r="L68" s="95">
        <v>0.0</v>
      </c>
      <c r="M68" s="95">
        <v>0.0</v>
      </c>
      <c r="N68" s="95">
        <v>0.0</v>
      </c>
      <c r="O68" s="95">
        <v>0.0</v>
      </c>
      <c r="P68" s="95">
        <v>0.0</v>
      </c>
      <c r="Q68" s="95">
        <v>0.0</v>
      </c>
      <c r="R68" s="95">
        <v>0.0</v>
      </c>
      <c r="S68" s="95">
        <v>0.0</v>
      </c>
      <c r="T68" s="95">
        <v>0.0</v>
      </c>
      <c r="U68" s="95">
        <v>0.0</v>
      </c>
      <c r="V68" s="95">
        <v>0.0</v>
      </c>
      <c r="W68" s="95">
        <v>0.0</v>
      </c>
      <c r="X68" s="95">
        <v>0.0</v>
      </c>
      <c r="Y68" s="95">
        <v>0.0</v>
      </c>
      <c r="Z68" s="95">
        <v>0.0</v>
      </c>
      <c r="AA68" s="95">
        <v>0.0</v>
      </c>
      <c r="AB68" s="95">
        <v>319207.0</v>
      </c>
      <c r="AC68" s="95">
        <v>319206.0</v>
      </c>
      <c r="AD68" s="95">
        <v>0.0</v>
      </c>
      <c r="AE68" s="95">
        <v>638413.0</v>
      </c>
      <c r="AF68" s="95"/>
      <c r="AG68" s="95"/>
      <c r="AH68" s="95"/>
      <c r="AI68" s="95"/>
      <c r="AJ68" s="95"/>
      <c r="AK68" s="95"/>
      <c r="AL68" s="95"/>
      <c r="AM68" s="95"/>
      <c r="AN68" s="95"/>
    </row>
    <row r="69" ht="14.25" customHeight="1">
      <c r="B69" s="507">
        <f t="shared" si="1"/>
        <v>0</v>
      </c>
      <c r="C69" s="95" t="str">
        <f t="shared" si="2"/>
        <v>給与</v>
      </c>
      <c r="D69" s="95"/>
      <c r="E69" s="95"/>
      <c r="F69" s="95" t="s">
        <v>238</v>
      </c>
      <c r="G69" s="95">
        <v>0.0</v>
      </c>
      <c r="H69" s="95">
        <v>0.0</v>
      </c>
      <c r="I69" s="95">
        <v>0.0</v>
      </c>
      <c r="J69" s="95">
        <v>0.0</v>
      </c>
      <c r="K69" s="95">
        <v>0.0</v>
      </c>
      <c r="L69" s="95">
        <v>0.0</v>
      </c>
      <c r="M69" s="95">
        <v>0.0</v>
      </c>
      <c r="N69" s="95">
        <v>0.0</v>
      </c>
      <c r="O69" s="95">
        <v>0.0</v>
      </c>
      <c r="P69" s="95">
        <v>0.0</v>
      </c>
      <c r="Q69" s="95">
        <v>0.0</v>
      </c>
      <c r="R69" s="95">
        <v>0.0</v>
      </c>
      <c r="S69" s="95">
        <v>0.0</v>
      </c>
      <c r="T69" s="95">
        <v>0.0</v>
      </c>
      <c r="U69" s="95">
        <v>0.0</v>
      </c>
      <c r="V69" s="95">
        <v>0.0</v>
      </c>
      <c r="W69" s="95">
        <v>0.0</v>
      </c>
      <c r="X69" s="95">
        <v>0.0</v>
      </c>
      <c r="Y69" s="95">
        <v>0.0</v>
      </c>
      <c r="Z69" s="95">
        <v>0.0</v>
      </c>
      <c r="AA69" s="95">
        <v>0.0</v>
      </c>
      <c r="AB69" s="95">
        <v>319207.0</v>
      </c>
      <c r="AC69" s="95">
        <v>319206.0</v>
      </c>
      <c r="AD69" s="95">
        <v>0.0</v>
      </c>
      <c r="AE69" s="95">
        <v>638413.0</v>
      </c>
      <c r="AF69" s="95"/>
      <c r="AG69" s="95"/>
      <c r="AH69" s="95"/>
      <c r="AI69" s="95"/>
      <c r="AJ69" s="95"/>
      <c r="AK69" s="95"/>
      <c r="AL69" s="95"/>
      <c r="AM69" s="95"/>
      <c r="AN69" s="95"/>
    </row>
    <row r="70" ht="14.25" customHeight="1">
      <c r="B70" s="507">
        <f t="shared" si="1"/>
        <v>0</v>
      </c>
      <c r="C70" s="95" t="str">
        <f t="shared" si="2"/>
        <v>広告宣伝費</v>
      </c>
      <c r="D70" s="95"/>
      <c r="E70" s="95" t="s">
        <v>55</v>
      </c>
      <c r="F70" s="95"/>
      <c r="G70" s="95">
        <v>20000.0</v>
      </c>
      <c r="H70" s="95">
        <v>0.0</v>
      </c>
      <c r="I70" s="95">
        <v>0.0</v>
      </c>
      <c r="J70" s="95">
        <v>0.0</v>
      </c>
      <c r="K70" s="95">
        <v>0.0</v>
      </c>
      <c r="L70" s="95">
        <v>0.0</v>
      </c>
      <c r="M70" s="95">
        <v>20000.0</v>
      </c>
      <c r="N70" s="95">
        <v>0.0</v>
      </c>
      <c r="O70" s="95">
        <v>0.0</v>
      </c>
      <c r="P70" s="95">
        <v>0.0</v>
      </c>
      <c r="Q70" s="95">
        <v>0.0</v>
      </c>
      <c r="R70" s="95">
        <v>0.0</v>
      </c>
      <c r="S70" s="95">
        <v>0.0</v>
      </c>
      <c r="T70" s="95">
        <v>0.0</v>
      </c>
      <c r="U70" s="95">
        <v>20000.0</v>
      </c>
      <c r="V70" s="95">
        <v>20000.0</v>
      </c>
      <c r="W70" s="95">
        <v>0.0</v>
      </c>
      <c r="X70" s="95">
        <v>0.0</v>
      </c>
      <c r="Y70" s="95">
        <v>0.0</v>
      </c>
      <c r="Z70" s="95">
        <v>0.0</v>
      </c>
      <c r="AA70" s="95">
        <v>40000.0</v>
      </c>
      <c r="AB70" s="95">
        <v>0.0</v>
      </c>
      <c r="AC70" s="95">
        <v>0.0</v>
      </c>
      <c r="AD70" s="95">
        <v>0.0</v>
      </c>
      <c r="AE70" s="95">
        <v>0.0</v>
      </c>
      <c r="AF70" s="95"/>
      <c r="AG70" s="95"/>
      <c r="AH70" s="95"/>
      <c r="AI70" s="95"/>
      <c r="AJ70" s="95"/>
      <c r="AK70" s="95"/>
      <c r="AL70" s="95"/>
      <c r="AM70" s="95"/>
      <c r="AN70" s="95"/>
    </row>
    <row r="71" ht="14.25" customHeight="1">
      <c r="B71" s="507">
        <f t="shared" si="1"/>
        <v>0</v>
      </c>
      <c r="C71" s="95" t="str">
        <f t="shared" si="2"/>
        <v>楽天</v>
      </c>
      <c r="D71" s="95"/>
      <c r="E71" s="95"/>
      <c r="F71" s="95" t="s">
        <v>239</v>
      </c>
      <c r="G71" s="95">
        <v>0.0</v>
      </c>
      <c r="H71" s="95">
        <v>0.0</v>
      </c>
      <c r="I71" s="95">
        <v>0.0</v>
      </c>
      <c r="J71" s="95">
        <v>0.0</v>
      </c>
      <c r="K71" s="95">
        <v>0.0</v>
      </c>
      <c r="L71" s="95">
        <v>0.0</v>
      </c>
      <c r="M71" s="95">
        <v>0.0</v>
      </c>
      <c r="N71" s="95">
        <v>0.0</v>
      </c>
      <c r="O71" s="95">
        <v>0.0</v>
      </c>
      <c r="P71" s="95">
        <v>0.0</v>
      </c>
      <c r="Q71" s="95">
        <v>0.0</v>
      </c>
      <c r="R71" s="95">
        <v>0.0</v>
      </c>
      <c r="S71" s="95">
        <v>0.0</v>
      </c>
      <c r="T71" s="95">
        <v>0.0</v>
      </c>
      <c r="U71" s="95">
        <v>0.0</v>
      </c>
      <c r="V71" s="95">
        <v>0.0</v>
      </c>
      <c r="W71" s="95">
        <v>0.0</v>
      </c>
      <c r="X71" s="95">
        <v>0.0</v>
      </c>
      <c r="Y71" s="95">
        <v>0.0</v>
      </c>
      <c r="Z71" s="95">
        <v>0.0</v>
      </c>
      <c r="AA71" s="95">
        <v>0.0</v>
      </c>
      <c r="AB71" s="95">
        <v>0.0</v>
      </c>
      <c r="AC71" s="95">
        <v>0.0</v>
      </c>
      <c r="AD71" s="95">
        <v>0.0</v>
      </c>
      <c r="AE71" s="95">
        <v>0.0</v>
      </c>
      <c r="AF71" s="95"/>
      <c r="AG71" s="95"/>
      <c r="AH71" s="95"/>
      <c r="AI71" s="95"/>
      <c r="AJ71" s="95"/>
      <c r="AK71" s="95"/>
      <c r="AL71" s="95"/>
      <c r="AM71" s="95"/>
      <c r="AN71" s="95"/>
    </row>
    <row r="72" ht="14.25" customHeight="1">
      <c r="B72" s="507">
        <f t="shared" si="1"/>
        <v>0</v>
      </c>
      <c r="C72" s="95" t="str">
        <f t="shared" si="2"/>
        <v>ブランジスタ</v>
      </c>
      <c r="D72" s="95"/>
      <c r="E72" s="95"/>
      <c r="F72" s="95" t="s">
        <v>240</v>
      </c>
      <c r="G72" s="95">
        <v>20000.0</v>
      </c>
      <c r="H72" s="95">
        <v>0.0</v>
      </c>
      <c r="I72" s="95">
        <v>0.0</v>
      </c>
      <c r="J72" s="95">
        <v>0.0</v>
      </c>
      <c r="K72" s="95">
        <v>0.0</v>
      </c>
      <c r="L72" s="95">
        <v>0.0</v>
      </c>
      <c r="M72" s="95">
        <v>20000.0</v>
      </c>
      <c r="N72" s="95">
        <v>0.0</v>
      </c>
      <c r="O72" s="95">
        <v>0.0</v>
      </c>
      <c r="P72" s="95">
        <v>0.0</v>
      </c>
      <c r="Q72" s="95">
        <v>0.0</v>
      </c>
      <c r="R72" s="95">
        <v>0.0</v>
      </c>
      <c r="S72" s="95">
        <v>0.0</v>
      </c>
      <c r="T72" s="95">
        <v>0.0</v>
      </c>
      <c r="U72" s="95">
        <v>20000.0</v>
      </c>
      <c r="V72" s="95">
        <v>20000.0</v>
      </c>
      <c r="W72" s="95">
        <v>0.0</v>
      </c>
      <c r="X72" s="95">
        <v>0.0</v>
      </c>
      <c r="Y72" s="95">
        <v>0.0</v>
      </c>
      <c r="Z72" s="95">
        <v>0.0</v>
      </c>
      <c r="AA72" s="95">
        <v>40000.0</v>
      </c>
      <c r="AB72" s="95">
        <v>0.0</v>
      </c>
      <c r="AC72" s="95">
        <v>0.0</v>
      </c>
      <c r="AD72" s="95">
        <v>0.0</v>
      </c>
      <c r="AE72" s="95">
        <v>0.0</v>
      </c>
      <c r="AF72" s="95"/>
      <c r="AG72" s="95"/>
      <c r="AH72" s="95"/>
      <c r="AI72" s="95"/>
      <c r="AJ72" s="95"/>
      <c r="AK72" s="95"/>
      <c r="AL72" s="95"/>
      <c r="AM72" s="95"/>
      <c r="AN72" s="95"/>
    </row>
    <row r="73" ht="14.25" customHeight="1">
      <c r="B73" s="507">
        <f t="shared" si="1"/>
        <v>0</v>
      </c>
      <c r="C73" s="95" t="str">
        <f t="shared" si="2"/>
        <v>販売促進費</v>
      </c>
      <c r="D73" s="95"/>
      <c r="E73" s="95" t="s">
        <v>56</v>
      </c>
      <c r="F73" s="95"/>
      <c r="G73" s="95">
        <v>211592.0</v>
      </c>
      <c r="H73" s="95">
        <v>0.0</v>
      </c>
      <c r="I73" s="95">
        <v>257730.0</v>
      </c>
      <c r="J73" s="95">
        <v>0.0</v>
      </c>
      <c r="K73" s="95">
        <v>0.0</v>
      </c>
      <c r="L73" s="95">
        <v>0.0</v>
      </c>
      <c r="M73" s="95">
        <v>469322.0</v>
      </c>
      <c r="N73" s="95">
        <v>556519.0</v>
      </c>
      <c r="O73" s="95">
        <v>646499.0</v>
      </c>
      <c r="P73" s="95">
        <v>0.0</v>
      </c>
      <c r="Q73" s="95">
        <v>0.0</v>
      </c>
      <c r="R73" s="95">
        <v>0.0</v>
      </c>
      <c r="S73" s="95">
        <v>0.0</v>
      </c>
      <c r="T73" s="95">
        <v>1203018.0</v>
      </c>
      <c r="U73" s="95">
        <v>-92426.0</v>
      </c>
      <c r="V73" s="95">
        <v>1061169.0</v>
      </c>
      <c r="W73" s="95">
        <v>0.0</v>
      </c>
      <c r="X73" s="95">
        <v>163077.0</v>
      </c>
      <c r="Y73" s="95">
        <v>0.0</v>
      </c>
      <c r="Z73" s="95">
        <v>0.0</v>
      </c>
      <c r="AA73" s="95">
        <v>1131820.0</v>
      </c>
      <c r="AB73" s="95">
        <v>0.0</v>
      </c>
      <c r="AC73" s="95">
        <v>0.0</v>
      </c>
      <c r="AD73" s="95">
        <v>0.0</v>
      </c>
      <c r="AE73" s="95">
        <v>0.0</v>
      </c>
      <c r="AF73" s="95"/>
      <c r="AG73" s="95"/>
      <c r="AH73" s="95"/>
      <c r="AI73" s="95"/>
      <c r="AJ73" s="95"/>
      <c r="AK73" s="95"/>
      <c r="AL73" s="95"/>
      <c r="AM73" s="95"/>
      <c r="AN73" s="95"/>
    </row>
    <row r="74" ht="14.25" customHeight="1">
      <c r="B74" s="507">
        <f t="shared" si="1"/>
        <v>0</v>
      </c>
      <c r="C74" s="95" t="str">
        <f t="shared" si="2"/>
        <v>じゃらん</v>
      </c>
      <c r="D74" s="95"/>
      <c r="E74" s="95"/>
      <c r="F74" s="95" t="s">
        <v>241</v>
      </c>
      <c r="G74" s="95">
        <v>146689.0</v>
      </c>
      <c r="H74" s="95">
        <v>0.0</v>
      </c>
      <c r="I74" s="95">
        <v>192967.0</v>
      </c>
      <c r="J74" s="95">
        <v>0.0</v>
      </c>
      <c r="K74" s="95">
        <v>0.0</v>
      </c>
      <c r="L74" s="95">
        <v>0.0</v>
      </c>
      <c r="M74" s="95">
        <v>339656.0</v>
      </c>
      <c r="N74" s="95">
        <v>99320.0</v>
      </c>
      <c r="O74" s="95">
        <v>120528.0</v>
      </c>
      <c r="P74" s="95">
        <v>0.0</v>
      </c>
      <c r="Q74" s="95">
        <v>0.0</v>
      </c>
      <c r="R74" s="95">
        <v>0.0</v>
      </c>
      <c r="S74" s="95">
        <v>0.0</v>
      </c>
      <c r="T74" s="95">
        <v>219848.0</v>
      </c>
      <c r="U74" s="95">
        <v>27631.0</v>
      </c>
      <c r="V74" s="95">
        <v>285876.0</v>
      </c>
      <c r="W74" s="95">
        <v>0.0</v>
      </c>
      <c r="X74" s="95">
        <v>42734.0</v>
      </c>
      <c r="Y74" s="95">
        <v>0.0</v>
      </c>
      <c r="Z74" s="95">
        <v>0.0</v>
      </c>
      <c r="AA74" s="95">
        <v>356241.0</v>
      </c>
      <c r="AB74" s="95">
        <v>0.0</v>
      </c>
      <c r="AC74" s="95">
        <v>0.0</v>
      </c>
      <c r="AD74" s="95">
        <v>0.0</v>
      </c>
      <c r="AE74" s="95">
        <v>0.0</v>
      </c>
      <c r="AF74" s="95"/>
      <c r="AG74" s="95"/>
      <c r="AH74" s="95"/>
      <c r="AI74" s="95"/>
      <c r="AJ74" s="95"/>
      <c r="AK74" s="95"/>
      <c r="AL74" s="95"/>
      <c r="AM74" s="95"/>
      <c r="AN74" s="95"/>
    </row>
    <row r="75" ht="14.25" customHeight="1">
      <c r="B75" s="507">
        <f t="shared" si="1"/>
        <v>0</v>
      </c>
      <c r="C75" s="95" t="str">
        <f t="shared" si="2"/>
        <v>楽天</v>
      </c>
      <c r="D75" s="95"/>
      <c r="E75" s="95"/>
      <c r="F75" s="95" t="s">
        <v>239</v>
      </c>
      <c r="G75" s="95">
        <v>22760.0</v>
      </c>
      <c r="H75" s="95">
        <v>0.0</v>
      </c>
      <c r="I75" s="95">
        <v>50361.0</v>
      </c>
      <c r="J75" s="95">
        <v>0.0</v>
      </c>
      <c r="K75" s="95">
        <v>0.0</v>
      </c>
      <c r="L75" s="95">
        <v>0.0</v>
      </c>
      <c r="M75" s="95">
        <v>73121.0</v>
      </c>
      <c r="N75" s="95">
        <v>298720.0</v>
      </c>
      <c r="O75" s="95">
        <v>519604.0</v>
      </c>
      <c r="P75" s="95">
        <v>0.0</v>
      </c>
      <c r="Q75" s="95">
        <v>0.0</v>
      </c>
      <c r="R75" s="95">
        <v>0.0</v>
      </c>
      <c r="S75" s="95">
        <v>0.0</v>
      </c>
      <c r="T75" s="95">
        <v>818324.0</v>
      </c>
      <c r="U75" s="95">
        <v>85052.0</v>
      </c>
      <c r="V75" s="95">
        <v>600811.0</v>
      </c>
      <c r="W75" s="95">
        <v>0.0</v>
      </c>
      <c r="X75" s="95">
        <v>67870.0</v>
      </c>
      <c r="Y75" s="95">
        <v>0.0</v>
      </c>
      <c r="Z75" s="95">
        <v>0.0</v>
      </c>
      <c r="AA75" s="95">
        <v>753733.0</v>
      </c>
      <c r="AB75" s="95">
        <v>0.0</v>
      </c>
      <c r="AC75" s="95">
        <v>0.0</v>
      </c>
      <c r="AD75" s="95">
        <v>0.0</v>
      </c>
      <c r="AE75" s="95">
        <v>0.0</v>
      </c>
      <c r="AF75" s="95"/>
      <c r="AG75" s="95"/>
      <c r="AH75" s="95"/>
      <c r="AI75" s="95"/>
      <c r="AJ75" s="95"/>
      <c r="AK75" s="95"/>
      <c r="AL75" s="95"/>
      <c r="AM75" s="95"/>
      <c r="AN75" s="95"/>
    </row>
    <row r="76" ht="14.25" customHeight="1">
      <c r="B76" s="507">
        <f t="shared" si="1"/>
        <v>0</v>
      </c>
      <c r="C76" s="95" t="str">
        <f t="shared" si="2"/>
        <v>宿クーポン</v>
      </c>
      <c r="D76" s="95"/>
      <c r="E76" s="95"/>
      <c r="F76" s="95" t="s">
        <v>242</v>
      </c>
      <c r="G76" s="95">
        <v>17023.0</v>
      </c>
      <c r="H76" s="95">
        <v>0.0</v>
      </c>
      <c r="I76" s="95">
        <v>12710.0</v>
      </c>
      <c r="J76" s="95">
        <v>0.0</v>
      </c>
      <c r="K76" s="95">
        <v>0.0</v>
      </c>
      <c r="L76" s="95">
        <v>0.0</v>
      </c>
      <c r="M76" s="95">
        <v>29733.0</v>
      </c>
      <c r="N76" s="95">
        <v>158479.0</v>
      </c>
      <c r="O76" s="95">
        <v>5457.0</v>
      </c>
      <c r="P76" s="95">
        <v>0.0</v>
      </c>
      <c r="Q76" s="95">
        <v>0.0</v>
      </c>
      <c r="R76" s="95">
        <v>0.0</v>
      </c>
      <c r="S76" s="95">
        <v>0.0</v>
      </c>
      <c r="T76" s="95">
        <v>163936.0</v>
      </c>
      <c r="U76" s="95">
        <v>0.0</v>
      </c>
      <c r="V76" s="95">
        <v>0.0</v>
      </c>
      <c r="W76" s="95">
        <v>0.0</v>
      </c>
      <c r="X76" s="95">
        <v>52473.0</v>
      </c>
      <c r="Y76" s="95">
        <v>0.0</v>
      </c>
      <c r="Z76" s="95">
        <v>0.0</v>
      </c>
      <c r="AA76" s="95">
        <v>52473.0</v>
      </c>
      <c r="AB76" s="95">
        <v>0.0</v>
      </c>
      <c r="AC76" s="95">
        <v>0.0</v>
      </c>
      <c r="AD76" s="95">
        <v>0.0</v>
      </c>
      <c r="AE76" s="95">
        <v>0.0</v>
      </c>
      <c r="AF76" s="95"/>
      <c r="AG76" s="95"/>
      <c r="AH76" s="95"/>
      <c r="AI76" s="95"/>
      <c r="AJ76" s="95"/>
      <c r="AK76" s="95"/>
      <c r="AL76" s="95"/>
      <c r="AM76" s="95"/>
      <c r="AN76" s="95"/>
    </row>
    <row r="77" ht="14.25" customHeight="1">
      <c r="B77" s="507">
        <f t="shared" si="1"/>
        <v>0</v>
      </c>
      <c r="C77" s="95" t="str">
        <f t="shared" si="2"/>
        <v>一休</v>
      </c>
      <c r="D77" s="95"/>
      <c r="E77" s="95"/>
      <c r="F77" s="95" t="s">
        <v>243</v>
      </c>
      <c r="G77" s="95">
        <v>25120.0</v>
      </c>
      <c r="H77" s="95">
        <v>0.0</v>
      </c>
      <c r="I77" s="95">
        <v>0.0</v>
      </c>
      <c r="J77" s="95">
        <v>0.0</v>
      </c>
      <c r="K77" s="95">
        <v>0.0</v>
      </c>
      <c r="L77" s="95">
        <v>0.0</v>
      </c>
      <c r="M77" s="95">
        <v>25120.0</v>
      </c>
      <c r="N77" s="95">
        <v>0.0</v>
      </c>
      <c r="O77" s="95">
        <v>0.0</v>
      </c>
      <c r="P77" s="95">
        <v>0.0</v>
      </c>
      <c r="Q77" s="95">
        <v>0.0</v>
      </c>
      <c r="R77" s="95">
        <v>0.0</v>
      </c>
      <c r="S77" s="95">
        <v>0.0</v>
      </c>
      <c r="T77" s="95">
        <v>0.0</v>
      </c>
      <c r="U77" s="95">
        <v>-56239.0</v>
      </c>
      <c r="V77" s="95">
        <v>0.0</v>
      </c>
      <c r="W77" s="95">
        <v>0.0</v>
      </c>
      <c r="X77" s="95">
        <v>0.0</v>
      </c>
      <c r="Y77" s="95">
        <v>0.0</v>
      </c>
      <c r="Z77" s="95">
        <v>0.0</v>
      </c>
      <c r="AA77" s="95">
        <v>-56239.0</v>
      </c>
      <c r="AB77" s="95">
        <v>0.0</v>
      </c>
      <c r="AC77" s="95">
        <v>0.0</v>
      </c>
      <c r="AD77" s="95">
        <v>0.0</v>
      </c>
      <c r="AE77" s="95">
        <v>0.0</v>
      </c>
      <c r="AF77" s="95"/>
      <c r="AG77" s="95"/>
      <c r="AH77" s="95"/>
      <c r="AI77" s="95"/>
      <c r="AJ77" s="95"/>
      <c r="AK77" s="95"/>
      <c r="AL77" s="95"/>
      <c r="AM77" s="95"/>
      <c r="AN77" s="95"/>
    </row>
    <row r="78" ht="14.25" customHeight="1">
      <c r="B78" s="507">
        <f t="shared" si="1"/>
        <v>0</v>
      </c>
      <c r="C78" s="95" t="str">
        <f t="shared" si="2"/>
        <v>他勘定振替</v>
      </c>
      <c r="D78" s="95"/>
      <c r="E78" s="95"/>
      <c r="F78" s="95" t="s">
        <v>244</v>
      </c>
      <c r="G78" s="95">
        <v>0.0</v>
      </c>
      <c r="H78" s="95">
        <v>0.0</v>
      </c>
      <c r="I78" s="95">
        <v>0.0</v>
      </c>
      <c r="J78" s="95">
        <v>0.0</v>
      </c>
      <c r="K78" s="95">
        <v>0.0</v>
      </c>
      <c r="L78" s="95">
        <v>0.0</v>
      </c>
      <c r="M78" s="95">
        <v>0.0</v>
      </c>
      <c r="N78" s="95">
        <v>0.0</v>
      </c>
      <c r="O78" s="95">
        <v>0.0</v>
      </c>
      <c r="P78" s="95">
        <v>0.0</v>
      </c>
      <c r="Q78" s="95">
        <v>0.0</v>
      </c>
      <c r="R78" s="95">
        <v>0.0</v>
      </c>
      <c r="S78" s="95">
        <v>0.0</v>
      </c>
      <c r="T78" s="95">
        <v>0.0</v>
      </c>
      <c r="U78" s="95">
        <v>-148870.0</v>
      </c>
      <c r="V78" s="95">
        <v>0.0</v>
      </c>
      <c r="W78" s="95">
        <v>0.0</v>
      </c>
      <c r="X78" s="95">
        <v>0.0</v>
      </c>
      <c r="Y78" s="95">
        <v>0.0</v>
      </c>
      <c r="Z78" s="95">
        <v>0.0</v>
      </c>
      <c r="AA78" s="95">
        <v>-148870.0</v>
      </c>
      <c r="AB78" s="95">
        <v>0.0</v>
      </c>
      <c r="AC78" s="95">
        <v>0.0</v>
      </c>
      <c r="AD78" s="95">
        <v>0.0</v>
      </c>
      <c r="AE78" s="95">
        <v>0.0</v>
      </c>
      <c r="AF78" s="95"/>
      <c r="AG78" s="95"/>
      <c r="AH78" s="95"/>
      <c r="AI78" s="95"/>
      <c r="AJ78" s="95"/>
      <c r="AK78" s="95"/>
      <c r="AL78" s="95"/>
      <c r="AM78" s="95"/>
      <c r="AN78" s="95"/>
    </row>
    <row r="79" ht="14.25" customHeight="1">
      <c r="B79" s="507">
        <f t="shared" si="1"/>
        <v>0</v>
      </c>
      <c r="C79" s="95" t="str">
        <f t="shared" si="2"/>
        <v>補助科目なし</v>
      </c>
      <c r="D79" s="95"/>
      <c r="E79" s="95"/>
      <c r="F79" s="95" t="s">
        <v>199</v>
      </c>
      <c r="G79" s="95">
        <v>0.0</v>
      </c>
      <c r="H79" s="95">
        <v>0.0</v>
      </c>
      <c r="I79" s="95">
        <v>1692.0</v>
      </c>
      <c r="J79" s="95">
        <v>0.0</v>
      </c>
      <c r="K79" s="95">
        <v>0.0</v>
      </c>
      <c r="L79" s="95">
        <v>0.0</v>
      </c>
      <c r="M79" s="95">
        <v>1692.0</v>
      </c>
      <c r="N79" s="95">
        <v>0.0</v>
      </c>
      <c r="O79" s="95">
        <v>910.0</v>
      </c>
      <c r="P79" s="95">
        <v>0.0</v>
      </c>
      <c r="Q79" s="95">
        <v>0.0</v>
      </c>
      <c r="R79" s="95">
        <v>0.0</v>
      </c>
      <c r="S79" s="95">
        <v>0.0</v>
      </c>
      <c r="T79" s="95">
        <v>910.0</v>
      </c>
      <c r="U79" s="95">
        <v>0.0</v>
      </c>
      <c r="V79" s="95">
        <v>174482.0</v>
      </c>
      <c r="W79" s="95">
        <v>0.0</v>
      </c>
      <c r="X79" s="95">
        <v>0.0</v>
      </c>
      <c r="Y79" s="95">
        <v>0.0</v>
      </c>
      <c r="Z79" s="95">
        <v>0.0</v>
      </c>
      <c r="AA79" s="95">
        <v>174482.0</v>
      </c>
      <c r="AB79" s="95">
        <v>0.0</v>
      </c>
      <c r="AC79" s="95">
        <v>0.0</v>
      </c>
      <c r="AD79" s="95">
        <v>0.0</v>
      </c>
      <c r="AE79" s="95">
        <v>0.0</v>
      </c>
      <c r="AF79" s="95"/>
      <c r="AG79" s="95"/>
      <c r="AH79" s="95"/>
      <c r="AI79" s="95"/>
      <c r="AJ79" s="95"/>
      <c r="AK79" s="95"/>
      <c r="AL79" s="95"/>
      <c r="AM79" s="95"/>
      <c r="AN79" s="95"/>
    </row>
    <row r="80" ht="14.25" customHeight="1">
      <c r="B80" s="507">
        <f t="shared" si="1"/>
        <v>0</v>
      </c>
      <c r="C80" s="95" t="str">
        <f t="shared" si="2"/>
        <v>送客手数料</v>
      </c>
      <c r="D80" s="95"/>
      <c r="E80" s="95" t="s">
        <v>57</v>
      </c>
      <c r="F80" s="95"/>
      <c r="G80" s="95">
        <v>881249.0</v>
      </c>
      <c r="H80" s="95">
        <v>0.0</v>
      </c>
      <c r="I80" s="95">
        <v>1153579.0</v>
      </c>
      <c r="J80" s="95">
        <v>0.0</v>
      </c>
      <c r="K80" s="95">
        <v>0.0</v>
      </c>
      <c r="L80" s="95">
        <v>0.0</v>
      </c>
      <c r="M80" s="95">
        <v>2034828.0</v>
      </c>
      <c r="N80" s="95">
        <v>1194088.0</v>
      </c>
      <c r="O80" s="95">
        <v>822271.0</v>
      </c>
      <c r="P80" s="95">
        <v>0.0</v>
      </c>
      <c r="Q80" s="95">
        <v>0.0</v>
      </c>
      <c r="R80" s="95">
        <v>0.0</v>
      </c>
      <c r="S80" s="95">
        <v>0.0</v>
      </c>
      <c r="T80" s="95">
        <v>2016359.0</v>
      </c>
      <c r="U80" s="95">
        <v>373476.0</v>
      </c>
      <c r="V80" s="95">
        <v>3887283.0</v>
      </c>
      <c r="W80" s="95">
        <v>0.0</v>
      </c>
      <c r="X80" s="95">
        <v>595559.0</v>
      </c>
      <c r="Y80" s="95">
        <v>0.0</v>
      </c>
      <c r="Z80" s="95">
        <v>0.0</v>
      </c>
      <c r="AA80" s="95">
        <v>4856318.0</v>
      </c>
      <c r="AB80" s="95">
        <v>0.0</v>
      </c>
      <c r="AC80" s="95">
        <v>0.0</v>
      </c>
      <c r="AD80" s="95">
        <v>0.0</v>
      </c>
      <c r="AE80" s="95">
        <v>0.0</v>
      </c>
      <c r="AF80" s="95"/>
      <c r="AG80" s="95"/>
      <c r="AH80" s="95"/>
      <c r="AI80" s="95"/>
      <c r="AJ80" s="95"/>
      <c r="AK80" s="95"/>
      <c r="AL80" s="95"/>
      <c r="AM80" s="95"/>
      <c r="AN80" s="95"/>
    </row>
    <row r="81" ht="14.25" customHeight="1">
      <c r="B81" s="507">
        <f t="shared" si="1"/>
        <v>0</v>
      </c>
      <c r="C81" s="95" t="str">
        <f t="shared" si="2"/>
        <v>じゃらん</v>
      </c>
      <c r="D81" s="95"/>
      <c r="E81" s="95"/>
      <c r="F81" s="95" t="s">
        <v>241</v>
      </c>
      <c r="G81" s="95">
        <v>96689.0</v>
      </c>
      <c r="H81" s="95">
        <v>0.0</v>
      </c>
      <c r="I81" s="95">
        <v>474280.0</v>
      </c>
      <c r="J81" s="95">
        <v>0.0</v>
      </c>
      <c r="K81" s="95">
        <v>0.0</v>
      </c>
      <c r="L81" s="95">
        <v>0.0</v>
      </c>
      <c r="M81" s="95">
        <v>570969.0</v>
      </c>
      <c r="N81" s="95">
        <v>26390.0</v>
      </c>
      <c r="O81" s="95">
        <v>136743.0</v>
      </c>
      <c r="P81" s="95">
        <v>0.0</v>
      </c>
      <c r="Q81" s="95">
        <v>0.0</v>
      </c>
      <c r="R81" s="95">
        <v>0.0</v>
      </c>
      <c r="S81" s="95">
        <v>0.0</v>
      </c>
      <c r="T81" s="95">
        <v>163133.0</v>
      </c>
      <c r="U81" s="95">
        <v>14461.0</v>
      </c>
      <c r="V81" s="95">
        <v>731424.0</v>
      </c>
      <c r="W81" s="95">
        <v>0.0</v>
      </c>
      <c r="X81" s="95">
        <v>105518.0</v>
      </c>
      <c r="Y81" s="95">
        <v>0.0</v>
      </c>
      <c r="Z81" s="95">
        <v>0.0</v>
      </c>
      <c r="AA81" s="95">
        <v>851403.0</v>
      </c>
      <c r="AB81" s="95">
        <v>0.0</v>
      </c>
      <c r="AC81" s="95">
        <v>0.0</v>
      </c>
      <c r="AD81" s="95">
        <v>0.0</v>
      </c>
      <c r="AE81" s="95">
        <v>0.0</v>
      </c>
      <c r="AF81" s="95"/>
      <c r="AG81" s="95"/>
      <c r="AH81" s="95"/>
      <c r="AI81" s="95"/>
      <c r="AJ81" s="95"/>
      <c r="AK81" s="95"/>
      <c r="AL81" s="95"/>
      <c r="AM81" s="95"/>
      <c r="AN81" s="95"/>
    </row>
    <row r="82" ht="14.25" customHeight="1">
      <c r="B82" s="507">
        <f t="shared" si="1"/>
        <v>0</v>
      </c>
      <c r="C82" s="95" t="str">
        <f t="shared" si="2"/>
        <v>楽天</v>
      </c>
      <c r="D82" s="95"/>
      <c r="E82" s="95"/>
      <c r="F82" s="95" t="s">
        <v>239</v>
      </c>
      <c r="G82" s="95">
        <v>319634.0</v>
      </c>
      <c r="H82" s="95">
        <v>0.0</v>
      </c>
      <c r="I82" s="95">
        <v>498933.0</v>
      </c>
      <c r="J82" s="95">
        <v>0.0</v>
      </c>
      <c r="K82" s="95">
        <v>0.0</v>
      </c>
      <c r="L82" s="95">
        <v>0.0</v>
      </c>
      <c r="M82" s="95">
        <v>818567.0</v>
      </c>
      <c r="N82" s="95">
        <v>1194043.0</v>
      </c>
      <c r="O82" s="95">
        <v>438844.0</v>
      </c>
      <c r="P82" s="95">
        <v>0.0</v>
      </c>
      <c r="Q82" s="95">
        <v>0.0</v>
      </c>
      <c r="R82" s="95">
        <v>0.0</v>
      </c>
      <c r="S82" s="95">
        <v>0.0</v>
      </c>
      <c r="T82" s="95">
        <v>1632887.0</v>
      </c>
      <c r="U82" s="95">
        <v>213005.0</v>
      </c>
      <c r="V82" s="95">
        <v>2025121.0</v>
      </c>
      <c r="W82" s="95">
        <v>0.0</v>
      </c>
      <c r="X82" s="95">
        <v>307536.0</v>
      </c>
      <c r="Y82" s="95">
        <v>0.0</v>
      </c>
      <c r="Z82" s="95">
        <v>0.0</v>
      </c>
      <c r="AA82" s="95">
        <v>2545662.0</v>
      </c>
      <c r="AB82" s="95">
        <v>0.0</v>
      </c>
      <c r="AC82" s="95">
        <v>0.0</v>
      </c>
      <c r="AD82" s="95">
        <v>0.0</v>
      </c>
      <c r="AE82" s="95">
        <v>0.0</v>
      </c>
      <c r="AF82" s="95"/>
      <c r="AG82" s="95"/>
      <c r="AH82" s="95"/>
      <c r="AI82" s="95"/>
      <c r="AJ82" s="95"/>
      <c r="AK82" s="95"/>
      <c r="AL82" s="95"/>
      <c r="AM82" s="95"/>
      <c r="AN82" s="95"/>
    </row>
    <row r="83" ht="14.25" customHeight="1">
      <c r="B83" s="507">
        <f t="shared" si="1"/>
        <v>0</v>
      </c>
      <c r="C83" s="95" t="str">
        <f t="shared" si="2"/>
        <v>ブッキング</v>
      </c>
      <c r="D83" s="95"/>
      <c r="E83" s="95"/>
      <c r="F83" s="95" t="s">
        <v>245</v>
      </c>
      <c r="G83" s="95">
        <v>125068.0</v>
      </c>
      <c r="H83" s="95">
        <v>0.0</v>
      </c>
      <c r="I83" s="95">
        <v>51138.0</v>
      </c>
      <c r="J83" s="95">
        <v>0.0</v>
      </c>
      <c r="K83" s="95">
        <v>0.0</v>
      </c>
      <c r="L83" s="95">
        <v>0.0</v>
      </c>
      <c r="M83" s="95">
        <v>176206.0</v>
      </c>
      <c r="N83" s="95">
        <v>17665.0</v>
      </c>
      <c r="O83" s="95">
        <v>57815.0</v>
      </c>
      <c r="P83" s="95">
        <v>0.0</v>
      </c>
      <c r="Q83" s="95">
        <v>0.0</v>
      </c>
      <c r="R83" s="95">
        <v>0.0</v>
      </c>
      <c r="S83" s="95">
        <v>0.0</v>
      </c>
      <c r="T83" s="95">
        <v>75480.0</v>
      </c>
      <c r="U83" s="95">
        <v>105722.0</v>
      </c>
      <c r="V83" s="95">
        <v>240993.0</v>
      </c>
      <c r="W83" s="95">
        <v>0.0</v>
      </c>
      <c r="X83" s="95">
        <v>0.0</v>
      </c>
      <c r="Y83" s="95">
        <v>0.0</v>
      </c>
      <c r="Z83" s="95">
        <v>0.0</v>
      </c>
      <c r="AA83" s="95">
        <v>346715.0</v>
      </c>
      <c r="AB83" s="95">
        <v>0.0</v>
      </c>
      <c r="AC83" s="95">
        <v>0.0</v>
      </c>
      <c r="AD83" s="95">
        <v>0.0</v>
      </c>
      <c r="AE83" s="95">
        <v>0.0</v>
      </c>
      <c r="AF83" s="95"/>
      <c r="AG83" s="95"/>
      <c r="AH83" s="95"/>
      <c r="AI83" s="95"/>
      <c r="AJ83" s="95"/>
      <c r="AK83" s="95"/>
      <c r="AL83" s="95"/>
      <c r="AM83" s="95"/>
      <c r="AN83" s="95"/>
    </row>
    <row r="84" ht="14.25" customHeight="1">
      <c r="B84" s="507">
        <f t="shared" si="1"/>
        <v>0</v>
      </c>
      <c r="C84" s="95" t="str">
        <f t="shared" si="2"/>
        <v>一休</v>
      </c>
      <c r="D84" s="95"/>
      <c r="E84" s="95"/>
      <c r="F84" s="95" t="s">
        <v>243</v>
      </c>
      <c r="G84" s="95">
        <v>258562.0</v>
      </c>
      <c r="H84" s="95">
        <v>0.0</v>
      </c>
      <c r="I84" s="95">
        <v>45941.0</v>
      </c>
      <c r="J84" s="95">
        <v>0.0</v>
      </c>
      <c r="K84" s="95">
        <v>0.0</v>
      </c>
      <c r="L84" s="95">
        <v>0.0</v>
      </c>
      <c r="M84" s="95">
        <v>304503.0</v>
      </c>
      <c r="N84" s="95">
        <v>7276.0</v>
      </c>
      <c r="O84" s="95">
        <v>-21645.0</v>
      </c>
      <c r="P84" s="95">
        <v>0.0</v>
      </c>
      <c r="Q84" s="95">
        <v>0.0</v>
      </c>
      <c r="R84" s="95">
        <v>0.0</v>
      </c>
      <c r="S84" s="95">
        <v>0.0</v>
      </c>
      <c r="T84" s="95">
        <v>-14369.0</v>
      </c>
      <c r="U84" s="95">
        <v>19486.0</v>
      </c>
      <c r="V84" s="95">
        <v>0.0</v>
      </c>
      <c r="W84" s="95">
        <v>0.0</v>
      </c>
      <c r="X84" s="95">
        <v>0.0</v>
      </c>
      <c r="Y84" s="95">
        <v>0.0</v>
      </c>
      <c r="Z84" s="95">
        <v>0.0</v>
      </c>
      <c r="AA84" s="95">
        <v>19486.0</v>
      </c>
      <c r="AB84" s="95">
        <v>0.0</v>
      </c>
      <c r="AC84" s="95">
        <v>0.0</v>
      </c>
      <c r="AD84" s="95">
        <v>0.0</v>
      </c>
      <c r="AE84" s="95">
        <v>0.0</v>
      </c>
      <c r="AF84" s="95"/>
      <c r="AG84" s="95"/>
      <c r="AH84" s="95"/>
      <c r="AI84" s="95"/>
      <c r="AJ84" s="95"/>
      <c r="AK84" s="95"/>
      <c r="AL84" s="95"/>
      <c r="AM84" s="95"/>
      <c r="AN84" s="95"/>
    </row>
    <row r="85" ht="14.25" customHeight="1">
      <c r="B85" s="507">
        <f t="shared" si="1"/>
        <v>0</v>
      </c>
      <c r="C85" s="95" t="str">
        <f t="shared" si="2"/>
        <v>ﾀﾞｲﾚｸﾄｲﾝpaypay決済</v>
      </c>
      <c r="D85" s="95"/>
      <c r="E85" s="95"/>
      <c r="F85" s="95" t="s">
        <v>246</v>
      </c>
      <c r="G85" s="95">
        <v>0.0</v>
      </c>
      <c r="H85" s="95">
        <v>0.0</v>
      </c>
      <c r="I85" s="95">
        <v>11532.0</v>
      </c>
      <c r="J85" s="95">
        <v>0.0</v>
      </c>
      <c r="K85" s="95">
        <v>0.0</v>
      </c>
      <c r="L85" s="95">
        <v>0.0</v>
      </c>
      <c r="M85" s="95">
        <v>11532.0</v>
      </c>
      <c r="N85" s="95">
        <v>0.0</v>
      </c>
      <c r="O85" s="95">
        <v>0.0</v>
      </c>
      <c r="P85" s="95">
        <v>0.0</v>
      </c>
      <c r="Q85" s="95">
        <v>0.0</v>
      </c>
      <c r="R85" s="95">
        <v>0.0</v>
      </c>
      <c r="S85" s="95">
        <v>0.0</v>
      </c>
      <c r="T85" s="95">
        <v>0.0</v>
      </c>
      <c r="U85" s="95">
        <v>1495.0</v>
      </c>
      <c r="V85" s="95">
        <v>20486.0</v>
      </c>
      <c r="W85" s="95">
        <v>0.0</v>
      </c>
      <c r="X85" s="95">
        <v>0.0</v>
      </c>
      <c r="Y85" s="95">
        <v>0.0</v>
      </c>
      <c r="Z85" s="95">
        <v>0.0</v>
      </c>
      <c r="AA85" s="95">
        <v>21981.0</v>
      </c>
      <c r="AB85" s="95">
        <v>0.0</v>
      </c>
      <c r="AC85" s="95">
        <v>0.0</v>
      </c>
      <c r="AD85" s="95">
        <v>0.0</v>
      </c>
      <c r="AE85" s="95">
        <v>0.0</v>
      </c>
      <c r="AF85" s="95"/>
      <c r="AG85" s="95"/>
      <c r="AH85" s="95"/>
      <c r="AI85" s="95"/>
      <c r="AJ85" s="95"/>
      <c r="AK85" s="95"/>
      <c r="AL85" s="95"/>
      <c r="AM85" s="95"/>
      <c r="AN85" s="95"/>
    </row>
    <row r="86" ht="14.25" customHeight="1">
      <c r="B86" s="507">
        <f t="shared" si="1"/>
        <v>0</v>
      </c>
      <c r="C86" s="95" t="str">
        <f t="shared" si="2"/>
        <v>ﾘｸﾙｰﾄ事前決済</v>
      </c>
      <c r="D86" s="95"/>
      <c r="E86" s="95"/>
      <c r="F86" s="95" t="s">
        <v>247</v>
      </c>
      <c r="G86" s="95">
        <v>185.0</v>
      </c>
      <c r="H86" s="95">
        <v>0.0</v>
      </c>
      <c r="I86" s="95">
        <v>2100.0</v>
      </c>
      <c r="J86" s="95">
        <v>0.0</v>
      </c>
      <c r="K86" s="95">
        <v>0.0</v>
      </c>
      <c r="L86" s="95">
        <v>0.0</v>
      </c>
      <c r="M86" s="95">
        <v>2285.0</v>
      </c>
      <c r="N86" s="95">
        <v>60.0</v>
      </c>
      <c r="O86" s="95">
        <v>405.0</v>
      </c>
      <c r="P86" s="95">
        <v>0.0</v>
      </c>
      <c r="Q86" s="95">
        <v>0.0</v>
      </c>
      <c r="R86" s="95">
        <v>0.0</v>
      </c>
      <c r="S86" s="95">
        <v>0.0</v>
      </c>
      <c r="T86" s="95">
        <v>465.0</v>
      </c>
      <c r="U86" s="95">
        <v>30.0</v>
      </c>
      <c r="V86" s="95">
        <v>1875.0</v>
      </c>
      <c r="W86" s="95">
        <v>0.0</v>
      </c>
      <c r="X86" s="95">
        <v>960.0</v>
      </c>
      <c r="Y86" s="95">
        <v>0.0</v>
      </c>
      <c r="Z86" s="95">
        <v>0.0</v>
      </c>
      <c r="AA86" s="95">
        <v>2865.0</v>
      </c>
      <c r="AB86" s="95">
        <v>0.0</v>
      </c>
      <c r="AC86" s="95">
        <v>0.0</v>
      </c>
      <c r="AD86" s="95">
        <v>0.0</v>
      </c>
      <c r="AE86" s="95">
        <v>0.0</v>
      </c>
      <c r="AF86" s="95"/>
      <c r="AG86" s="95"/>
      <c r="AH86" s="95"/>
      <c r="AI86" s="95"/>
      <c r="AJ86" s="95"/>
      <c r="AK86" s="95"/>
      <c r="AL86" s="95"/>
      <c r="AM86" s="95"/>
      <c r="AN86" s="95"/>
    </row>
    <row r="87" ht="14.25" customHeight="1">
      <c r="B87" s="507">
        <f t="shared" si="1"/>
        <v>0</v>
      </c>
      <c r="C87" s="95" t="str">
        <f t="shared" si="2"/>
        <v>ダイナテック</v>
      </c>
      <c r="D87" s="95"/>
      <c r="E87" s="95"/>
      <c r="F87" s="95" t="s">
        <v>248</v>
      </c>
      <c r="G87" s="95">
        <v>0.0</v>
      </c>
      <c r="H87" s="95">
        <v>0.0</v>
      </c>
      <c r="I87" s="95">
        <v>0.0</v>
      </c>
      <c r="J87" s="95">
        <v>0.0</v>
      </c>
      <c r="K87" s="95">
        <v>0.0</v>
      </c>
      <c r="L87" s="95">
        <v>0.0</v>
      </c>
      <c r="M87" s="95">
        <v>0.0</v>
      </c>
      <c r="N87" s="95">
        <v>0.0</v>
      </c>
      <c r="O87" s="95">
        <v>0.0</v>
      </c>
      <c r="P87" s="95">
        <v>0.0</v>
      </c>
      <c r="Q87" s="95">
        <v>0.0</v>
      </c>
      <c r="R87" s="95">
        <v>0.0</v>
      </c>
      <c r="S87" s="95">
        <v>0.0</v>
      </c>
      <c r="T87" s="95">
        <v>0.0</v>
      </c>
      <c r="U87" s="95">
        <v>0.0</v>
      </c>
      <c r="V87" s="95">
        <v>38468.0</v>
      </c>
      <c r="W87" s="95">
        <v>0.0</v>
      </c>
      <c r="X87" s="95">
        <v>20700.0</v>
      </c>
      <c r="Y87" s="95">
        <v>0.0</v>
      </c>
      <c r="Z87" s="95">
        <v>0.0</v>
      </c>
      <c r="AA87" s="95">
        <v>59168.0</v>
      </c>
      <c r="AB87" s="95">
        <v>0.0</v>
      </c>
      <c r="AC87" s="95">
        <v>0.0</v>
      </c>
      <c r="AD87" s="95">
        <v>0.0</v>
      </c>
      <c r="AE87" s="95">
        <v>0.0</v>
      </c>
      <c r="AF87" s="95"/>
      <c r="AG87" s="95"/>
      <c r="AH87" s="95"/>
      <c r="AI87" s="95"/>
      <c r="AJ87" s="95"/>
      <c r="AK87" s="95"/>
      <c r="AL87" s="95"/>
      <c r="AM87" s="95"/>
      <c r="AN87" s="95"/>
    </row>
    <row r="88" ht="14.25" customHeight="1">
      <c r="B88" s="507">
        <f t="shared" si="1"/>
        <v>0</v>
      </c>
      <c r="C88" s="95" t="str">
        <f t="shared" si="2"/>
        <v>JTBBook＆Pay</v>
      </c>
      <c r="D88" s="95"/>
      <c r="E88" s="95"/>
      <c r="F88" s="95" t="s">
        <v>249</v>
      </c>
      <c r="G88" s="95">
        <v>41208.0</v>
      </c>
      <c r="H88" s="95">
        <v>0.0</v>
      </c>
      <c r="I88" s="95">
        <v>44658.0</v>
      </c>
      <c r="J88" s="95">
        <v>0.0</v>
      </c>
      <c r="K88" s="95">
        <v>0.0</v>
      </c>
      <c r="L88" s="95">
        <v>0.0</v>
      </c>
      <c r="M88" s="95">
        <v>85866.0</v>
      </c>
      <c r="N88" s="95">
        <v>-2034.0</v>
      </c>
      <c r="O88" s="95">
        <v>14473.0</v>
      </c>
      <c r="P88" s="95">
        <v>0.0</v>
      </c>
      <c r="Q88" s="95">
        <v>0.0</v>
      </c>
      <c r="R88" s="95">
        <v>0.0</v>
      </c>
      <c r="S88" s="95">
        <v>0.0</v>
      </c>
      <c r="T88" s="95">
        <v>12439.0</v>
      </c>
      <c r="U88" s="95">
        <v>30663.0</v>
      </c>
      <c r="V88" s="95">
        <v>152889.0</v>
      </c>
      <c r="W88" s="95">
        <v>0.0</v>
      </c>
      <c r="X88" s="95">
        <v>65190.0</v>
      </c>
      <c r="Y88" s="95">
        <v>0.0</v>
      </c>
      <c r="Z88" s="95">
        <v>0.0</v>
      </c>
      <c r="AA88" s="95">
        <v>248742.0</v>
      </c>
      <c r="AB88" s="95">
        <v>0.0</v>
      </c>
      <c r="AC88" s="95">
        <v>0.0</v>
      </c>
      <c r="AD88" s="95">
        <v>0.0</v>
      </c>
      <c r="AE88" s="95">
        <v>0.0</v>
      </c>
      <c r="AF88" s="95"/>
      <c r="AG88" s="95"/>
      <c r="AH88" s="95"/>
      <c r="AI88" s="95"/>
      <c r="AJ88" s="95"/>
      <c r="AK88" s="95"/>
      <c r="AL88" s="95"/>
      <c r="AM88" s="95"/>
      <c r="AN88" s="95"/>
    </row>
    <row r="89" ht="14.25" customHeight="1">
      <c r="B89" s="507">
        <f t="shared" si="1"/>
        <v>0</v>
      </c>
      <c r="C89" s="95" t="str">
        <f t="shared" si="2"/>
        <v>リラックス</v>
      </c>
      <c r="D89" s="95"/>
      <c r="E89" s="95"/>
      <c r="F89" s="95" t="s">
        <v>250</v>
      </c>
      <c r="G89" s="95">
        <v>67341.0</v>
      </c>
      <c r="H89" s="95">
        <v>0.0</v>
      </c>
      <c r="I89" s="95">
        <v>0.0</v>
      </c>
      <c r="J89" s="95">
        <v>0.0</v>
      </c>
      <c r="K89" s="95">
        <v>0.0</v>
      </c>
      <c r="L89" s="95">
        <v>0.0</v>
      </c>
      <c r="M89" s="95">
        <v>67341.0</v>
      </c>
      <c r="N89" s="95">
        <v>0.0</v>
      </c>
      <c r="O89" s="95">
        <v>0.0</v>
      </c>
      <c r="P89" s="95">
        <v>0.0</v>
      </c>
      <c r="Q89" s="95">
        <v>0.0</v>
      </c>
      <c r="R89" s="95">
        <v>0.0</v>
      </c>
      <c r="S89" s="95">
        <v>0.0</v>
      </c>
      <c r="T89" s="95">
        <v>0.0</v>
      </c>
      <c r="U89" s="95">
        <v>54107.0</v>
      </c>
      <c r="V89" s="95">
        <v>8252.0</v>
      </c>
      <c r="W89" s="95">
        <v>0.0</v>
      </c>
      <c r="X89" s="95">
        <v>0.0</v>
      </c>
      <c r="Y89" s="95">
        <v>0.0</v>
      </c>
      <c r="Z89" s="95">
        <v>0.0</v>
      </c>
      <c r="AA89" s="95">
        <v>62359.0</v>
      </c>
      <c r="AB89" s="95">
        <v>0.0</v>
      </c>
      <c r="AC89" s="95">
        <v>0.0</v>
      </c>
      <c r="AD89" s="95">
        <v>0.0</v>
      </c>
      <c r="AE89" s="95">
        <v>0.0</v>
      </c>
      <c r="AF89" s="95"/>
      <c r="AG89" s="95"/>
      <c r="AH89" s="95"/>
      <c r="AI89" s="95"/>
      <c r="AJ89" s="95"/>
      <c r="AK89" s="95"/>
      <c r="AL89" s="95"/>
      <c r="AM89" s="95"/>
      <c r="AN89" s="95"/>
    </row>
    <row r="90" ht="14.25" customHeight="1">
      <c r="B90" s="507">
        <f t="shared" si="1"/>
        <v>0</v>
      </c>
      <c r="C90" s="95" t="str">
        <f t="shared" si="2"/>
        <v>agoda</v>
      </c>
      <c r="D90" s="95"/>
      <c r="E90" s="95"/>
      <c r="F90" s="95" t="s">
        <v>251</v>
      </c>
      <c r="G90" s="95">
        <v>20739.0</v>
      </c>
      <c r="H90" s="95">
        <v>0.0</v>
      </c>
      <c r="I90" s="95">
        <v>20450.0</v>
      </c>
      <c r="J90" s="95">
        <v>0.0</v>
      </c>
      <c r="K90" s="95">
        <v>0.0</v>
      </c>
      <c r="L90" s="95">
        <v>0.0</v>
      </c>
      <c r="M90" s="95">
        <v>41189.0</v>
      </c>
      <c r="N90" s="95">
        <v>-66265.0</v>
      </c>
      <c r="O90" s="95">
        <v>-2395.0</v>
      </c>
      <c r="P90" s="95">
        <v>0.0</v>
      </c>
      <c r="Q90" s="95">
        <v>0.0</v>
      </c>
      <c r="R90" s="95">
        <v>0.0</v>
      </c>
      <c r="S90" s="95">
        <v>0.0</v>
      </c>
      <c r="T90" s="95">
        <v>-68660.0</v>
      </c>
      <c r="U90" s="95">
        <v>109122.0</v>
      </c>
      <c r="V90" s="95">
        <v>296804.0</v>
      </c>
      <c r="W90" s="95">
        <v>0.0</v>
      </c>
      <c r="X90" s="95">
        <v>0.0</v>
      </c>
      <c r="Y90" s="95">
        <v>0.0</v>
      </c>
      <c r="Z90" s="95">
        <v>0.0</v>
      </c>
      <c r="AA90" s="95">
        <v>405926.0</v>
      </c>
      <c r="AB90" s="95">
        <v>0.0</v>
      </c>
      <c r="AC90" s="95">
        <v>0.0</v>
      </c>
      <c r="AD90" s="95">
        <v>0.0</v>
      </c>
      <c r="AE90" s="95">
        <v>0.0</v>
      </c>
      <c r="AF90" s="95"/>
      <c r="AG90" s="95"/>
      <c r="AH90" s="95"/>
      <c r="AI90" s="95"/>
      <c r="AJ90" s="95"/>
      <c r="AK90" s="95"/>
      <c r="AL90" s="95"/>
      <c r="AM90" s="95"/>
      <c r="AN90" s="95"/>
    </row>
    <row r="91" ht="14.25" customHeight="1">
      <c r="B91" s="507">
        <f t="shared" si="1"/>
        <v>0</v>
      </c>
      <c r="C91" s="508" t="str">
        <f t="shared" si="2"/>
        <v>Trip.com</v>
      </c>
      <c r="D91" s="95"/>
      <c r="E91" s="95"/>
      <c r="F91" s="95" t="s">
        <v>252</v>
      </c>
      <c r="G91" s="95">
        <v>-48177.0</v>
      </c>
      <c r="H91" s="95">
        <v>0.0</v>
      </c>
      <c r="I91" s="95">
        <v>4547.0</v>
      </c>
      <c r="J91" s="95">
        <v>0.0</v>
      </c>
      <c r="K91" s="95">
        <v>0.0</v>
      </c>
      <c r="L91" s="95">
        <v>0.0</v>
      </c>
      <c r="M91" s="95">
        <v>-43630.0</v>
      </c>
      <c r="N91" s="95">
        <v>16953.0</v>
      </c>
      <c r="O91" s="95">
        <v>198031.0</v>
      </c>
      <c r="P91" s="95">
        <v>0.0</v>
      </c>
      <c r="Q91" s="95">
        <v>0.0</v>
      </c>
      <c r="R91" s="95">
        <v>0.0</v>
      </c>
      <c r="S91" s="95">
        <v>0.0</v>
      </c>
      <c r="T91" s="95">
        <v>214984.0</v>
      </c>
      <c r="U91" s="95">
        <v>30687.0</v>
      </c>
      <c r="V91" s="95">
        <v>-16302.0</v>
      </c>
      <c r="W91" s="95">
        <v>0.0</v>
      </c>
      <c r="X91" s="95">
        <v>0.0</v>
      </c>
      <c r="Y91" s="95">
        <v>0.0</v>
      </c>
      <c r="Z91" s="95">
        <v>0.0</v>
      </c>
      <c r="AA91" s="95">
        <v>14385.0</v>
      </c>
      <c r="AB91" s="95">
        <v>0.0</v>
      </c>
      <c r="AC91" s="95">
        <v>0.0</v>
      </c>
      <c r="AD91" s="95">
        <v>0.0</v>
      </c>
      <c r="AE91" s="95">
        <v>0.0</v>
      </c>
      <c r="AF91" s="95"/>
      <c r="AG91" s="95"/>
      <c r="AH91" s="95"/>
      <c r="AI91" s="95"/>
      <c r="AJ91" s="95"/>
      <c r="AK91" s="95"/>
      <c r="AL91" s="95"/>
      <c r="AM91" s="95"/>
      <c r="AN91" s="95"/>
    </row>
    <row r="92" ht="14.25" customHeight="1">
      <c r="B92" s="507">
        <f t="shared" si="1"/>
        <v>0</v>
      </c>
      <c r="C92" s="95" t="str">
        <f t="shared" si="2"/>
        <v>他勘定振替</v>
      </c>
      <c r="D92" s="95"/>
      <c r="E92" s="95"/>
      <c r="F92" s="95" t="s">
        <v>244</v>
      </c>
      <c r="G92" s="95">
        <v>0.0</v>
      </c>
      <c r="H92" s="95">
        <v>0.0</v>
      </c>
      <c r="I92" s="95">
        <v>0.0</v>
      </c>
      <c r="J92" s="95">
        <v>0.0</v>
      </c>
      <c r="K92" s="95">
        <v>0.0</v>
      </c>
      <c r="L92" s="95">
        <v>0.0</v>
      </c>
      <c r="M92" s="95">
        <v>0.0</v>
      </c>
      <c r="N92" s="95">
        <v>0.0</v>
      </c>
      <c r="O92" s="95">
        <v>0.0</v>
      </c>
      <c r="P92" s="95">
        <v>0.0</v>
      </c>
      <c r="Q92" s="95">
        <v>0.0</v>
      </c>
      <c r="R92" s="95">
        <v>0.0</v>
      </c>
      <c r="S92" s="95">
        <v>0.0</v>
      </c>
      <c r="T92" s="95">
        <v>0.0</v>
      </c>
      <c r="U92" s="95">
        <v>-344448.0</v>
      </c>
      <c r="V92" s="95">
        <v>0.0</v>
      </c>
      <c r="W92" s="95">
        <v>0.0</v>
      </c>
      <c r="X92" s="95">
        <v>0.0</v>
      </c>
      <c r="Y92" s="95">
        <v>0.0</v>
      </c>
      <c r="Z92" s="95">
        <v>0.0</v>
      </c>
      <c r="AA92" s="95">
        <v>-344448.0</v>
      </c>
      <c r="AB92" s="95">
        <v>0.0</v>
      </c>
      <c r="AC92" s="95">
        <v>0.0</v>
      </c>
      <c r="AD92" s="95">
        <v>0.0</v>
      </c>
      <c r="AE92" s="95">
        <v>0.0</v>
      </c>
      <c r="AF92" s="95"/>
      <c r="AG92" s="95"/>
      <c r="AH92" s="95"/>
      <c r="AI92" s="95"/>
      <c r="AJ92" s="95"/>
      <c r="AK92" s="95"/>
      <c r="AL92" s="95"/>
      <c r="AM92" s="95"/>
      <c r="AN92" s="95"/>
    </row>
    <row r="93" ht="14.25" customHeight="1">
      <c r="B93" s="507">
        <f t="shared" si="1"/>
        <v>0</v>
      </c>
      <c r="C93" s="95" t="str">
        <f t="shared" si="2"/>
        <v>GDO</v>
      </c>
      <c r="D93" s="95"/>
      <c r="E93" s="95"/>
      <c r="F93" s="95" t="s">
        <v>253</v>
      </c>
      <c r="G93" s="95">
        <v>0.0</v>
      </c>
      <c r="H93" s="95">
        <v>0.0</v>
      </c>
      <c r="I93" s="95">
        <v>0.0</v>
      </c>
      <c r="J93" s="95">
        <v>0.0</v>
      </c>
      <c r="K93" s="95">
        <v>0.0</v>
      </c>
      <c r="L93" s="95">
        <v>0.0</v>
      </c>
      <c r="M93" s="95">
        <v>0.0</v>
      </c>
      <c r="N93" s="95">
        <v>0.0</v>
      </c>
      <c r="O93" s="95">
        <v>0.0</v>
      </c>
      <c r="P93" s="95">
        <v>0.0</v>
      </c>
      <c r="Q93" s="95">
        <v>0.0</v>
      </c>
      <c r="R93" s="95">
        <v>0.0</v>
      </c>
      <c r="S93" s="95">
        <v>0.0</v>
      </c>
      <c r="T93" s="95">
        <v>0.0</v>
      </c>
      <c r="U93" s="95">
        <v>0.0</v>
      </c>
      <c r="V93" s="95">
        <v>0.0</v>
      </c>
      <c r="W93" s="95">
        <v>0.0</v>
      </c>
      <c r="X93" s="95">
        <v>0.0</v>
      </c>
      <c r="Y93" s="95">
        <v>0.0</v>
      </c>
      <c r="Z93" s="95">
        <v>0.0</v>
      </c>
      <c r="AA93" s="95">
        <v>0.0</v>
      </c>
      <c r="AB93" s="95">
        <v>0.0</v>
      </c>
      <c r="AC93" s="95">
        <v>0.0</v>
      </c>
      <c r="AD93" s="95">
        <v>0.0</v>
      </c>
      <c r="AE93" s="95">
        <v>0.0</v>
      </c>
      <c r="AF93" s="95"/>
      <c r="AG93" s="95"/>
      <c r="AH93" s="95"/>
      <c r="AI93" s="95"/>
      <c r="AJ93" s="95"/>
      <c r="AK93" s="95"/>
      <c r="AL93" s="95"/>
      <c r="AM93" s="95"/>
      <c r="AN93" s="95"/>
    </row>
    <row r="94" ht="14.25" customHeight="1">
      <c r="B94" s="507">
        <f t="shared" si="1"/>
        <v>0</v>
      </c>
      <c r="C94" s="95" t="str">
        <f t="shared" si="2"/>
        <v>楽天GORA</v>
      </c>
      <c r="D94" s="95"/>
      <c r="E94" s="95"/>
      <c r="F94" s="95" t="s">
        <v>254</v>
      </c>
      <c r="G94" s="95">
        <v>0.0</v>
      </c>
      <c r="H94" s="95">
        <v>0.0</v>
      </c>
      <c r="I94" s="95">
        <v>0.0</v>
      </c>
      <c r="J94" s="95">
        <v>0.0</v>
      </c>
      <c r="K94" s="95">
        <v>0.0</v>
      </c>
      <c r="L94" s="95">
        <v>0.0</v>
      </c>
      <c r="M94" s="95">
        <v>0.0</v>
      </c>
      <c r="N94" s="95">
        <v>0.0</v>
      </c>
      <c r="O94" s="95">
        <v>0.0</v>
      </c>
      <c r="P94" s="95">
        <v>0.0</v>
      </c>
      <c r="Q94" s="95">
        <v>0.0</v>
      </c>
      <c r="R94" s="95">
        <v>0.0</v>
      </c>
      <c r="S94" s="95">
        <v>0.0</v>
      </c>
      <c r="T94" s="95">
        <v>0.0</v>
      </c>
      <c r="U94" s="95">
        <v>0.0</v>
      </c>
      <c r="V94" s="95">
        <v>0.0</v>
      </c>
      <c r="W94" s="95">
        <v>0.0</v>
      </c>
      <c r="X94" s="95">
        <v>0.0</v>
      </c>
      <c r="Y94" s="95">
        <v>0.0</v>
      </c>
      <c r="Z94" s="95">
        <v>0.0</v>
      </c>
      <c r="AA94" s="95">
        <v>0.0</v>
      </c>
      <c r="AB94" s="95">
        <v>0.0</v>
      </c>
      <c r="AC94" s="95">
        <v>0.0</v>
      </c>
      <c r="AD94" s="95">
        <v>0.0</v>
      </c>
      <c r="AE94" s="95">
        <v>0.0</v>
      </c>
      <c r="AF94" s="95"/>
      <c r="AG94" s="95"/>
      <c r="AH94" s="95"/>
      <c r="AI94" s="95"/>
      <c r="AJ94" s="95"/>
      <c r="AK94" s="95"/>
      <c r="AL94" s="95"/>
      <c r="AM94" s="95"/>
      <c r="AN94" s="95"/>
    </row>
    <row r="95" ht="14.25" customHeight="1">
      <c r="B95" s="507">
        <f t="shared" si="1"/>
        <v>0</v>
      </c>
      <c r="C95" s="508" t="str">
        <f t="shared" si="2"/>
        <v>Bookinng.com</v>
      </c>
      <c r="D95" s="95"/>
      <c r="E95" s="95"/>
      <c r="F95" s="95" t="s">
        <v>255</v>
      </c>
      <c r="G95" s="95">
        <v>0.0</v>
      </c>
      <c r="H95" s="95">
        <v>0.0</v>
      </c>
      <c r="I95" s="95">
        <v>0.0</v>
      </c>
      <c r="J95" s="95">
        <v>0.0</v>
      </c>
      <c r="K95" s="95">
        <v>0.0</v>
      </c>
      <c r="L95" s="95">
        <v>0.0</v>
      </c>
      <c r="M95" s="95">
        <v>0.0</v>
      </c>
      <c r="N95" s="95">
        <v>0.0</v>
      </c>
      <c r="O95" s="95">
        <v>0.0</v>
      </c>
      <c r="P95" s="95">
        <v>0.0</v>
      </c>
      <c r="Q95" s="95">
        <v>0.0</v>
      </c>
      <c r="R95" s="95">
        <v>0.0</v>
      </c>
      <c r="S95" s="95">
        <v>0.0</v>
      </c>
      <c r="T95" s="95">
        <v>0.0</v>
      </c>
      <c r="U95" s="95">
        <v>0.0</v>
      </c>
      <c r="V95" s="95">
        <v>0.0</v>
      </c>
      <c r="W95" s="95">
        <v>0.0</v>
      </c>
      <c r="X95" s="95">
        <v>6800.0</v>
      </c>
      <c r="Y95" s="95">
        <v>0.0</v>
      </c>
      <c r="Z95" s="95">
        <v>0.0</v>
      </c>
      <c r="AA95" s="95">
        <v>6800.0</v>
      </c>
      <c r="AB95" s="95">
        <v>0.0</v>
      </c>
      <c r="AC95" s="95">
        <v>0.0</v>
      </c>
      <c r="AD95" s="95">
        <v>0.0</v>
      </c>
      <c r="AE95" s="95">
        <v>0.0</v>
      </c>
      <c r="AF95" s="95"/>
      <c r="AG95" s="95"/>
      <c r="AH95" s="95"/>
      <c r="AI95" s="95"/>
      <c r="AJ95" s="95"/>
      <c r="AK95" s="95"/>
      <c r="AL95" s="95"/>
      <c r="AM95" s="95"/>
      <c r="AN95" s="95"/>
    </row>
    <row r="96" ht="14.25" customHeight="1">
      <c r="B96" s="507">
        <f t="shared" si="1"/>
        <v>0</v>
      </c>
      <c r="C96" s="95" t="str">
        <f t="shared" si="2"/>
        <v>トライアルツアーズ</v>
      </c>
      <c r="D96" s="95"/>
      <c r="E96" s="95"/>
      <c r="F96" s="95" t="s">
        <v>256</v>
      </c>
      <c r="G96" s="95">
        <v>0.0</v>
      </c>
      <c r="H96" s="95">
        <v>0.0</v>
      </c>
      <c r="I96" s="95">
        <v>0.0</v>
      </c>
      <c r="J96" s="95">
        <v>0.0</v>
      </c>
      <c r="K96" s="95">
        <v>0.0</v>
      </c>
      <c r="L96" s="95">
        <v>0.0</v>
      </c>
      <c r="M96" s="95">
        <v>0.0</v>
      </c>
      <c r="N96" s="95">
        <v>0.0</v>
      </c>
      <c r="O96" s="95">
        <v>0.0</v>
      </c>
      <c r="P96" s="95">
        <v>0.0</v>
      </c>
      <c r="Q96" s="95">
        <v>0.0</v>
      </c>
      <c r="R96" s="95">
        <v>0.0</v>
      </c>
      <c r="S96" s="95">
        <v>0.0</v>
      </c>
      <c r="T96" s="95">
        <v>0.0</v>
      </c>
      <c r="U96" s="95">
        <v>139146.0</v>
      </c>
      <c r="V96" s="95">
        <v>387273.0</v>
      </c>
      <c r="W96" s="95">
        <v>0.0</v>
      </c>
      <c r="X96" s="95">
        <v>88855.0</v>
      </c>
      <c r="Y96" s="95">
        <v>0.0</v>
      </c>
      <c r="Z96" s="95">
        <v>0.0</v>
      </c>
      <c r="AA96" s="95">
        <v>615274.0</v>
      </c>
      <c r="AB96" s="95">
        <v>0.0</v>
      </c>
      <c r="AC96" s="95">
        <v>0.0</v>
      </c>
      <c r="AD96" s="95">
        <v>0.0</v>
      </c>
      <c r="AE96" s="95">
        <v>0.0</v>
      </c>
      <c r="AF96" s="95"/>
      <c r="AG96" s="95"/>
      <c r="AH96" s="95"/>
      <c r="AI96" s="95"/>
      <c r="AJ96" s="95"/>
      <c r="AK96" s="95"/>
      <c r="AL96" s="95"/>
      <c r="AM96" s="95"/>
      <c r="AN96" s="95"/>
    </row>
    <row r="97" ht="14.25" customHeight="1">
      <c r="B97" s="507">
        <f t="shared" si="1"/>
        <v>0</v>
      </c>
      <c r="C97" s="95" t="str">
        <f t="shared" si="2"/>
        <v>クレジット手数料</v>
      </c>
      <c r="D97" s="95"/>
      <c r="E97" s="95" t="s">
        <v>59</v>
      </c>
      <c r="F97" s="95"/>
      <c r="G97" s="95">
        <v>222525.0</v>
      </c>
      <c r="H97" s="95">
        <v>0.0</v>
      </c>
      <c r="I97" s="95">
        <v>260731.0</v>
      </c>
      <c r="J97" s="95">
        <v>0.0</v>
      </c>
      <c r="K97" s="95">
        <v>0.0</v>
      </c>
      <c r="L97" s="95">
        <v>0.0</v>
      </c>
      <c r="M97" s="95">
        <v>483256.0</v>
      </c>
      <c r="N97" s="95">
        <v>16168.0</v>
      </c>
      <c r="O97" s="95">
        <v>18563.0</v>
      </c>
      <c r="P97" s="95">
        <v>0.0</v>
      </c>
      <c r="Q97" s="95">
        <v>0.0</v>
      </c>
      <c r="R97" s="95">
        <v>0.0</v>
      </c>
      <c r="S97" s="95">
        <v>0.0</v>
      </c>
      <c r="T97" s="95">
        <v>34731.0</v>
      </c>
      <c r="U97" s="95">
        <v>25186.0</v>
      </c>
      <c r="V97" s="95">
        <v>508204.0</v>
      </c>
      <c r="W97" s="95">
        <v>0.0</v>
      </c>
      <c r="X97" s="95">
        <v>93241.0</v>
      </c>
      <c r="Y97" s="95">
        <v>0.0</v>
      </c>
      <c r="Z97" s="95">
        <v>0.0</v>
      </c>
      <c r="AA97" s="95">
        <v>626631.0</v>
      </c>
      <c r="AB97" s="95">
        <v>0.0</v>
      </c>
      <c r="AC97" s="95">
        <v>0.0</v>
      </c>
      <c r="AD97" s="95">
        <v>0.0</v>
      </c>
      <c r="AE97" s="95">
        <v>0.0</v>
      </c>
      <c r="AF97" s="95"/>
      <c r="AG97" s="95"/>
      <c r="AH97" s="95"/>
      <c r="AI97" s="95"/>
      <c r="AJ97" s="95"/>
      <c r="AK97" s="95"/>
      <c r="AL97" s="95"/>
      <c r="AM97" s="95"/>
      <c r="AN97" s="95"/>
    </row>
    <row r="98" ht="14.25" customHeight="1">
      <c r="B98" s="507">
        <f t="shared" si="1"/>
        <v>0</v>
      </c>
      <c r="C98" s="95" t="str">
        <f t="shared" si="2"/>
        <v>JCB </v>
      </c>
      <c r="D98" s="95"/>
      <c r="E98" s="95"/>
      <c r="F98" s="95" t="s">
        <v>257</v>
      </c>
      <c r="G98" s="95">
        <v>15597.0</v>
      </c>
      <c r="H98" s="95">
        <v>0.0</v>
      </c>
      <c r="I98" s="95">
        <v>15597.0</v>
      </c>
      <c r="J98" s="95">
        <v>0.0</v>
      </c>
      <c r="K98" s="95">
        <v>0.0</v>
      </c>
      <c r="L98" s="95">
        <v>0.0</v>
      </c>
      <c r="M98" s="95">
        <v>31194.0</v>
      </c>
      <c r="N98" s="95">
        <v>3234.0</v>
      </c>
      <c r="O98" s="95">
        <v>216.0</v>
      </c>
      <c r="P98" s="95">
        <v>0.0</v>
      </c>
      <c r="Q98" s="95">
        <v>0.0</v>
      </c>
      <c r="R98" s="95">
        <v>0.0</v>
      </c>
      <c r="S98" s="95">
        <v>0.0</v>
      </c>
      <c r="T98" s="95">
        <v>3450.0</v>
      </c>
      <c r="U98" s="95">
        <v>7577.0</v>
      </c>
      <c r="V98" s="95">
        <v>35401.0</v>
      </c>
      <c r="W98" s="95">
        <v>0.0</v>
      </c>
      <c r="X98" s="95">
        <v>1363.0</v>
      </c>
      <c r="Y98" s="95">
        <v>0.0</v>
      </c>
      <c r="Z98" s="95">
        <v>0.0</v>
      </c>
      <c r="AA98" s="95">
        <v>44341.0</v>
      </c>
      <c r="AB98" s="95">
        <v>0.0</v>
      </c>
      <c r="AC98" s="95">
        <v>0.0</v>
      </c>
      <c r="AD98" s="95">
        <v>0.0</v>
      </c>
      <c r="AE98" s="95">
        <v>0.0</v>
      </c>
      <c r="AF98" s="95"/>
      <c r="AG98" s="95"/>
      <c r="AH98" s="95"/>
      <c r="AI98" s="95"/>
      <c r="AJ98" s="95"/>
      <c r="AK98" s="95"/>
      <c r="AL98" s="95"/>
      <c r="AM98" s="95"/>
      <c r="AN98" s="95"/>
    </row>
    <row r="99" ht="14.25" customHeight="1">
      <c r="B99" s="507">
        <f t="shared" si="1"/>
        <v>0</v>
      </c>
      <c r="C99" s="95" t="str">
        <f t="shared" si="2"/>
        <v>VISA</v>
      </c>
      <c r="D99" s="95"/>
      <c r="E99" s="95"/>
      <c r="F99" s="95" t="s">
        <v>258</v>
      </c>
      <c r="G99" s="95">
        <v>0.0</v>
      </c>
      <c r="H99" s="95">
        <v>0.0</v>
      </c>
      <c r="I99" s="95">
        <v>0.0</v>
      </c>
      <c r="J99" s="95">
        <v>0.0</v>
      </c>
      <c r="K99" s="95">
        <v>0.0</v>
      </c>
      <c r="L99" s="95">
        <v>0.0</v>
      </c>
      <c r="M99" s="95">
        <v>0.0</v>
      </c>
      <c r="N99" s="95">
        <v>0.0</v>
      </c>
      <c r="O99" s="95">
        <v>0.0</v>
      </c>
      <c r="P99" s="95">
        <v>0.0</v>
      </c>
      <c r="Q99" s="95">
        <v>0.0</v>
      </c>
      <c r="R99" s="95">
        <v>0.0</v>
      </c>
      <c r="S99" s="95">
        <v>0.0</v>
      </c>
      <c r="T99" s="95">
        <v>0.0</v>
      </c>
      <c r="U99" s="95">
        <v>21403.0</v>
      </c>
      <c r="V99" s="95">
        <v>38630.0</v>
      </c>
      <c r="W99" s="95">
        <v>0.0</v>
      </c>
      <c r="X99" s="95">
        <v>5776.0</v>
      </c>
      <c r="Y99" s="95">
        <v>0.0</v>
      </c>
      <c r="Z99" s="95">
        <v>0.0</v>
      </c>
      <c r="AA99" s="95">
        <v>65809.0</v>
      </c>
      <c r="AB99" s="95">
        <v>0.0</v>
      </c>
      <c r="AC99" s="95">
        <v>0.0</v>
      </c>
      <c r="AD99" s="95">
        <v>0.0</v>
      </c>
      <c r="AE99" s="95">
        <v>0.0</v>
      </c>
      <c r="AF99" s="95"/>
      <c r="AG99" s="95"/>
      <c r="AH99" s="95"/>
      <c r="AI99" s="95"/>
      <c r="AJ99" s="95"/>
      <c r="AK99" s="95"/>
      <c r="AL99" s="95"/>
      <c r="AM99" s="95"/>
      <c r="AN99" s="95"/>
    </row>
    <row r="100" ht="14.25" customHeight="1">
      <c r="B100" s="507">
        <f t="shared" si="1"/>
        <v>0</v>
      </c>
      <c r="C100" s="95" t="str">
        <f t="shared" si="2"/>
        <v>一休</v>
      </c>
      <c r="D100" s="95"/>
      <c r="E100" s="95"/>
      <c r="F100" s="95" t="s">
        <v>243</v>
      </c>
      <c r="G100" s="95">
        <v>85637.0</v>
      </c>
      <c r="H100" s="95">
        <v>0.0</v>
      </c>
      <c r="I100" s="95">
        <v>14882.0</v>
      </c>
      <c r="J100" s="95">
        <v>0.0</v>
      </c>
      <c r="K100" s="95">
        <v>0.0</v>
      </c>
      <c r="L100" s="95">
        <v>0.0</v>
      </c>
      <c r="M100" s="95">
        <v>100519.0</v>
      </c>
      <c r="N100" s="95">
        <v>0.0</v>
      </c>
      <c r="O100" s="95">
        <v>-7575.0</v>
      </c>
      <c r="P100" s="95">
        <v>0.0</v>
      </c>
      <c r="Q100" s="95">
        <v>0.0</v>
      </c>
      <c r="R100" s="95">
        <v>0.0</v>
      </c>
      <c r="S100" s="95">
        <v>0.0</v>
      </c>
      <c r="T100" s="95">
        <v>-7575.0</v>
      </c>
      <c r="U100" s="95">
        <v>4491.0</v>
      </c>
      <c r="V100" s="95">
        <v>0.0</v>
      </c>
      <c r="W100" s="95">
        <v>0.0</v>
      </c>
      <c r="X100" s="95">
        <v>0.0</v>
      </c>
      <c r="Y100" s="95">
        <v>0.0</v>
      </c>
      <c r="Z100" s="95">
        <v>0.0</v>
      </c>
      <c r="AA100" s="95">
        <v>4491.0</v>
      </c>
      <c r="AB100" s="95">
        <v>0.0</v>
      </c>
      <c r="AC100" s="95">
        <v>0.0</v>
      </c>
      <c r="AD100" s="95">
        <v>0.0</v>
      </c>
      <c r="AE100" s="95">
        <v>0.0</v>
      </c>
      <c r="AF100" s="95"/>
      <c r="AG100" s="95"/>
      <c r="AH100" s="95"/>
      <c r="AI100" s="95"/>
      <c r="AJ100" s="95"/>
      <c r="AK100" s="95"/>
      <c r="AL100" s="95"/>
      <c r="AM100" s="95"/>
      <c r="AN100" s="95"/>
    </row>
    <row r="101" ht="14.25" customHeight="1">
      <c r="B101" s="507">
        <f t="shared" si="1"/>
        <v>0</v>
      </c>
      <c r="C101" s="95" t="str">
        <f t="shared" si="2"/>
        <v>MUFG</v>
      </c>
      <c r="D101" s="95"/>
      <c r="E101" s="95"/>
      <c r="F101" s="95" t="s">
        <v>259</v>
      </c>
      <c r="G101" s="95">
        <v>18836.0</v>
      </c>
      <c r="H101" s="95">
        <v>0.0</v>
      </c>
      <c r="I101" s="95">
        <v>18836.0</v>
      </c>
      <c r="J101" s="95">
        <v>0.0</v>
      </c>
      <c r="K101" s="95">
        <v>0.0</v>
      </c>
      <c r="L101" s="95">
        <v>0.0</v>
      </c>
      <c r="M101" s="95">
        <v>37672.0</v>
      </c>
      <c r="N101" s="95">
        <v>1503.0</v>
      </c>
      <c r="O101" s="95">
        <v>3054.0</v>
      </c>
      <c r="P101" s="95">
        <v>0.0</v>
      </c>
      <c r="Q101" s="95">
        <v>0.0</v>
      </c>
      <c r="R101" s="95">
        <v>0.0</v>
      </c>
      <c r="S101" s="95">
        <v>0.0</v>
      </c>
      <c r="T101" s="95">
        <v>4557.0</v>
      </c>
      <c r="U101" s="95">
        <v>0.0</v>
      </c>
      <c r="V101" s="95">
        <v>0.0</v>
      </c>
      <c r="W101" s="95">
        <v>0.0</v>
      </c>
      <c r="X101" s="95">
        <v>0.0</v>
      </c>
      <c r="Y101" s="95">
        <v>0.0</v>
      </c>
      <c r="Z101" s="95">
        <v>0.0</v>
      </c>
      <c r="AA101" s="95">
        <v>0.0</v>
      </c>
      <c r="AB101" s="95">
        <v>0.0</v>
      </c>
      <c r="AC101" s="95">
        <v>0.0</v>
      </c>
      <c r="AD101" s="95">
        <v>0.0</v>
      </c>
      <c r="AE101" s="95">
        <v>0.0</v>
      </c>
      <c r="AF101" s="95"/>
      <c r="AG101" s="95"/>
      <c r="AH101" s="95"/>
      <c r="AI101" s="95"/>
      <c r="AJ101" s="95"/>
      <c r="AK101" s="95"/>
      <c r="AL101" s="95"/>
      <c r="AM101" s="95"/>
      <c r="AN101" s="95"/>
    </row>
    <row r="102" ht="14.25" customHeight="1">
      <c r="B102" s="507">
        <f t="shared" si="1"/>
        <v>0</v>
      </c>
      <c r="C102" s="95" t="str">
        <f t="shared" si="2"/>
        <v>ﾘｸﾙｰﾄ事前決済</v>
      </c>
      <c r="D102" s="95"/>
      <c r="E102" s="95"/>
      <c r="F102" s="95" t="s">
        <v>247</v>
      </c>
      <c r="G102" s="95">
        <v>18737.0</v>
      </c>
      <c r="H102" s="95">
        <v>0.0</v>
      </c>
      <c r="I102" s="95">
        <v>58690.0</v>
      </c>
      <c r="J102" s="95">
        <v>0.0</v>
      </c>
      <c r="K102" s="95">
        <v>0.0</v>
      </c>
      <c r="L102" s="95">
        <v>0.0</v>
      </c>
      <c r="M102" s="95">
        <v>77427.0</v>
      </c>
      <c r="N102" s="95">
        <v>3515.0</v>
      </c>
      <c r="O102" s="95">
        <v>22868.0</v>
      </c>
      <c r="P102" s="95">
        <v>0.0</v>
      </c>
      <c r="Q102" s="95">
        <v>0.0</v>
      </c>
      <c r="R102" s="95">
        <v>0.0</v>
      </c>
      <c r="S102" s="95">
        <v>0.0</v>
      </c>
      <c r="T102" s="95">
        <v>26383.0</v>
      </c>
      <c r="U102" s="95">
        <v>2279.0</v>
      </c>
      <c r="V102" s="95">
        <v>147747.0</v>
      </c>
      <c r="W102" s="95">
        <v>0.0</v>
      </c>
      <c r="X102" s="95">
        <v>16143.0</v>
      </c>
      <c r="Y102" s="95">
        <v>0.0</v>
      </c>
      <c r="Z102" s="95">
        <v>0.0</v>
      </c>
      <c r="AA102" s="95">
        <v>166169.0</v>
      </c>
      <c r="AB102" s="95">
        <v>0.0</v>
      </c>
      <c r="AC102" s="95">
        <v>0.0</v>
      </c>
      <c r="AD102" s="95">
        <v>0.0</v>
      </c>
      <c r="AE102" s="95">
        <v>0.0</v>
      </c>
      <c r="AF102" s="95"/>
      <c r="AG102" s="95"/>
      <c r="AH102" s="95"/>
      <c r="AI102" s="95"/>
      <c r="AJ102" s="95"/>
      <c r="AK102" s="95"/>
      <c r="AL102" s="95"/>
      <c r="AM102" s="95"/>
      <c r="AN102" s="95"/>
    </row>
    <row r="103" ht="14.25" customHeight="1">
      <c r="B103" s="507">
        <f t="shared" si="1"/>
        <v>0</v>
      </c>
      <c r="C103" s="95" t="str">
        <f t="shared" si="2"/>
        <v>リラックス</v>
      </c>
      <c r="D103" s="95"/>
      <c r="E103" s="95"/>
      <c r="F103" s="95" t="s">
        <v>250</v>
      </c>
      <c r="G103" s="95">
        <v>3634.0</v>
      </c>
      <c r="H103" s="95">
        <v>0.0</v>
      </c>
      <c r="I103" s="95">
        <v>0.0</v>
      </c>
      <c r="J103" s="95">
        <v>0.0</v>
      </c>
      <c r="K103" s="95">
        <v>0.0</v>
      </c>
      <c r="L103" s="95">
        <v>0.0</v>
      </c>
      <c r="M103" s="95">
        <v>3634.0</v>
      </c>
      <c r="N103" s="95">
        <v>0.0</v>
      </c>
      <c r="O103" s="95">
        <v>0.0</v>
      </c>
      <c r="P103" s="95">
        <v>0.0</v>
      </c>
      <c r="Q103" s="95">
        <v>0.0</v>
      </c>
      <c r="R103" s="95">
        <v>0.0</v>
      </c>
      <c r="S103" s="95">
        <v>0.0</v>
      </c>
      <c r="T103" s="95">
        <v>0.0</v>
      </c>
      <c r="U103" s="95">
        <v>3220.0</v>
      </c>
      <c r="V103" s="95">
        <v>-580.0</v>
      </c>
      <c r="W103" s="95">
        <v>0.0</v>
      </c>
      <c r="X103" s="95">
        <v>0.0</v>
      </c>
      <c r="Y103" s="95">
        <v>0.0</v>
      </c>
      <c r="Z103" s="95">
        <v>0.0</v>
      </c>
      <c r="AA103" s="95">
        <v>2640.0</v>
      </c>
      <c r="AB103" s="95">
        <v>0.0</v>
      </c>
      <c r="AC103" s="95">
        <v>0.0</v>
      </c>
      <c r="AD103" s="95">
        <v>0.0</v>
      </c>
      <c r="AE103" s="95">
        <v>0.0</v>
      </c>
      <c r="AF103" s="95"/>
      <c r="AG103" s="95"/>
      <c r="AH103" s="95"/>
      <c r="AI103" s="95"/>
      <c r="AJ103" s="95"/>
      <c r="AK103" s="95"/>
      <c r="AL103" s="95"/>
      <c r="AM103" s="95"/>
      <c r="AN103" s="95"/>
    </row>
    <row r="104" ht="14.25" customHeight="1">
      <c r="B104" s="507">
        <f t="shared" si="1"/>
        <v>0</v>
      </c>
      <c r="C104" s="95" t="str">
        <f t="shared" si="2"/>
        <v>他勘定振替</v>
      </c>
      <c r="D104" s="95"/>
      <c r="E104" s="95"/>
      <c r="F104" s="95" t="s">
        <v>244</v>
      </c>
      <c r="G104" s="95">
        <v>0.0</v>
      </c>
      <c r="H104" s="95">
        <v>0.0</v>
      </c>
      <c r="I104" s="95">
        <v>0.0</v>
      </c>
      <c r="J104" s="95">
        <v>0.0</v>
      </c>
      <c r="K104" s="95">
        <v>0.0</v>
      </c>
      <c r="L104" s="95">
        <v>0.0</v>
      </c>
      <c r="M104" s="95">
        <v>0.0</v>
      </c>
      <c r="N104" s="95">
        <v>0.0</v>
      </c>
      <c r="O104" s="95">
        <v>0.0</v>
      </c>
      <c r="P104" s="95">
        <v>0.0</v>
      </c>
      <c r="Q104" s="95">
        <v>0.0</v>
      </c>
      <c r="R104" s="95">
        <v>0.0</v>
      </c>
      <c r="S104" s="95">
        <v>0.0</v>
      </c>
      <c r="T104" s="95">
        <v>0.0</v>
      </c>
      <c r="U104" s="95">
        <v>-36838.0</v>
      </c>
      <c r="V104" s="95">
        <v>0.0</v>
      </c>
      <c r="W104" s="95">
        <v>0.0</v>
      </c>
      <c r="X104" s="95">
        <v>0.0</v>
      </c>
      <c r="Y104" s="95">
        <v>0.0</v>
      </c>
      <c r="Z104" s="95">
        <v>0.0</v>
      </c>
      <c r="AA104" s="95">
        <v>-36838.0</v>
      </c>
      <c r="AB104" s="95">
        <v>0.0</v>
      </c>
      <c r="AC104" s="95">
        <v>0.0</v>
      </c>
      <c r="AD104" s="95">
        <v>0.0</v>
      </c>
      <c r="AE104" s="95">
        <v>0.0</v>
      </c>
      <c r="AF104" s="95"/>
      <c r="AG104" s="95"/>
      <c r="AH104" s="95"/>
      <c r="AI104" s="95"/>
      <c r="AJ104" s="95"/>
      <c r="AK104" s="95"/>
      <c r="AL104" s="95"/>
      <c r="AM104" s="95"/>
      <c r="AN104" s="95"/>
    </row>
    <row r="105" ht="14.25" customHeight="1">
      <c r="B105" s="507">
        <f t="shared" si="1"/>
        <v>0</v>
      </c>
      <c r="C105" s="95" t="str">
        <f t="shared" si="2"/>
        <v>PayPay</v>
      </c>
      <c r="D105" s="95"/>
      <c r="E105" s="95"/>
      <c r="F105" s="95" t="s">
        <v>260</v>
      </c>
      <c r="G105" s="95">
        <v>0.0</v>
      </c>
      <c r="H105" s="95">
        <v>0.0</v>
      </c>
      <c r="I105" s="95">
        <v>0.0</v>
      </c>
      <c r="J105" s="95">
        <v>0.0</v>
      </c>
      <c r="K105" s="95">
        <v>0.0</v>
      </c>
      <c r="L105" s="95">
        <v>0.0</v>
      </c>
      <c r="M105" s="95">
        <v>0.0</v>
      </c>
      <c r="N105" s="95">
        <v>0.0</v>
      </c>
      <c r="O105" s="95">
        <v>0.0</v>
      </c>
      <c r="P105" s="95">
        <v>0.0</v>
      </c>
      <c r="Q105" s="95">
        <v>0.0</v>
      </c>
      <c r="R105" s="95">
        <v>0.0</v>
      </c>
      <c r="S105" s="95">
        <v>0.0</v>
      </c>
      <c r="T105" s="95">
        <v>0.0</v>
      </c>
      <c r="U105" s="95">
        <v>0.0</v>
      </c>
      <c r="V105" s="95">
        <v>0.0</v>
      </c>
      <c r="W105" s="95">
        <v>0.0</v>
      </c>
      <c r="X105" s="95">
        <v>0.0</v>
      </c>
      <c r="Y105" s="95">
        <v>0.0</v>
      </c>
      <c r="Z105" s="95">
        <v>0.0</v>
      </c>
      <c r="AA105" s="95">
        <v>0.0</v>
      </c>
      <c r="AB105" s="95">
        <v>0.0</v>
      </c>
      <c r="AC105" s="95">
        <v>0.0</v>
      </c>
      <c r="AD105" s="95">
        <v>0.0</v>
      </c>
      <c r="AE105" s="95">
        <v>0.0</v>
      </c>
      <c r="AF105" s="95"/>
      <c r="AG105" s="95"/>
      <c r="AH105" s="95"/>
      <c r="AI105" s="95"/>
      <c r="AJ105" s="95"/>
      <c r="AK105" s="95"/>
      <c r="AL105" s="95"/>
      <c r="AM105" s="95"/>
      <c r="AN105" s="95"/>
    </row>
    <row r="106" ht="14.25" customHeight="1">
      <c r="B106" s="507">
        <f t="shared" si="1"/>
        <v>0</v>
      </c>
      <c r="C106" s="95" t="str">
        <f t="shared" si="2"/>
        <v>auPay</v>
      </c>
      <c r="D106" s="95"/>
      <c r="E106" s="95"/>
      <c r="F106" s="95" t="s">
        <v>261</v>
      </c>
      <c r="G106" s="95">
        <v>0.0</v>
      </c>
      <c r="H106" s="95">
        <v>0.0</v>
      </c>
      <c r="I106" s="95">
        <v>0.0</v>
      </c>
      <c r="J106" s="95">
        <v>0.0</v>
      </c>
      <c r="K106" s="95">
        <v>0.0</v>
      </c>
      <c r="L106" s="95">
        <v>0.0</v>
      </c>
      <c r="M106" s="95">
        <v>0.0</v>
      </c>
      <c r="N106" s="95">
        <v>0.0</v>
      </c>
      <c r="O106" s="95">
        <v>0.0</v>
      </c>
      <c r="P106" s="95">
        <v>0.0</v>
      </c>
      <c r="Q106" s="95">
        <v>0.0</v>
      </c>
      <c r="R106" s="95">
        <v>0.0</v>
      </c>
      <c r="S106" s="95">
        <v>0.0</v>
      </c>
      <c r="T106" s="95">
        <v>0.0</v>
      </c>
      <c r="U106" s="95">
        <v>0.0</v>
      </c>
      <c r="V106" s="95">
        <v>0.0</v>
      </c>
      <c r="W106" s="95">
        <v>0.0</v>
      </c>
      <c r="X106" s="95">
        <v>0.0</v>
      </c>
      <c r="Y106" s="95">
        <v>0.0</v>
      </c>
      <c r="Z106" s="95">
        <v>0.0</v>
      </c>
      <c r="AA106" s="95">
        <v>0.0</v>
      </c>
      <c r="AB106" s="95">
        <v>0.0</v>
      </c>
      <c r="AC106" s="95">
        <v>0.0</v>
      </c>
      <c r="AD106" s="95">
        <v>0.0</v>
      </c>
      <c r="AE106" s="95">
        <v>0.0</v>
      </c>
      <c r="AF106" s="95"/>
      <c r="AG106" s="95"/>
      <c r="AH106" s="95"/>
      <c r="AI106" s="95"/>
      <c r="AJ106" s="95"/>
      <c r="AK106" s="95"/>
      <c r="AL106" s="95"/>
      <c r="AM106" s="95"/>
      <c r="AN106" s="95"/>
    </row>
    <row r="107" ht="14.25" customHeight="1">
      <c r="B107" s="507">
        <f t="shared" si="1"/>
        <v>0</v>
      </c>
      <c r="C107" s="95" t="str">
        <f t="shared" si="2"/>
        <v>d払い</v>
      </c>
      <c r="D107" s="95"/>
      <c r="E107" s="95"/>
      <c r="F107" s="95" t="s">
        <v>262</v>
      </c>
      <c r="G107" s="95">
        <v>0.0</v>
      </c>
      <c r="H107" s="95">
        <v>0.0</v>
      </c>
      <c r="I107" s="95">
        <v>0.0</v>
      </c>
      <c r="J107" s="95">
        <v>0.0</v>
      </c>
      <c r="K107" s="95">
        <v>0.0</v>
      </c>
      <c r="L107" s="95">
        <v>0.0</v>
      </c>
      <c r="M107" s="95">
        <v>0.0</v>
      </c>
      <c r="N107" s="95">
        <v>0.0</v>
      </c>
      <c r="O107" s="95">
        <v>0.0</v>
      </c>
      <c r="P107" s="95">
        <v>0.0</v>
      </c>
      <c r="Q107" s="95">
        <v>0.0</v>
      </c>
      <c r="R107" s="95">
        <v>0.0</v>
      </c>
      <c r="S107" s="95">
        <v>0.0</v>
      </c>
      <c r="T107" s="95">
        <v>0.0</v>
      </c>
      <c r="U107" s="95">
        <v>0.0</v>
      </c>
      <c r="V107" s="95">
        <v>0.0</v>
      </c>
      <c r="W107" s="95">
        <v>0.0</v>
      </c>
      <c r="X107" s="95">
        <v>0.0</v>
      </c>
      <c r="Y107" s="95">
        <v>0.0</v>
      </c>
      <c r="Z107" s="95">
        <v>0.0</v>
      </c>
      <c r="AA107" s="95">
        <v>0.0</v>
      </c>
      <c r="AB107" s="95">
        <v>0.0</v>
      </c>
      <c r="AC107" s="95">
        <v>0.0</v>
      </c>
      <c r="AD107" s="95">
        <v>0.0</v>
      </c>
      <c r="AE107" s="95">
        <v>0.0</v>
      </c>
      <c r="AF107" s="95"/>
      <c r="AG107" s="95"/>
      <c r="AH107" s="95"/>
      <c r="AI107" s="95"/>
      <c r="AJ107" s="95"/>
      <c r="AK107" s="95"/>
      <c r="AL107" s="95"/>
      <c r="AM107" s="95"/>
      <c r="AN107" s="95"/>
    </row>
    <row r="108" ht="14.25" customHeight="1">
      <c r="B108" s="507">
        <f t="shared" si="1"/>
        <v>0</v>
      </c>
      <c r="C108" s="95" t="str">
        <f t="shared" si="2"/>
        <v>寺岡精工</v>
      </c>
      <c r="D108" s="95"/>
      <c r="E108" s="95"/>
      <c r="F108" s="95" t="s">
        <v>263</v>
      </c>
      <c r="G108" s="95">
        <v>0.0</v>
      </c>
      <c r="H108" s="95">
        <v>0.0</v>
      </c>
      <c r="I108" s="95">
        <v>0.0</v>
      </c>
      <c r="J108" s="95">
        <v>0.0</v>
      </c>
      <c r="K108" s="95">
        <v>0.0</v>
      </c>
      <c r="L108" s="95">
        <v>0.0</v>
      </c>
      <c r="M108" s="95">
        <v>0.0</v>
      </c>
      <c r="N108" s="95">
        <v>0.0</v>
      </c>
      <c r="O108" s="95">
        <v>0.0</v>
      </c>
      <c r="P108" s="95">
        <v>0.0</v>
      </c>
      <c r="Q108" s="95">
        <v>0.0</v>
      </c>
      <c r="R108" s="95">
        <v>0.0</v>
      </c>
      <c r="S108" s="95">
        <v>0.0</v>
      </c>
      <c r="T108" s="95">
        <v>0.0</v>
      </c>
      <c r="U108" s="95">
        <v>0.0</v>
      </c>
      <c r="V108" s="95">
        <v>0.0</v>
      </c>
      <c r="W108" s="95">
        <v>0.0</v>
      </c>
      <c r="X108" s="95">
        <v>0.0</v>
      </c>
      <c r="Y108" s="95">
        <v>0.0</v>
      </c>
      <c r="Z108" s="95">
        <v>0.0</v>
      </c>
      <c r="AA108" s="95">
        <v>0.0</v>
      </c>
      <c r="AB108" s="95">
        <v>0.0</v>
      </c>
      <c r="AC108" s="95">
        <v>0.0</v>
      </c>
      <c r="AD108" s="95">
        <v>0.0</v>
      </c>
      <c r="AE108" s="95">
        <v>0.0</v>
      </c>
      <c r="AF108" s="95"/>
      <c r="AG108" s="95"/>
      <c r="AH108" s="95"/>
      <c r="AI108" s="95"/>
      <c r="AJ108" s="95"/>
      <c r="AK108" s="95"/>
      <c r="AL108" s="95"/>
      <c r="AM108" s="95"/>
      <c r="AN108" s="95"/>
    </row>
    <row r="109" ht="14.25" customHeight="1">
      <c r="B109" s="507">
        <f t="shared" si="1"/>
        <v>0</v>
      </c>
      <c r="C109" s="95" t="str">
        <f t="shared" si="2"/>
        <v>Omni/システムギア</v>
      </c>
      <c r="D109" s="95"/>
      <c r="E109" s="95"/>
      <c r="F109" s="95" t="s">
        <v>264</v>
      </c>
      <c r="G109" s="95">
        <v>0.0</v>
      </c>
      <c r="H109" s="95">
        <v>0.0</v>
      </c>
      <c r="I109" s="95">
        <v>0.0</v>
      </c>
      <c r="J109" s="95">
        <v>0.0</v>
      </c>
      <c r="K109" s="95">
        <v>0.0</v>
      </c>
      <c r="L109" s="95">
        <v>0.0</v>
      </c>
      <c r="M109" s="95">
        <v>0.0</v>
      </c>
      <c r="N109" s="95">
        <v>0.0</v>
      </c>
      <c r="O109" s="95">
        <v>0.0</v>
      </c>
      <c r="P109" s="95">
        <v>0.0</v>
      </c>
      <c r="Q109" s="95">
        <v>0.0</v>
      </c>
      <c r="R109" s="95">
        <v>0.0</v>
      </c>
      <c r="S109" s="95">
        <v>0.0</v>
      </c>
      <c r="T109" s="95">
        <v>0.0</v>
      </c>
      <c r="U109" s="95">
        <v>0.0</v>
      </c>
      <c r="V109" s="95">
        <v>31748.0</v>
      </c>
      <c r="W109" s="95">
        <v>0.0</v>
      </c>
      <c r="X109" s="95">
        <v>0.0</v>
      </c>
      <c r="Y109" s="95">
        <v>0.0</v>
      </c>
      <c r="Z109" s="95">
        <v>0.0</v>
      </c>
      <c r="AA109" s="95">
        <v>31748.0</v>
      </c>
      <c r="AB109" s="95">
        <v>0.0</v>
      </c>
      <c r="AC109" s="95">
        <v>0.0</v>
      </c>
      <c r="AD109" s="95">
        <v>0.0</v>
      </c>
      <c r="AE109" s="95">
        <v>0.0</v>
      </c>
      <c r="AF109" s="95"/>
      <c r="AG109" s="95"/>
      <c r="AH109" s="95"/>
      <c r="AI109" s="95"/>
      <c r="AJ109" s="95"/>
      <c r="AK109" s="95"/>
      <c r="AL109" s="95"/>
      <c r="AM109" s="95"/>
      <c r="AN109" s="95"/>
    </row>
    <row r="110" ht="14.25" customHeight="1">
      <c r="B110" s="507">
        <f t="shared" si="1"/>
        <v>0</v>
      </c>
      <c r="C110" s="95" t="str">
        <f t="shared" si="2"/>
        <v>Tripla</v>
      </c>
      <c r="D110" s="95"/>
      <c r="E110" s="95"/>
      <c r="F110" s="95" t="s">
        <v>265</v>
      </c>
      <c r="G110" s="95">
        <v>80084.0</v>
      </c>
      <c r="H110" s="95">
        <v>0.0</v>
      </c>
      <c r="I110" s="95">
        <v>152726.0</v>
      </c>
      <c r="J110" s="95">
        <v>0.0</v>
      </c>
      <c r="K110" s="95">
        <v>0.0</v>
      </c>
      <c r="L110" s="95">
        <v>0.0</v>
      </c>
      <c r="M110" s="95">
        <v>232810.0</v>
      </c>
      <c r="N110" s="95">
        <v>7916.0</v>
      </c>
      <c r="O110" s="95">
        <v>0.0</v>
      </c>
      <c r="P110" s="95">
        <v>0.0</v>
      </c>
      <c r="Q110" s="95">
        <v>0.0</v>
      </c>
      <c r="R110" s="95">
        <v>0.0</v>
      </c>
      <c r="S110" s="95">
        <v>0.0</v>
      </c>
      <c r="T110" s="95">
        <v>7916.0</v>
      </c>
      <c r="U110" s="95">
        <v>23054.0</v>
      </c>
      <c r="V110" s="95">
        <v>255258.0</v>
      </c>
      <c r="W110" s="95">
        <v>0.0</v>
      </c>
      <c r="X110" s="95">
        <v>69959.0</v>
      </c>
      <c r="Y110" s="95">
        <v>0.0</v>
      </c>
      <c r="Z110" s="95">
        <v>0.0</v>
      </c>
      <c r="AA110" s="95">
        <v>348271.0</v>
      </c>
      <c r="AB110" s="95">
        <v>0.0</v>
      </c>
      <c r="AC110" s="95">
        <v>0.0</v>
      </c>
      <c r="AD110" s="95">
        <v>0.0</v>
      </c>
      <c r="AE110" s="95">
        <v>0.0</v>
      </c>
      <c r="AF110" s="95"/>
      <c r="AG110" s="95"/>
      <c r="AH110" s="95"/>
      <c r="AI110" s="95"/>
      <c r="AJ110" s="95"/>
      <c r="AK110" s="95"/>
      <c r="AL110" s="95"/>
      <c r="AM110" s="95"/>
      <c r="AN110" s="95"/>
    </row>
    <row r="111" ht="14.25" customHeight="1">
      <c r="B111" s="507">
        <f t="shared" si="1"/>
        <v>0</v>
      </c>
      <c r="C111" s="95" t="str">
        <f t="shared" si="2"/>
        <v>水道光熱費</v>
      </c>
      <c r="D111" s="95"/>
      <c r="E111" s="95" t="s">
        <v>60</v>
      </c>
      <c r="F111" s="95"/>
      <c r="G111" s="95">
        <v>710155.0</v>
      </c>
      <c r="H111" s="95">
        <v>0.0</v>
      </c>
      <c r="I111" s="95">
        <v>907470.0</v>
      </c>
      <c r="J111" s="95">
        <v>6382.0</v>
      </c>
      <c r="K111" s="95">
        <v>0.0</v>
      </c>
      <c r="L111" s="95">
        <v>0.0</v>
      </c>
      <c r="M111" s="95">
        <v>1624007.0</v>
      </c>
      <c r="N111" s="95">
        <v>1325391.0</v>
      </c>
      <c r="O111" s="95">
        <v>437654.0</v>
      </c>
      <c r="P111" s="95">
        <v>0.0</v>
      </c>
      <c r="Q111" s="95">
        <v>0.0</v>
      </c>
      <c r="R111" s="95">
        <v>0.0</v>
      </c>
      <c r="S111" s="95">
        <v>0.0</v>
      </c>
      <c r="T111" s="95">
        <v>1763045.0</v>
      </c>
      <c r="U111" s="95">
        <v>104650.0</v>
      </c>
      <c r="V111" s="95">
        <v>3152867.0</v>
      </c>
      <c r="W111" s="95">
        <v>183283.0</v>
      </c>
      <c r="X111" s="95">
        <v>1084012.0</v>
      </c>
      <c r="Y111" s="95">
        <v>0.0</v>
      </c>
      <c r="Z111" s="95">
        <v>0.0</v>
      </c>
      <c r="AA111" s="95">
        <v>4524812.0</v>
      </c>
      <c r="AB111" s="95">
        <v>4482.0</v>
      </c>
      <c r="AC111" s="95">
        <v>0.0</v>
      </c>
      <c r="AD111" s="95">
        <v>0.0</v>
      </c>
      <c r="AE111" s="95">
        <v>4482.0</v>
      </c>
      <c r="AF111" s="95"/>
      <c r="AG111" s="95"/>
      <c r="AH111" s="95"/>
      <c r="AI111" s="95"/>
      <c r="AJ111" s="95"/>
      <c r="AK111" s="95"/>
      <c r="AL111" s="95"/>
      <c r="AM111" s="95"/>
      <c r="AN111" s="95"/>
    </row>
    <row r="112" ht="14.25" customHeight="1">
      <c r="B112" s="507">
        <f t="shared" si="1"/>
        <v>0</v>
      </c>
      <c r="C112" s="95" t="str">
        <f t="shared" si="2"/>
        <v>水道代</v>
      </c>
      <c r="D112" s="95"/>
      <c r="E112" s="95"/>
      <c r="F112" s="95" t="s">
        <v>266</v>
      </c>
      <c r="G112" s="95">
        <v>0.0</v>
      </c>
      <c r="H112" s="95">
        <v>0.0</v>
      </c>
      <c r="I112" s="95">
        <v>0.0</v>
      </c>
      <c r="J112" s="95">
        <v>0.0</v>
      </c>
      <c r="K112" s="95">
        <v>0.0</v>
      </c>
      <c r="L112" s="95">
        <v>0.0</v>
      </c>
      <c r="M112" s="95">
        <v>0.0</v>
      </c>
      <c r="N112" s="95">
        <v>591919.0</v>
      </c>
      <c r="O112" s="95">
        <v>0.0</v>
      </c>
      <c r="P112" s="95">
        <v>0.0</v>
      </c>
      <c r="Q112" s="95">
        <v>0.0</v>
      </c>
      <c r="R112" s="95">
        <v>0.0</v>
      </c>
      <c r="S112" s="95">
        <v>0.0</v>
      </c>
      <c r="T112" s="95">
        <v>591919.0</v>
      </c>
      <c r="U112" s="95">
        <v>0.0</v>
      </c>
      <c r="V112" s="95">
        <v>0.0</v>
      </c>
      <c r="W112" s="95">
        <v>0.0</v>
      </c>
      <c r="X112" s="95">
        <v>0.0</v>
      </c>
      <c r="Y112" s="95">
        <v>0.0</v>
      </c>
      <c r="Z112" s="95">
        <v>0.0</v>
      </c>
      <c r="AA112" s="95">
        <v>0.0</v>
      </c>
      <c r="AB112" s="95">
        <v>0.0</v>
      </c>
      <c r="AC112" s="95">
        <v>0.0</v>
      </c>
      <c r="AD112" s="95">
        <v>0.0</v>
      </c>
      <c r="AE112" s="95">
        <v>0.0</v>
      </c>
      <c r="AF112" s="95"/>
      <c r="AG112" s="95"/>
      <c r="AH112" s="95"/>
      <c r="AI112" s="95"/>
      <c r="AJ112" s="95"/>
      <c r="AK112" s="95"/>
      <c r="AL112" s="95"/>
      <c r="AM112" s="95"/>
      <c r="AN112" s="95"/>
    </row>
    <row r="113" ht="14.25" customHeight="1">
      <c r="B113" s="507">
        <f t="shared" si="1"/>
        <v>0</v>
      </c>
      <c r="C113" s="95" t="str">
        <f t="shared" si="2"/>
        <v>電気代</v>
      </c>
      <c r="D113" s="95"/>
      <c r="E113" s="95"/>
      <c r="F113" s="95" t="s">
        <v>267</v>
      </c>
      <c r="G113" s="95">
        <v>612784.0</v>
      </c>
      <c r="H113" s="95">
        <v>0.0</v>
      </c>
      <c r="I113" s="95">
        <v>882847.0</v>
      </c>
      <c r="J113" s="95">
        <v>0.0</v>
      </c>
      <c r="K113" s="95">
        <v>0.0</v>
      </c>
      <c r="L113" s="95">
        <v>0.0</v>
      </c>
      <c r="M113" s="95">
        <v>1495631.0</v>
      </c>
      <c r="N113" s="95">
        <v>280844.0</v>
      </c>
      <c r="O113" s="95">
        <v>211417.0</v>
      </c>
      <c r="P113" s="95">
        <v>0.0</v>
      </c>
      <c r="Q113" s="95">
        <v>0.0</v>
      </c>
      <c r="R113" s="95">
        <v>0.0</v>
      </c>
      <c r="S113" s="95">
        <v>0.0</v>
      </c>
      <c r="T113" s="95">
        <v>492261.0</v>
      </c>
      <c r="U113" s="95">
        <v>104650.0</v>
      </c>
      <c r="V113" s="95">
        <v>1436212.0</v>
      </c>
      <c r="W113" s="95">
        <v>0.0</v>
      </c>
      <c r="X113" s="95">
        <v>317415.0</v>
      </c>
      <c r="Y113" s="95">
        <v>0.0</v>
      </c>
      <c r="Z113" s="95">
        <v>0.0</v>
      </c>
      <c r="AA113" s="95">
        <v>1858277.0</v>
      </c>
      <c r="AB113" s="95">
        <v>0.0</v>
      </c>
      <c r="AC113" s="95">
        <v>0.0</v>
      </c>
      <c r="AD113" s="95">
        <v>0.0</v>
      </c>
      <c r="AE113" s="95">
        <v>0.0</v>
      </c>
      <c r="AF113" s="95"/>
      <c r="AG113" s="95"/>
      <c r="AH113" s="95"/>
      <c r="AI113" s="95"/>
      <c r="AJ113" s="95"/>
      <c r="AK113" s="95"/>
      <c r="AL113" s="95"/>
      <c r="AM113" s="95"/>
      <c r="AN113" s="95"/>
    </row>
    <row r="114" ht="14.25" customHeight="1">
      <c r="B114" s="507">
        <f t="shared" si="1"/>
        <v>0</v>
      </c>
      <c r="C114" s="95" t="str">
        <f t="shared" si="2"/>
        <v>ガス代</v>
      </c>
      <c r="D114" s="95"/>
      <c r="E114" s="95"/>
      <c r="F114" s="95" t="s">
        <v>268</v>
      </c>
      <c r="G114" s="95">
        <v>91680.0</v>
      </c>
      <c r="H114" s="95">
        <v>0.0</v>
      </c>
      <c r="I114" s="95">
        <v>24623.0</v>
      </c>
      <c r="J114" s="95">
        <v>6382.0</v>
      </c>
      <c r="K114" s="95">
        <v>0.0</v>
      </c>
      <c r="L114" s="95">
        <v>0.0</v>
      </c>
      <c r="M114" s="95">
        <v>122685.0</v>
      </c>
      <c r="N114" s="95">
        <v>452628.0</v>
      </c>
      <c r="O114" s="95">
        <v>226237.0</v>
      </c>
      <c r="P114" s="95">
        <v>0.0</v>
      </c>
      <c r="Q114" s="95">
        <v>0.0</v>
      </c>
      <c r="R114" s="95">
        <v>0.0</v>
      </c>
      <c r="S114" s="95">
        <v>0.0</v>
      </c>
      <c r="T114" s="95">
        <v>678865.0</v>
      </c>
      <c r="U114" s="95">
        <v>0.0</v>
      </c>
      <c r="V114" s="95">
        <v>1716655.0</v>
      </c>
      <c r="W114" s="95">
        <v>183283.0</v>
      </c>
      <c r="X114" s="95">
        <v>766597.0</v>
      </c>
      <c r="Y114" s="95">
        <v>0.0</v>
      </c>
      <c r="Z114" s="95">
        <v>0.0</v>
      </c>
      <c r="AA114" s="95">
        <v>2666535.0</v>
      </c>
      <c r="AB114" s="95">
        <v>4482.0</v>
      </c>
      <c r="AC114" s="95">
        <v>0.0</v>
      </c>
      <c r="AD114" s="95">
        <v>0.0</v>
      </c>
      <c r="AE114" s="95">
        <v>4482.0</v>
      </c>
      <c r="AF114" s="95"/>
      <c r="AG114" s="95"/>
      <c r="AH114" s="95"/>
      <c r="AI114" s="95"/>
      <c r="AJ114" s="95"/>
      <c r="AK114" s="95"/>
      <c r="AL114" s="95"/>
      <c r="AM114" s="95"/>
      <c r="AN114" s="95"/>
    </row>
    <row r="115" ht="14.25" customHeight="1">
      <c r="B115" s="507">
        <f t="shared" si="1"/>
        <v>0</v>
      </c>
      <c r="C115" s="95" t="str">
        <f t="shared" si="2"/>
        <v>灯油代</v>
      </c>
      <c r="D115" s="95"/>
      <c r="E115" s="95"/>
      <c r="F115" s="95" t="s">
        <v>269</v>
      </c>
      <c r="G115" s="95">
        <v>5691.0</v>
      </c>
      <c r="H115" s="95">
        <v>0.0</v>
      </c>
      <c r="I115" s="95">
        <v>0.0</v>
      </c>
      <c r="J115" s="95">
        <v>0.0</v>
      </c>
      <c r="K115" s="95">
        <v>0.0</v>
      </c>
      <c r="L115" s="95">
        <v>0.0</v>
      </c>
      <c r="M115" s="95">
        <v>5691.0</v>
      </c>
      <c r="N115" s="95">
        <v>0.0</v>
      </c>
      <c r="O115" s="95">
        <v>0.0</v>
      </c>
      <c r="P115" s="95">
        <v>0.0</v>
      </c>
      <c r="Q115" s="95">
        <v>0.0</v>
      </c>
      <c r="R115" s="95">
        <v>0.0</v>
      </c>
      <c r="S115" s="95">
        <v>0.0</v>
      </c>
      <c r="T115" s="95">
        <v>0.0</v>
      </c>
      <c r="U115" s="95">
        <v>0.0</v>
      </c>
      <c r="V115" s="95">
        <v>0.0</v>
      </c>
      <c r="W115" s="95">
        <v>0.0</v>
      </c>
      <c r="X115" s="95">
        <v>0.0</v>
      </c>
      <c r="Y115" s="95">
        <v>0.0</v>
      </c>
      <c r="Z115" s="95">
        <v>0.0</v>
      </c>
      <c r="AA115" s="95">
        <v>0.0</v>
      </c>
      <c r="AB115" s="95">
        <v>0.0</v>
      </c>
      <c r="AC115" s="95">
        <v>0.0</v>
      </c>
      <c r="AD115" s="95">
        <v>0.0</v>
      </c>
      <c r="AE115" s="95">
        <v>0.0</v>
      </c>
      <c r="AF115" s="95"/>
      <c r="AG115" s="95"/>
      <c r="AH115" s="95"/>
      <c r="AI115" s="95"/>
      <c r="AJ115" s="95"/>
      <c r="AK115" s="95"/>
      <c r="AL115" s="95"/>
      <c r="AM115" s="95"/>
      <c r="AN115" s="95"/>
    </row>
    <row r="116" ht="14.25" customHeight="1">
      <c r="B116" s="507">
        <f t="shared" si="1"/>
        <v>0</v>
      </c>
      <c r="C116" s="95" t="str">
        <f t="shared" si="2"/>
        <v>修繕費</v>
      </c>
      <c r="D116" s="95"/>
      <c r="E116" s="95" t="s">
        <v>62</v>
      </c>
      <c r="F116" s="95"/>
      <c r="G116" s="95">
        <v>2813.0</v>
      </c>
      <c r="H116" s="95">
        <v>0.0</v>
      </c>
      <c r="I116" s="95">
        <v>0.0</v>
      </c>
      <c r="J116" s="95">
        <v>0.0</v>
      </c>
      <c r="K116" s="95">
        <v>0.0</v>
      </c>
      <c r="L116" s="95">
        <v>0.0</v>
      </c>
      <c r="M116" s="95">
        <v>2813.0</v>
      </c>
      <c r="N116" s="95">
        <v>0.0</v>
      </c>
      <c r="O116" s="95">
        <v>0.0</v>
      </c>
      <c r="P116" s="95">
        <v>0.0</v>
      </c>
      <c r="Q116" s="95">
        <v>0.0</v>
      </c>
      <c r="R116" s="95">
        <v>0.0</v>
      </c>
      <c r="S116" s="95">
        <v>0.0</v>
      </c>
      <c r="T116" s="95">
        <v>0.0</v>
      </c>
      <c r="U116" s="95">
        <v>0.0</v>
      </c>
      <c r="V116" s="95">
        <v>667000.0</v>
      </c>
      <c r="W116" s="95">
        <v>0.0</v>
      </c>
      <c r="X116" s="95">
        <v>0.0</v>
      </c>
      <c r="Y116" s="95">
        <v>0.0</v>
      </c>
      <c r="Z116" s="95">
        <v>0.0</v>
      </c>
      <c r="AA116" s="95">
        <v>667000.0</v>
      </c>
      <c r="AB116" s="95">
        <v>0.0</v>
      </c>
      <c r="AC116" s="95">
        <v>0.0</v>
      </c>
      <c r="AD116" s="95">
        <v>0.0</v>
      </c>
      <c r="AE116" s="95">
        <v>0.0</v>
      </c>
      <c r="AF116" s="95"/>
      <c r="AG116" s="95"/>
      <c r="AH116" s="95"/>
      <c r="AI116" s="95"/>
      <c r="AJ116" s="95"/>
      <c r="AK116" s="95"/>
      <c r="AL116" s="95"/>
      <c r="AM116" s="95"/>
      <c r="AN116" s="95"/>
    </row>
    <row r="117" ht="14.25" customHeight="1">
      <c r="B117" s="507">
        <f t="shared" si="1"/>
        <v>0</v>
      </c>
      <c r="C117" s="95" t="str">
        <f t="shared" si="2"/>
        <v>修繕引当金繰入</v>
      </c>
      <c r="D117" s="95"/>
      <c r="E117" s="95" t="s">
        <v>61</v>
      </c>
      <c r="F117" s="95"/>
      <c r="G117" s="95">
        <v>187500.0</v>
      </c>
      <c r="H117" s="95">
        <v>0.0</v>
      </c>
      <c r="I117" s="95">
        <v>110000.0</v>
      </c>
      <c r="J117" s="95">
        <v>0.0</v>
      </c>
      <c r="K117" s="95">
        <v>0.0</v>
      </c>
      <c r="L117" s="95">
        <v>0.0</v>
      </c>
      <c r="M117" s="95">
        <v>297500.0</v>
      </c>
      <c r="N117" s="95">
        <v>50000.0</v>
      </c>
      <c r="O117" s="95">
        <v>60000.0</v>
      </c>
      <c r="P117" s="95">
        <v>0.0</v>
      </c>
      <c r="Q117" s="95">
        <v>0.0</v>
      </c>
      <c r="R117" s="95">
        <v>0.0</v>
      </c>
      <c r="S117" s="95">
        <v>0.0</v>
      </c>
      <c r="T117" s="95">
        <v>110000.0</v>
      </c>
      <c r="U117" s="95">
        <v>60000.0</v>
      </c>
      <c r="V117" s="95">
        <v>110000.0</v>
      </c>
      <c r="W117" s="95">
        <v>0.0</v>
      </c>
      <c r="X117" s="95">
        <v>100000.0</v>
      </c>
      <c r="Y117" s="95">
        <v>0.0</v>
      </c>
      <c r="Z117" s="95">
        <v>0.0</v>
      </c>
      <c r="AA117" s="95">
        <v>270000.0</v>
      </c>
      <c r="AB117" s="95">
        <v>0.0</v>
      </c>
      <c r="AC117" s="95">
        <v>0.0</v>
      </c>
      <c r="AD117" s="95">
        <v>0.0</v>
      </c>
      <c r="AE117" s="95">
        <v>0.0</v>
      </c>
      <c r="AF117" s="95"/>
      <c r="AG117" s="95"/>
      <c r="AH117" s="95"/>
      <c r="AI117" s="95"/>
      <c r="AJ117" s="95"/>
      <c r="AK117" s="95"/>
      <c r="AL117" s="95"/>
      <c r="AM117" s="95"/>
      <c r="AN117" s="95"/>
    </row>
    <row r="118" ht="14.25" customHeight="1">
      <c r="B118" s="507">
        <f t="shared" si="1"/>
        <v>0</v>
      </c>
      <c r="C118" s="95" t="str">
        <f t="shared" si="2"/>
        <v>特別修繕引当金繰入</v>
      </c>
      <c r="D118" s="95"/>
      <c r="E118" s="95" t="s">
        <v>63</v>
      </c>
      <c r="F118" s="95"/>
      <c r="G118" s="95">
        <v>275000.0</v>
      </c>
      <c r="H118" s="95">
        <v>0.0</v>
      </c>
      <c r="I118" s="95">
        <v>750000.0</v>
      </c>
      <c r="J118" s="95">
        <v>0.0</v>
      </c>
      <c r="K118" s="95">
        <v>0.0</v>
      </c>
      <c r="L118" s="95">
        <v>0.0</v>
      </c>
      <c r="M118" s="95">
        <v>1025000.0</v>
      </c>
      <c r="N118" s="95">
        <v>30000.0</v>
      </c>
      <c r="O118" s="95">
        <v>30000.0</v>
      </c>
      <c r="P118" s="95">
        <v>0.0</v>
      </c>
      <c r="Q118" s="95">
        <v>0.0</v>
      </c>
      <c r="R118" s="95">
        <v>0.0</v>
      </c>
      <c r="S118" s="95">
        <v>0.0</v>
      </c>
      <c r="T118" s="95">
        <v>60000.0</v>
      </c>
      <c r="U118" s="95">
        <v>130000.0</v>
      </c>
      <c r="V118" s="95">
        <v>490000.0</v>
      </c>
      <c r="W118" s="95">
        <v>0.0</v>
      </c>
      <c r="X118" s="95">
        <v>0.0</v>
      </c>
      <c r="Y118" s="95">
        <v>0.0</v>
      </c>
      <c r="Z118" s="95">
        <v>0.0</v>
      </c>
      <c r="AA118" s="95">
        <v>620000.0</v>
      </c>
      <c r="AB118" s="95">
        <v>0.0</v>
      </c>
      <c r="AC118" s="95">
        <v>0.0</v>
      </c>
      <c r="AD118" s="95">
        <v>0.0</v>
      </c>
      <c r="AE118" s="95">
        <v>0.0</v>
      </c>
      <c r="AF118" s="95"/>
      <c r="AG118" s="95"/>
      <c r="AH118" s="95"/>
      <c r="AI118" s="95"/>
      <c r="AJ118" s="95"/>
      <c r="AK118" s="95"/>
      <c r="AL118" s="95"/>
      <c r="AM118" s="95"/>
      <c r="AN118" s="95"/>
    </row>
    <row r="119" ht="14.25" customHeight="1">
      <c r="B119" s="507">
        <f t="shared" si="1"/>
        <v>0</v>
      </c>
      <c r="C119" s="95" t="str">
        <f t="shared" si="2"/>
        <v>備品消耗品費</v>
      </c>
      <c r="D119" s="95"/>
      <c r="E119" s="95" t="s">
        <v>64</v>
      </c>
      <c r="F119" s="95"/>
      <c r="G119" s="95">
        <v>8727.0</v>
      </c>
      <c r="H119" s="95">
        <v>13920.0</v>
      </c>
      <c r="I119" s="95">
        <v>103731.0</v>
      </c>
      <c r="J119" s="95">
        <v>4855.0</v>
      </c>
      <c r="K119" s="95">
        <v>0.0</v>
      </c>
      <c r="L119" s="95">
        <v>0.0</v>
      </c>
      <c r="M119" s="95">
        <v>131233.0</v>
      </c>
      <c r="N119" s="95">
        <v>51884.0</v>
      </c>
      <c r="O119" s="95">
        <v>31540.0</v>
      </c>
      <c r="P119" s="95">
        <v>2695.0</v>
      </c>
      <c r="Q119" s="95">
        <v>18674.0</v>
      </c>
      <c r="R119" s="95">
        <v>0.0</v>
      </c>
      <c r="S119" s="95">
        <v>0.0</v>
      </c>
      <c r="T119" s="95">
        <v>104793.0</v>
      </c>
      <c r="U119" s="95">
        <v>49072.0</v>
      </c>
      <c r="V119" s="95">
        <v>438533.0</v>
      </c>
      <c r="W119" s="95">
        <v>-228753.0</v>
      </c>
      <c r="X119" s="95">
        <v>54277.0</v>
      </c>
      <c r="Y119" s="95">
        <v>0.0</v>
      </c>
      <c r="Z119" s="95">
        <v>0.0</v>
      </c>
      <c r="AA119" s="95">
        <v>313129.0</v>
      </c>
      <c r="AB119" s="95">
        <v>0.0</v>
      </c>
      <c r="AC119" s="95">
        <v>740.0</v>
      </c>
      <c r="AD119" s="95">
        <v>0.0</v>
      </c>
      <c r="AE119" s="95">
        <v>740.0</v>
      </c>
      <c r="AF119" s="95"/>
      <c r="AG119" s="95"/>
      <c r="AH119" s="95"/>
      <c r="AI119" s="95"/>
      <c r="AJ119" s="95"/>
      <c r="AK119" s="95"/>
      <c r="AL119" s="95"/>
      <c r="AM119" s="95"/>
      <c r="AN119" s="95"/>
    </row>
    <row r="120" ht="14.25" customHeight="1">
      <c r="B120" s="507">
        <f t="shared" si="1"/>
        <v>0</v>
      </c>
      <c r="C120" s="95" t="str">
        <f t="shared" si="2"/>
        <v>客用消耗品費</v>
      </c>
      <c r="D120" s="95"/>
      <c r="E120" s="95" t="s">
        <v>65</v>
      </c>
      <c r="F120" s="95"/>
      <c r="G120" s="95">
        <v>78766.0</v>
      </c>
      <c r="H120" s="95">
        <v>0.0</v>
      </c>
      <c r="I120" s="95">
        <v>60500.0</v>
      </c>
      <c r="J120" s="95">
        <v>0.0</v>
      </c>
      <c r="K120" s="95">
        <v>0.0</v>
      </c>
      <c r="L120" s="95">
        <v>0.0</v>
      </c>
      <c r="M120" s="95">
        <v>139266.0</v>
      </c>
      <c r="N120" s="95">
        <v>148247.0</v>
      </c>
      <c r="O120" s="95">
        <v>164698.0</v>
      </c>
      <c r="P120" s="95">
        <v>0.0</v>
      </c>
      <c r="Q120" s="95">
        <v>0.0</v>
      </c>
      <c r="R120" s="95">
        <v>0.0</v>
      </c>
      <c r="S120" s="95">
        <v>0.0</v>
      </c>
      <c r="T120" s="95">
        <v>312945.0</v>
      </c>
      <c r="U120" s="95">
        <v>267349.0</v>
      </c>
      <c r="V120" s="95">
        <v>776562.0</v>
      </c>
      <c r="W120" s="95">
        <v>48827.0</v>
      </c>
      <c r="X120" s="95">
        <v>64840.0</v>
      </c>
      <c r="Y120" s="95">
        <v>0.0</v>
      </c>
      <c r="Z120" s="95">
        <v>0.0</v>
      </c>
      <c r="AA120" s="95">
        <v>1157578.0</v>
      </c>
      <c r="AB120" s="95">
        <v>0.0</v>
      </c>
      <c r="AC120" s="95">
        <v>0.0</v>
      </c>
      <c r="AD120" s="95">
        <v>0.0</v>
      </c>
      <c r="AE120" s="95">
        <v>0.0</v>
      </c>
      <c r="AF120" s="95"/>
      <c r="AG120" s="95"/>
      <c r="AH120" s="95"/>
      <c r="AI120" s="95"/>
      <c r="AJ120" s="95"/>
      <c r="AK120" s="95"/>
      <c r="AL120" s="95"/>
      <c r="AM120" s="95"/>
      <c r="AN120" s="95"/>
    </row>
    <row r="121" ht="14.25" customHeight="1">
      <c r="B121" s="507">
        <f t="shared" si="1"/>
        <v>0</v>
      </c>
      <c r="C121" s="95" t="str">
        <f t="shared" si="2"/>
        <v>クリーニング費</v>
      </c>
      <c r="D121" s="95"/>
      <c r="E121" s="95" t="s">
        <v>66</v>
      </c>
      <c r="F121" s="95"/>
      <c r="G121" s="95">
        <v>491996.0</v>
      </c>
      <c r="H121" s="95">
        <v>0.0</v>
      </c>
      <c r="I121" s="95">
        <v>491996.0</v>
      </c>
      <c r="J121" s="95">
        <v>0.0</v>
      </c>
      <c r="K121" s="95">
        <v>0.0</v>
      </c>
      <c r="L121" s="95">
        <v>0.0</v>
      </c>
      <c r="M121" s="95">
        <v>983992.0</v>
      </c>
      <c r="N121" s="95">
        <v>507870.0</v>
      </c>
      <c r="O121" s="95">
        <v>153450.0</v>
      </c>
      <c r="P121" s="95">
        <v>0.0</v>
      </c>
      <c r="Q121" s="95">
        <v>0.0</v>
      </c>
      <c r="R121" s="95">
        <v>0.0</v>
      </c>
      <c r="S121" s="95">
        <v>0.0</v>
      </c>
      <c r="T121" s="95">
        <v>661320.0</v>
      </c>
      <c r="U121" s="95">
        <v>290647.0</v>
      </c>
      <c r="V121" s="95">
        <v>2025535.0</v>
      </c>
      <c r="W121" s="95">
        <v>180.0</v>
      </c>
      <c r="X121" s="95">
        <v>554089.0</v>
      </c>
      <c r="Y121" s="95">
        <v>0.0</v>
      </c>
      <c r="Z121" s="95">
        <v>0.0</v>
      </c>
      <c r="AA121" s="95">
        <v>2870451.0</v>
      </c>
      <c r="AB121" s="95">
        <v>0.0</v>
      </c>
      <c r="AC121" s="95">
        <v>0.0</v>
      </c>
      <c r="AD121" s="95">
        <v>0.0</v>
      </c>
      <c r="AE121" s="95">
        <v>0.0</v>
      </c>
      <c r="AF121" s="95"/>
      <c r="AG121" s="95"/>
      <c r="AH121" s="95"/>
      <c r="AI121" s="95"/>
      <c r="AJ121" s="95"/>
      <c r="AK121" s="95"/>
      <c r="AL121" s="95"/>
      <c r="AM121" s="95"/>
      <c r="AN121" s="95"/>
    </row>
    <row r="122" ht="14.25" customHeight="1">
      <c r="B122" s="507">
        <f t="shared" si="1"/>
        <v>0</v>
      </c>
      <c r="C122" s="95" t="str">
        <f t="shared" si="2"/>
        <v>小山</v>
      </c>
      <c r="D122" s="95"/>
      <c r="E122" s="95"/>
      <c r="F122" s="95" t="s">
        <v>270</v>
      </c>
      <c r="G122" s="95">
        <v>0.0</v>
      </c>
      <c r="H122" s="95">
        <v>0.0</v>
      </c>
      <c r="I122" s="95">
        <v>0.0</v>
      </c>
      <c r="J122" s="95">
        <v>0.0</v>
      </c>
      <c r="K122" s="95">
        <v>0.0</v>
      </c>
      <c r="L122" s="95">
        <v>0.0</v>
      </c>
      <c r="M122" s="95">
        <v>0.0</v>
      </c>
      <c r="N122" s="95">
        <v>0.0</v>
      </c>
      <c r="O122" s="95">
        <v>153450.0</v>
      </c>
      <c r="P122" s="95">
        <v>0.0</v>
      </c>
      <c r="Q122" s="95">
        <v>0.0</v>
      </c>
      <c r="R122" s="95">
        <v>0.0</v>
      </c>
      <c r="S122" s="95">
        <v>0.0</v>
      </c>
      <c r="T122" s="95">
        <v>153450.0</v>
      </c>
      <c r="U122" s="95">
        <v>0.0</v>
      </c>
      <c r="V122" s="95">
        <v>0.0</v>
      </c>
      <c r="W122" s="95">
        <v>0.0</v>
      </c>
      <c r="X122" s="95">
        <v>0.0</v>
      </c>
      <c r="Y122" s="95">
        <v>0.0</v>
      </c>
      <c r="Z122" s="95">
        <v>0.0</v>
      </c>
      <c r="AA122" s="95">
        <v>0.0</v>
      </c>
      <c r="AB122" s="95">
        <v>0.0</v>
      </c>
      <c r="AC122" s="95">
        <v>0.0</v>
      </c>
      <c r="AD122" s="95">
        <v>0.0</v>
      </c>
      <c r="AE122" s="95">
        <v>0.0</v>
      </c>
      <c r="AF122" s="95"/>
      <c r="AG122" s="95"/>
      <c r="AH122" s="95"/>
      <c r="AI122" s="95"/>
      <c r="AJ122" s="95"/>
      <c r="AK122" s="95"/>
      <c r="AL122" s="95"/>
      <c r="AM122" s="95"/>
      <c r="AN122" s="95"/>
    </row>
    <row r="123" ht="14.25" customHeight="1">
      <c r="B123" s="507">
        <f t="shared" si="1"/>
        <v>0</v>
      </c>
      <c r="C123" s="95" t="str">
        <f t="shared" si="2"/>
        <v>白洋舎</v>
      </c>
      <c r="D123" s="95"/>
      <c r="E123" s="95"/>
      <c r="F123" s="95" t="s">
        <v>271</v>
      </c>
      <c r="G123" s="95">
        <v>491996.0</v>
      </c>
      <c r="H123" s="95">
        <v>0.0</v>
      </c>
      <c r="I123" s="95">
        <v>491996.0</v>
      </c>
      <c r="J123" s="95">
        <v>0.0</v>
      </c>
      <c r="K123" s="95">
        <v>0.0</v>
      </c>
      <c r="L123" s="95">
        <v>0.0</v>
      </c>
      <c r="M123" s="95">
        <v>983992.0</v>
      </c>
      <c r="N123" s="95">
        <v>506876.0</v>
      </c>
      <c r="O123" s="95">
        <v>0.0</v>
      </c>
      <c r="P123" s="95">
        <v>0.0</v>
      </c>
      <c r="Q123" s="95">
        <v>0.0</v>
      </c>
      <c r="R123" s="95">
        <v>0.0</v>
      </c>
      <c r="S123" s="95">
        <v>0.0</v>
      </c>
      <c r="T123" s="95">
        <v>506876.0</v>
      </c>
      <c r="U123" s="95">
        <v>290647.0</v>
      </c>
      <c r="V123" s="95">
        <v>2025535.0</v>
      </c>
      <c r="W123" s="95">
        <v>0.0</v>
      </c>
      <c r="X123" s="95">
        <v>554089.0</v>
      </c>
      <c r="Y123" s="95">
        <v>0.0</v>
      </c>
      <c r="Z123" s="95">
        <v>0.0</v>
      </c>
      <c r="AA123" s="95">
        <v>2870271.0</v>
      </c>
      <c r="AB123" s="95">
        <v>0.0</v>
      </c>
      <c r="AC123" s="95">
        <v>0.0</v>
      </c>
      <c r="AD123" s="95">
        <v>0.0</v>
      </c>
      <c r="AE123" s="95">
        <v>0.0</v>
      </c>
      <c r="AF123" s="95"/>
      <c r="AG123" s="95"/>
      <c r="AH123" s="95"/>
      <c r="AI123" s="95"/>
      <c r="AJ123" s="95"/>
      <c r="AK123" s="95"/>
      <c r="AL123" s="95"/>
      <c r="AM123" s="95"/>
      <c r="AN123" s="95"/>
    </row>
    <row r="124" ht="14.25" customHeight="1">
      <c r="B124" s="507">
        <f t="shared" si="1"/>
        <v>0</v>
      </c>
      <c r="C124" s="95" t="str">
        <f t="shared" si="2"/>
        <v>その他</v>
      </c>
      <c r="D124" s="95"/>
      <c r="E124" s="95"/>
      <c r="F124" s="95" t="s">
        <v>209</v>
      </c>
      <c r="G124" s="95">
        <v>0.0</v>
      </c>
      <c r="H124" s="95">
        <v>0.0</v>
      </c>
      <c r="I124" s="95">
        <v>0.0</v>
      </c>
      <c r="J124" s="95">
        <v>0.0</v>
      </c>
      <c r="K124" s="95">
        <v>0.0</v>
      </c>
      <c r="L124" s="95">
        <v>0.0</v>
      </c>
      <c r="M124" s="95">
        <v>0.0</v>
      </c>
      <c r="N124" s="95">
        <v>0.0</v>
      </c>
      <c r="O124" s="95">
        <v>0.0</v>
      </c>
      <c r="P124" s="95">
        <v>0.0</v>
      </c>
      <c r="Q124" s="95">
        <v>0.0</v>
      </c>
      <c r="R124" s="95">
        <v>0.0</v>
      </c>
      <c r="S124" s="95">
        <v>0.0</v>
      </c>
      <c r="T124" s="95">
        <v>0.0</v>
      </c>
      <c r="U124" s="95">
        <v>0.0</v>
      </c>
      <c r="V124" s="95">
        <v>0.0</v>
      </c>
      <c r="W124" s="95">
        <v>180.0</v>
      </c>
      <c r="X124" s="95">
        <v>0.0</v>
      </c>
      <c r="Y124" s="95">
        <v>0.0</v>
      </c>
      <c r="Z124" s="95">
        <v>0.0</v>
      </c>
      <c r="AA124" s="95">
        <v>180.0</v>
      </c>
      <c r="AB124" s="95">
        <v>0.0</v>
      </c>
      <c r="AC124" s="95">
        <v>0.0</v>
      </c>
      <c r="AD124" s="95">
        <v>0.0</v>
      </c>
      <c r="AE124" s="95">
        <v>0.0</v>
      </c>
      <c r="AF124" s="95"/>
      <c r="AG124" s="95"/>
      <c r="AH124" s="95"/>
      <c r="AI124" s="95"/>
      <c r="AJ124" s="95"/>
      <c r="AK124" s="95"/>
      <c r="AL124" s="95"/>
      <c r="AM124" s="95"/>
      <c r="AN124" s="95"/>
    </row>
    <row r="125" ht="14.25" customHeight="1">
      <c r="B125" s="507">
        <f t="shared" si="1"/>
        <v>0</v>
      </c>
      <c r="C125" s="95" t="str">
        <f t="shared" si="2"/>
        <v>補助科目なし</v>
      </c>
      <c r="D125" s="95"/>
      <c r="E125" s="95"/>
      <c r="F125" s="95" t="s">
        <v>199</v>
      </c>
      <c r="G125" s="95">
        <v>0.0</v>
      </c>
      <c r="H125" s="95">
        <v>0.0</v>
      </c>
      <c r="I125" s="95">
        <v>0.0</v>
      </c>
      <c r="J125" s="95">
        <v>0.0</v>
      </c>
      <c r="K125" s="95">
        <v>0.0</v>
      </c>
      <c r="L125" s="95">
        <v>0.0</v>
      </c>
      <c r="M125" s="95">
        <v>0.0</v>
      </c>
      <c r="N125" s="95">
        <v>994.0</v>
      </c>
      <c r="O125" s="95">
        <v>0.0</v>
      </c>
      <c r="P125" s="95">
        <v>0.0</v>
      </c>
      <c r="Q125" s="95">
        <v>0.0</v>
      </c>
      <c r="R125" s="95">
        <v>0.0</v>
      </c>
      <c r="S125" s="95">
        <v>0.0</v>
      </c>
      <c r="T125" s="95">
        <v>994.0</v>
      </c>
      <c r="U125" s="95">
        <v>0.0</v>
      </c>
      <c r="V125" s="95">
        <v>0.0</v>
      </c>
      <c r="W125" s="95">
        <v>0.0</v>
      </c>
      <c r="X125" s="95">
        <v>0.0</v>
      </c>
      <c r="Y125" s="95">
        <v>0.0</v>
      </c>
      <c r="Z125" s="95">
        <v>0.0</v>
      </c>
      <c r="AA125" s="95">
        <v>0.0</v>
      </c>
      <c r="AB125" s="95">
        <v>0.0</v>
      </c>
      <c r="AC125" s="95">
        <v>0.0</v>
      </c>
      <c r="AD125" s="95">
        <v>0.0</v>
      </c>
      <c r="AE125" s="95">
        <v>0.0</v>
      </c>
      <c r="AF125" s="95"/>
      <c r="AG125" s="95"/>
      <c r="AH125" s="95"/>
      <c r="AI125" s="95"/>
      <c r="AJ125" s="95"/>
      <c r="AK125" s="95"/>
      <c r="AL125" s="95"/>
      <c r="AM125" s="95"/>
      <c r="AN125" s="95"/>
    </row>
    <row r="126" ht="14.25" customHeight="1">
      <c r="B126" s="507">
        <f t="shared" si="1"/>
        <v>0</v>
      </c>
      <c r="C126" s="95" t="str">
        <f t="shared" si="2"/>
        <v>荷造運賃</v>
      </c>
      <c r="D126" s="95"/>
      <c r="E126" s="95" t="s">
        <v>67</v>
      </c>
      <c r="F126" s="95"/>
      <c r="G126" s="95">
        <v>0.0</v>
      </c>
      <c r="H126" s="95">
        <v>72961.0</v>
      </c>
      <c r="I126" s="95">
        <v>0.0</v>
      </c>
      <c r="J126" s="95">
        <v>0.0</v>
      </c>
      <c r="K126" s="95">
        <v>0.0</v>
      </c>
      <c r="L126" s="95">
        <v>0.0</v>
      </c>
      <c r="M126" s="95">
        <v>72961.0</v>
      </c>
      <c r="N126" s="95">
        <v>0.0</v>
      </c>
      <c r="O126" s="95">
        <v>0.0</v>
      </c>
      <c r="P126" s="95">
        <v>0.0</v>
      </c>
      <c r="Q126" s="95">
        <v>0.0</v>
      </c>
      <c r="R126" s="95">
        <v>0.0</v>
      </c>
      <c r="S126" s="95">
        <v>0.0</v>
      </c>
      <c r="T126" s="95">
        <v>0.0</v>
      </c>
      <c r="U126" s="95">
        <v>0.0</v>
      </c>
      <c r="V126" s="95">
        <v>0.0</v>
      </c>
      <c r="W126" s="95">
        <v>155000.0</v>
      </c>
      <c r="X126" s="95">
        <v>0.0</v>
      </c>
      <c r="Y126" s="95">
        <v>0.0</v>
      </c>
      <c r="Z126" s="95">
        <v>0.0</v>
      </c>
      <c r="AA126" s="95">
        <v>155000.0</v>
      </c>
      <c r="AB126" s="95">
        <v>0.0</v>
      </c>
      <c r="AC126" s="95">
        <v>0.0</v>
      </c>
      <c r="AD126" s="95">
        <v>0.0</v>
      </c>
      <c r="AE126" s="95">
        <v>0.0</v>
      </c>
      <c r="AF126" s="95"/>
      <c r="AG126" s="95"/>
      <c r="AH126" s="95"/>
      <c r="AI126" s="95"/>
      <c r="AJ126" s="95"/>
      <c r="AK126" s="95"/>
      <c r="AL126" s="95"/>
      <c r="AM126" s="95"/>
      <c r="AN126" s="95"/>
    </row>
    <row r="127" ht="14.25" customHeight="1">
      <c r="B127" s="507">
        <f t="shared" si="1"/>
        <v>0</v>
      </c>
      <c r="C127" s="95" t="str">
        <f t="shared" si="2"/>
        <v>通信費</v>
      </c>
      <c r="D127" s="95"/>
      <c r="E127" s="95" t="s">
        <v>69</v>
      </c>
      <c r="F127" s="95"/>
      <c r="G127" s="95">
        <v>25053.0</v>
      </c>
      <c r="H127" s="95">
        <v>0.0</v>
      </c>
      <c r="I127" s="95">
        <v>38851.0</v>
      </c>
      <c r="J127" s="95">
        <v>0.0</v>
      </c>
      <c r="K127" s="95">
        <v>0.0</v>
      </c>
      <c r="L127" s="95">
        <v>0.0</v>
      </c>
      <c r="M127" s="95">
        <v>63904.0</v>
      </c>
      <c r="N127" s="95">
        <v>10960.0</v>
      </c>
      <c r="O127" s="95">
        <v>49420.0</v>
      </c>
      <c r="P127" s="95">
        <v>0.0</v>
      </c>
      <c r="Q127" s="95">
        <v>0.0</v>
      </c>
      <c r="R127" s="95">
        <v>0.0</v>
      </c>
      <c r="S127" s="95">
        <v>0.0</v>
      </c>
      <c r="T127" s="95">
        <v>60380.0</v>
      </c>
      <c r="U127" s="95">
        <v>12126.0</v>
      </c>
      <c r="V127" s="95">
        <v>36039.0</v>
      </c>
      <c r="W127" s="95">
        <v>10299.0</v>
      </c>
      <c r="X127" s="95">
        <v>87286.0</v>
      </c>
      <c r="Y127" s="95">
        <v>0.0</v>
      </c>
      <c r="Z127" s="95">
        <v>0.0</v>
      </c>
      <c r="AA127" s="95">
        <v>145750.0</v>
      </c>
      <c r="AB127" s="95">
        <v>51440.0</v>
      </c>
      <c r="AC127" s="95">
        <v>479.0</v>
      </c>
      <c r="AD127" s="95">
        <v>0.0</v>
      </c>
      <c r="AE127" s="95">
        <v>51919.0</v>
      </c>
      <c r="AF127" s="95"/>
      <c r="AG127" s="95"/>
      <c r="AH127" s="95"/>
      <c r="AI127" s="95"/>
      <c r="AJ127" s="95"/>
      <c r="AK127" s="95"/>
      <c r="AL127" s="95"/>
      <c r="AM127" s="95"/>
      <c r="AN127" s="95"/>
    </row>
    <row r="128" ht="14.25" customHeight="1">
      <c r="B128" s="507">
        <f t="shared" si="1"/>
        <v>0</v>
      </c>
      <c r="C128" s="95" t="str">
        <f t="shared" si="2"/>
        <v>NTTファイナンス</v>
      </c>
      <c r="D128" s="95"/>
      <c r="E128" s="95"/>
      <c r="F128" s="95" t="s">
        <v>272</v>
      </c>
      <c r="G128" s="95">
        <v>0.0</v>
      </c>
      <c r="H128" s="95">
        <v>0.0</v>
      </c>
      <c r="I128" s="95">
        <v>0.0</v>
      </c>
      <c r="J128" s="95">
        <v>0.0</v>
      </c>
      <c r="K128" s="95">
        <v>0.0</v>
      </c>
      <c r="L128" s="95">
        <v>0.0</v>
      </c>
      <c r="M128" s="95">
        <v>0.0</v>
      </c>
      <c r="N128" s="95">
        <v>0.0</v>
      </c>
      <c r="O128" s="95">
        <v>0.0</v>
      </c>
      <c r="P128" s="95">
        <v>0.0</v>
      </c>
      <c r="Q128" s="95">
        <v>0.0</v>
      </c>
      <c r="R128" s="95">
        <v>0.0</v>
      </c>
      <c r="S128" s="95">
        <v>0.0</v>
      </c>
      <c r="T128" s="95">
        <v>0.0</v>
      </c>
      <c r="U128" s="95">
        <v>0.0</v>
      </c>
      <c r="V128" s="95">
        <v>0.0</v>
      </c>
      <c r="W128" s="95">
        <v>0.0</v>
      </c>
      <c r="X128" s="95">
        <v>0.0</v>
      </c>
      <c r="Y128" s="95">
        <v>0.0</v>
      </c>
      <c r="Z128" s="95">
        <v>0.0</v>
      </c>
      <c r="AA128" s="95">
        <v>0.0</v>
      </c>
      <c r="AB128" s="95">
        <v>0.0</v>
      </c>
      <c r="AC128" s="95">
        <v>0.0</v>
      </c>
      <c r="AD128" s="95">
        <v>0.0</v>
      </c>
      <c r="AE128" s="95">
        <v>0.0</v>
      </c>
      <c r="AF128" s="95"/>
      <c r="AG128" s="95"/>
      <c r="AH128" s="95"/>
      <c r="AI128" s="95"/>
      <c r="AJ128" s="95"/>
      <c r="AK128" s="95"/>
      <c r="AL128" s="95"/>
      <c r="AM128" s="95"/>
      <c r="AN128" s="95"/>
    </row>
    <row r="129" ht="14.25" customHeight="1">
      <c r="B129" s="507">
        <f t="shared" si="1"/>
        <v>0</v>
      </c>
      <c r="C129" s="95" t="str">
        <f t="shared" si="2"/>
        <v>NTTドコモ</v>
      </c>
      <c r="D129" s="95"/>
      <c r="E129" s="95"/>
      <c r="F129" s="95" t="s">
        <v>273</v>
      </c>
      <c r="G129" s="95">
        <v>0.0</v>
      </c>
      <c r="H129" s="95">
        <v>0.0</v>
      </c>
      <c r="I129" s="95">
        <v>0.0</v>
      </c>
      <c r="J129" s="95">
        <v>0.0</v>
      </c>
      <c r="K129" s="95">
        <v>0.0</v>
      </c>
      <c r="L129" s="95">
        <v>0.0</v>
      </c>
      <c r="M129" s="95">
        <v>0.0</v>
      </c>
      <c r="N129" s="95">
        <v>0.0</v>
      </c>
      <c r="O129" s="95">
        <v>0.0</v>
      </c>
      <c r="P129" s="95">
        <v>0.0</v>
      </c>
      <c r="Q129" s="95">
        <v>0.0</v>
      </c>
      <c r="R129" s="95">
        <v>0.0</v>
      </c>
      <c r="S129" s="95">
        <v>0.0</v>
      </c>
      <c r="T129" s="95">
        <v>0.0</v>
      </c>
      <c r="U129" s="95">
        <v>0.0</v>
      </c>
      <c r="V129" s="95">
        <v>0.0</v>
      </c>
      <c r="W129" s="95">
        <v>0.0</v>
      </c>
      <c r="X129" s="95">
        <v>0.0</v>
      </c>
      <c r="Y129" s="95">
        <v>0.0</v>
      </c>
      <c r="Z129" s="95">
        <v>0.0</v>
      </c>
      <c r="AA129" s="95">
        <v>0.0</v>
      </c>
      <c r="AB129" s="95">
        <v>0.0</v>
      </c>
      <c r="AC129" s="95">
        <v>0.0</v>
      </c>
      <c r="AD129" s="95">
        <v>0.0</v>
      </c>
      <c r="AE129" s="95">
        <v>0.0</v>
      </c>
      <c r="AF129" s="95"/>
      <c r="AG129" s="95"/>
      <c r="AH129" s="95"/>
      <c r="AI129" s="95"/>
      <c r="AJ129" s="95"/>
      <c r="AK129" s="95"/>
      <c r="AL129" s="95"/>
      <c r="AM129" s="95"/>
      <c r="AN129" s="95"/>
    </row>
    <row r="130" ht="14.25" customHeight="1">
      <c r="B130" s="507">
        <f t="shared" si="1"/>
        <v>0</v>
      </c>
      <c r="C130" s="95" t="str">
        <f t="shared" si="2"/>
        <v>ソフトバンク</v>
      </c>
      <c r="D130" s="95"/>
      <c r="E130" s="95"/>
      <c r="F130" s="95" t="s">
        <v>274</v>
      </c>
      <c r="G130" s="95">
        <v>0.0</v>
      </c>
      <c r="H130" s="95">
        <v>0.0</v>
      </c>
      <c r="I130" s="95">
        <v>0.0</v>
      </c>
      <c r="J130" s="95">
        <v>0.0</v>
      </c>
      <c r="K130" s="95">
        <v>0.0</v>
      </c>
      <c r="L130" s="95">
        <v>0.0</v>
      </c>
      <c r="M130" s="95">
        <v>0.0</v>
      </c>
      <c r="N130" s="95">
        <v>0.0</v>
      </c>
      <c r="O130" s="95">
        <v>0.0</v>
      </c>
      <c r="P130" s="95">
        <v>0.0</v>
      </c>
      <c r="Q130" s="95">
        <v>0.0</v>
      </c>
      <c r="R130" s="95">
        <v>0.0</v>
      </c>
      <c r="S130" s="95">
        <v>0.0</v>
      </c>
      <c r="T130" s="95">
        <v>0.0</v>
      </c>
      <c r="U130" s="95">
        <v>0.0</v>
      </c>
      <c r="V130" s="95">
        <v>0.0</v>
      </c>
      <c r="W130" s="95">
        <v>0.0</v>
      </c>
      <c r="X130" s="95">
        <v>0.0</v>
      </c>
      <c r="Y130" s="95">
        <v>0.0</v>
      </c>
      <c r="Z130" s="95">
        <v>0.0</v>
      </c>
      <c r="AA130" s="95">
        <v>0.0</v>
      </c>
      <c r="AB130" s="95">
        <v>478.0</v>
      </c>
      <c r="AC130" s="95">
        <v>479.0</v>
      </c>
      <c r="AD130" s="95">
        <v>0.0</v>
      </c>
      <c r="AE130" s="95">
        <v>957.0</v>
      </c>
      <c r="AF130" s="95"/>
      <c r="AG130" s="95"/>
      <c r="AH130" s="95"/>
      <c r="AI130" s="95"/>
      <c r="AJ130" s="95"/>
      <c r="AK130" s="95"/>
      <c r="AL130" s="95"/>
      <c r="AM130" s="95"/>
      <c r="AN130" s="95"/>
    </row>
    <row r="131" ht="14.25" customHeight="1">
      <c r="B131" s="507">
        <f t="shared" si="1"/>
        <v>0</v>
      </c>
      <c r="C131" s="95" t="str">
        <f t="shared" si="2"/>
        <v>アスパイアメディア</v>
      </c>
      <c r="D131" s="95"/>
      <c r="E131" s="95"/>
      <c r="F131" s="95" t="s">
        <v>275</v>
      </c>
      <c r="G131" s="95">
        <v>0.0</v>
      </c>
      <c r="H131" s="95">
        <v>0.0</v>
      </c>
      <c r="I131" s="95">
        <v>0.0</v>
      </c>
      <c r="J131" s="95">
        <v>0.0</v>
      </c>
      <c r="K131" s="95">
        <v>0.0</v>
      </c>
      <c r="L131" s="95">
        <v>0.0</v>
      </c>
      <c r="M131" s="95">
        <v>0.0</v>
      </c>
      <c r="N131" s="95">
        <v>0.0</v>
      </c>
      <c r="O131" s="95">
        <v>0.0</v>
      </c>
      <c r="P131" s="95">
        <v>0.0</v>
      </c>
      <c r="Q131" s="95">
        <v>0.0</v>
      </c>
      <c r="R131" s="95">
        <v>0.0</v>
      </c>
      <c r="S131" s="95">
        <v>0.0</v>
      </c>
      <c r="T131" s="95">
        <v>0.0</v>
      </c>
      <c r="U131" s="95">
        <v>0.0</v>
      </c>
      <c r="V131" s="95">
        <v>0.0</v>
      </c>
      <c r="W131" s="95">
        <v>0.0</v>
      </c>
      <c r="X131" s="95">
        <v>0.0</v>
      </c>
      <c r="Y131" s="95">
        <v>0.0</v>
      </c>
      <c r="Z131" s="95">
        <v>0.0</v>
      </c>
      <c r="AA131" s="95">
        <v>0.0</v>
      </c>
      <c r="AB131" s="95">
        <v>0.0</v>
      </c>
      <c r="AC131" s="95">
        <v>0.0</v>
      </c>
      <c r="AD131" s="95">
        <v>0.0</v>
      </c>
      <c r="AE131" s="95">
        <v>0.0</v>
      </c>
      <c r="AF131" s="95"/>
      <c r="AG131" s="95"/>
      <c r="AH131" s="95"/>
      <c r="AI131" s="95"/>
      <c r="AJ131" s="95"/>
      <c r="AK131" s="95"/>
      <c r="AL131" s="95"/>
      <c r="AM131" s="95"/>
      <c r="AN131" s="95"/>
    </row>
    <row r="132" ht="14.25" customHeight="1">
      <c r="B132" s="507">
        <f t="shared" si="1"/>
        <v>0</v>
      </c>
      <c r="C132" s="95" t="str">
        <f t="shared" si="2"/>
        <v>インボイス</v>
      </c>
      <c r="D132" s="95"/>
      <c r="E132" s="95"/>
      <c r="F132" s="95" t="s">
        <v>276</v>
      </c>
      <c r="G132" s="95">
        <v>0.0</v>
      </c>
      <c r="H132" s="95">
        <v>0.0</v>
      </c>
      <c r="I132" s="95">
        <v>0.0</v>
      </c>
      <c r="J132" s="95">
        <v>0.0</v>
      </c>
      <c r="K132" s="95">
        <v>0.0</v>
      </c>
      <c r="L132" s="95">
        <v>0.0</v>
      </c>
      <c r="M132" s="95">
        <v>0.0</v>
      </c>
      <c r="N132" s="95">
        <v>0.0</v>
      </c>
      <c r="O132" s="95">
        <v>0.0</v>
      </c>
      <c r="P132" s="95">
        <v>0.0</v>
      </c>
      <c r="Q132" s="95">
        <v>0.0</v>
      </c>
      <c r="R132" s="95">
        <v>0.0</v>
      </c>
      <c r="S132" s="95">
        <v>0.0</v>
      </c>
      <c r="T132" s="95">
        <v>0.0</v>
      </c>
      <c r="U132" s="95">
        <v>0.0</v>
      </c>
      <c r="V132" s="95">
        <v>0.0</v>
      </c>
      <c r="W132" s="95">
        <v>0.0</v>
      </c>
      <c r="X132" s="95">
        <v>0.0</v>
      </c>
      <c r="Y132" s="95">
        <v>0.0</v>
      </c>
      <c r="Z132" s="95">
        <v>0.0</v>
      </c>
      <c r="AA132" s="95">
        <v>0.0</v>
      </c>
      <c r="AB132" s="95">
        <v>0.0</v>
      </c>
      <c r="AC132" s="95">
        <v>0.0</v>
      </c>
      <c r="AD132" s="95">
        <v>0.0</v>
      </c>
      <c r="AE132" s="95">
        <v>0.0</v>
      </c>
      <c r="AF132" s="95"/>
      <c r="AG132" s="95"/>
      <c r="AH132" s="95"/>
      <c r="AI132" s="95"/>
      <c r="AJ132" s="95"/>
      <c r="AK132" s="95"/>
      <c r="AL132" s="95"/>
      <c r="AM132" s="95"/>
      <c r="AN132" s="95"/>
    </row>
    <row r="133" ht="14.25" customHeight="1">
      <c r="B133" s="507">
        <f t="shared" si="1"/>
        <v>0</v>
      </c>
      <c r="C133" s="95" t="str">
        <f t="shared" si="2"/>
        <v>合同会社サーバー</v>
      </c>
      <c r="D133" s="95"/>
      <c r="E133" s="95"/>
      <c r="F133" s="95" t="s">
        <v>277</v>
      </c>
      <c r="G133" s="95">
        <v>0.0</v>
      </c>
      <c r="H133" s="95">
        <v>0.0</v>
      </c>
      <c r="I133" s="95">
        <v>0.0</v>
      </c>
      <c r="J133" s="95">
        <v>0.0</v>
      </c>
      <c r="K133" s="95">
        <v>0.0</v>
      </c>
      <c r="L133" s="95">
        <v>0.0</v>
      </c>
      <c r="M133" s="95">
        <v>0.0</v>
      </c>
      <c r="N133" s="95">
        <v>0.0</v>
      </c>
      <c r="O133" s="95">
        <v>0.0</v>
      </c>
      <c r="P133" s="95">
        <v>0.0</v>
      </c>
      <c r="Q133" s="95">
        <v>0.0</v>
      </c>
      <c r="R133" s="95">
        <v>0.0</v>
      </c>
      <c r="S133" s="95">
        <v>0.0</v>
      </c>
      <c r="T133" s="95">
        <v>0.0</v>
      </c>
      <c r="U133" s="95">
        <v>0.0</v>
      </c>
      <c r="V133" s="95">
        <v>0.0</v>
      </c>
      <c r="W133" s="95">
        <v>0.0</v>
      </c>
      <c r="X133" s="95">
        <v>0.0</v>
      </c>
      <c r="Y133" s="95">
        <v>0.0</v>
      </c>
      <c r="Z133" s="95">
        <v>0.0</v>
      </c>
      <c r="AA133" s="95">
        <v>0.0</v>
      </c>
      <c r="AB133" s="95">
        <v>0.0</v>
      </c>
      <c r="AC133" s="95">
        <v>0.0</v>
      </c>
      <c r="AD133" s="95">
        <v>0.0</v>
      </c>
      <c r="AE133" s="95">
        <v>0.0</v>
      </c>
      <c r="AF133" s="95"/>
      <c r="AG133" s="95"/>
      <c r="AH133" s="95"/>
      <c r="AI133" s="95"/>
      <c r="AJ133" s="95"/>
      <c r="AK133" s="95"/>
      <c r="AL133" s="95"/>
      <c r="AM133" s="95"/>
      <c r="AN133" s="95"/>
    </row>
    <row r="134" ht="14.25" customHeight="1">
      <c r="B134" s="507">
        <f t="shared" si="1"/>
        <v>0</v>
      </c>
      <c r="C134" s="95" t="str">
        <f t="shared" si="2"/>
        <v>USEN</v>
      </c>
      <c r="D134" s="95"/>
      <c r="E134" s="95"/>
      <c r="F134" s="95" t="s">
        <v>278</v>
      </c>
      <c r="G134" s="95">
        <v>0.0</v>
      </c>
      <c r="H134" s="95">
        <v>0.0</v>
      </c>
      <c r="I134" s="95">
        <v>0.0</v>
      </c>
      <c r="J134" s="95">
        <v>0.0</v>
      </c>
      <c r="K134" s="95">
        <v>0.0</v>
      </c>
      <c r="L134" s="95">
        <v>0.0</v>
      </c>
      <c r="M134" s="95">
        <v>0.0</v>
      </c>
      <c r="N134" s="95">
        <v>5500.0</v>
      </c>
      <c r="O134" s="95">
        <v>1200.0</v>
      </c>
      <c r="P134" s="95">
        <v>0.0</v>
      </c>
      <c r="Q134" s="95">
        <v>0.0</v>
      </c>
      <c r="R134" s="95">
        <v>0.0</v>
      </c>
      <c r="S134" s="95">
        <v>0.0</v>
      </c>
      <c r="T134" s="95">
        <v>6700.0</v>
      </c>
      <c r="U134" s="95">
        <v>2120.0</v>
      </c>
      <c r="V134" s="95">
        <v>10540.0</v>
      </c>
      <c r="W134" s="95">
        <v>0.0</v>
      </c>
      <c r="X134" s="95">
        <v>0.0</v>
      </c>
      <c r="Y134" s="95">
        <v>0.0</v>
      </c>
      <c r="Z134" s="95">
        <v>0.0</v>
      </c>
      <c r="AA134" s="95">
        <v>12660.0</v>
      </c>
      <c r="AB134" s="95">
        <v>33000.0</v>
      </c>
      <c r="AC134" s="95">
        <v>0.0</v>
      </c>
      <c r="AD134" s="95">
        <v>0.0</v>
      </c>
      <c r="AE134" s="95">
        <v>33000.0</v>
      </c>
      <c r="AF134" s="95"/>
      <c r="AG134" s="95"/>
      <c r="AH134" s="95"/>
      <c r="AI134" s="95"/>
      <c r="AJ134" s="95"/>
      <c r="AK134" s="95"/>
      <c r="AL134" s="95"/>
      <c r="AM134" s="95"/>
      <c r="AN134" s="95"/>
    </row>
    <row r="135" ht="14.25" customHeight="1">
      <c r="B135" s="507">
        <f t="shared" si="1"/>
        <v>0</v>
      </c>
      <c r="C135" s="95" t="str">
        <f t="shared" si="2"/>
        <v>スマートビリングサービス</v>
      </c>
      <c r="D135" s="95"/>
      <c r="E135" s="95"/>
      <c r="F135" s="95" t="s">
        <v>279</v>
      </c>
      <c r="G135" s="95">
        <v>0.0</v>
      </c>
      <c r="H135" s="95">
        <v>0.0</v>
      </c>
      <c r="I135" s="95">
        <v>0.0</v>
      </c>
      <c r="J135" s="95">
        <v>0.0</v>
      </c>
      <c r="K135" s="95">
        <v>0.0</v>
      </c>
      <c r="L135" s="95">
        <v>0.0</v>
      </c>
      <c r="M135" s="95">
        <v>0.0</v>
      </c>
      <c r="N135" s="95">
        <v>0.0</v>
      </c>
      <c r="O135" s="95">
        <v>0.0</v>
      </c>
      <c r="P135" s="95">
        <v>0.0</v>
      </c>
      <c r="Q135" s="95">
        <v>0.0</v>
      </c>
      <c r="R135" s="95">
        <v>0.0</v>
      </c>
      <c r="S135" s="95">
        <v>0.0</v>
      </c>
      <c r="T135" s="95">
        <v>0.0</v>
      </c>
      <c r="U135" s="95">
        <v>0.0</v>
      </c>
      <c r="V135" s="95">
        <v>0.0</v>
      </c>
      <c r="W135" s="95">
        <v>0.0</v>
      </c>
      <c r="X135" s="95">
        <v>0.0</v>
      </c>
      <c r="Y135" s="95">
        <v>0.0</v>
      </c>
      <c r="Z135" s="95">
        <v>0.0</v>
      </c>
      <c r="AA135" s="95">
        <v>0.0</v>
      </c>
      <c r="AB135" s="95">
        <v>0.0</v>
      </c>
      <c r="AC135" s="95">
        <v>0.0</v>
      </c>
      <c r="AD135" s="95">
        <v>0.0</v>
      </c>
      <c r="AE135" s="95">
        <v>0.0</v>
      </c>
      <c r="AF135" s="95"/>
      <c r="AG135" s="95"/>
      <c r="AH135" s="95"/>
      <c r="AI135" s="95"/>
      <c r="AJ135" s="95"/>
      <c r="AK135" s="95"/>
      <c r="AL135" s="95"/>
      <c r="AM135" s="95"/>
      <c r="AN135" s="95"/>
    </row>
    <row r="136" ht="14.25" customHeight="1">
      <c r="B136" s="507">
        <f t="shared" si="1"/>
        <v>0</v>
      </c>
      <c r="C136" s="95" t="str">
        <f t="shared" si="2"/>
        <v>JCOM</v>
      </c>
      <c r="D136" s="95"/>
      <c r="E136" s="95"/>
      <c r="F136" s="95" t="s">
        <v>280</v>
      </c>
      <c r="G136" s="95">
        <v>8903.0</v>
      </c>
      <c r="H136" s="95">
        <v>0.0</v>
      </c>
      <c r="I136" s="95">
        <v>4600.0</v>
      </c>
      <c r="J136" s="95">
        <v>0.0</v>
      </c>
      <c r="K136" s="95">
        <v>0.0</v>
      </c>
      <c r="L136" s="95">
        <v>0.0</v>
      </c>
      <c r="M136" s="95">
        <v>13503.0</v>
      </c>
      <c r="N136" s="95">
        <v>0.0</v>
      </c>
      <c r="O136" s="95">
        <v>0.0</v>
      </c>
      <c r="P136" s="95">
        <v>0.0</v>
      </c>
      <c r="Q136" s="95">
        <v>0.0</v>
      </c>
      <c r="R136" s="95">
        <v>0.0</v>
      </c>
      <c r="S136" s="95">
        <v>0.0</v>
      </c>
      <c r="T136" s="95">
        <v>0.0</v>
      </c>
      <c r="U136" s="95">
        <v>0.0</v>
      </c>
      <c r="V136" s="95">
        <v>0.0</v>
      </c>
      <c r="W136" s="95">
        <v>0.0</v>
      </c>
      <c r="X136" s="95">
        <v>0.0</v>
      </c>
      <c r="Y136" s="95">
        <v>0.0</v>
      </c>
      <c r="Z136" s="95">
        <v>0.0</v>
      </c>
      <c r="AA136" s="95">
        <v>0.0</v>
      </c>
      <c r="AB136" s="95">
        <v>0.0</v>
      </c>
      <c r="AC136" s="95">
        <v>0.0</v>
      </c>
      <c r="AD136" s="95">
        <v>0.0</v>
      </c>
      <c r="AE136" s="95">
        <v>0.0</v>
      </c>
      <c r="AF136" s="95"/>
      <c r="AG136" s="95"/>
      <c r="AH136" s="95"/>
      <c r="AI136" s="95"/>
      <c r="AJ136" s="95"/>
      <c r="AK136" s="95"/>
      <c r="AL136" s="95"/>
      <c r="AM136" s="95"/>
      <c r="AN136" s="95"/>
    </row>
    <row r="137" ht="14.25" customHeight="1">
      <c r="B137" s="507">
        <f t="shared" si="1"/>
        <v>0</v>
      </c>
      <c r="C137" s="95" t="str">
        <f t="shared" si="2"/>
        <v>ベネフィット・ワン</v>
      </c>
      <c r="D137" s="95"/>
      <c r="E137" s="95"/>
      <c r="F137" s="95" t="s">
        <v>281</v>
      </c>
      <c r="G137" s="95">
        <v>730.0</v>
      </c>
      <c r="H137" s="95">
        <v>0.0</v>
      </c>
      <c r="I137" s="95">
        <v>0.0</v>
      </c>
      <c r="J137" s="95">
        <v>0.0</v>
      </c>
      <c r="K137" s="95">
        <v>0.0</v>
      </c>
      <c r="L137" s="95">
        <v>0.0</v>
      </c>
      <c r="M137" s="95">
        <v>730.0</v>
      </c>
      <c r="N137" s="95">
        <v>0.0</v>
      </c>
      <c r="O137" s="95">
        <v>0.0</v>
      </c>
      <c r="P137" s="95">
        <v>0.0</v>
      </c>
      <c r="Q137" s="95">
        <v>0.0</v>
      </c>
      <c r="R137" s="95">
        <v>0.0</v>
      </c>
      <c r="S137" s="95">
        <v>0.0</v>
      </c>
      <c r="T137" s="95">
        <v>0.0</v>
      </c>
      <c r="U137" s="95">
        <v>0.0</v>
      </c>
      <c r="V137" s="95">
        <v>0.0</v>
      </c>
      <c r="W137" s="95">
        <v>0.0</v>
      </c>
      <c r="X137" s="95">
        <v>0.0</v>
      </c>
      <c r="Y137" s="95">
        <v>0.0</v>
      </c>
      <c r="Z137" s="95">
        <v>0.0</v>
      </c>
      <c r="AA137" s="95">
        <v>0.0</v>
      </c>
      <c r="AB137" s="95">
        <v>0.0</v>
      </c>
      <c r="AC137" s="95">
        <v>0.0</v>
      </c>
      <c r="AD137" s="95">
        <v>0.0</v>
      </c>
      <c r="AE137" s="95">
        <v>0.0</v>
      </c>
      <c r="AF137" s="95"/>
      <c r="AG137" s="95"/>
      <c r="AH137" s="95"/>
      <c r="AI137" s="95"/>
      <c r="AJ137" s="95"/>
      <c r="AK137" s="95"/>
      <c r="AL137" s="95"/>
      <c r="AM137" s="95"/>
      <c r="AN137" s="95"/>
    </row>
    <row r="138" ht="14.25" customHeight="1">
      <c r="B138" s="507">
        <f t="shared" si="1"/>
        <v>0</v>
      </c>
      <c r="C138" s="95" t="str">
        <f t="shared" si="2"/>
        <v>NHK</v>
      </c>
      <c r="D138" s="95"/>
      <c r="E138" s="95"/>
      <c r="F138" s="95" t="s">
        <v>282</v>
      </c>
      <c r="G138" s="95">
        <v>0.0</v>
      </c>
      <c r="H138" s="95">
        <v>0.0</v>
      </c>
      <c r="I138" s="95">
        <v>0.0</v>
      </c>
      <c r="J138" s="95">
        <v>0.0</v>
      </c>
      <c r="K138" s="95">
        <v>0.0</v>
      </c>
      <c r="L138" s="95">
        <v>0.0</v>
      </c>
      <c r="M138" s="95">
        <v>0.0</v>
      </c>
      <c r="N138" s="95">
        <v>0.0</v>
      </c>
      <c r="O138" s="95">
        <v>0.0</v>
      </c>
      <c r="P138" s="95">
        <v>0.0</v>
      </c>
      <c r="Q138" s="95">
        <v>0.0</v>
      </c>
      <c r="R138" s="95">
        <v>0.0</v>
      </c>
      <c r="S138" s="95">
        <v>0.0</v>
      </c>
      <c r="T138" s="95">
        <v>0.0</v>
      </c>
      <c r="U138" s="95">
        <v>0.0</v>
      </c>
      <c r="V138" s="95">
        <v>0.0</v>
      </c>
      <c r="W138" s="95">
        <v>0.0</v>
      </c>
      <c r="X138" s="95">
        <v>34875.0</v>
      </c>
      <c r="Y138" s="95">
        <v>0.0</v>
      </c>
      <c r="Z138" s="95">
        <v>0.0</v>
      </c>
      <c r="AA138" s="95">
        <v>34875.0</v>
      </c>
      <c r="AB138" s="95">
        <v>0.0</v>
      </c>
      <c r="AC138" s="95">
        <v>0.0</v>
      </c>
      <c r="AD138" s="95">
        <v>0.0</v>
      </c>
      <c r="AE138" s="95">
        <v>0.0</v>
      </c>
      <c r="AF138" s="95"/>
      <c r="AG138" s="95"/>
      <c r="AH138" s="95"/>
      <c r="AI138" s="95"/>
      <c r="AJ138" s="95"/>
      <c r="AK138" s="95"/>
      <c r="AL138" s="95"/>
      <c r="AM138" s="95"/>
      <c r="AN138" s="95"/>
    </row>
    <row r="139" ht="14.25" customHeight="1">
      <c r="B139" s="507">
        <f t="shared" si="1"/>
        <v>0</v>
      </c>
      <c r="C139" s="95" t="str">
        <f t="shared" si="2"/>
        <v>CANVA</v>
      </c>
      <c r="D139" s="95"/>
      <c r="E139" s="95"/>
      <c r="F139" s="95" t="s">
        <v>283</v>
      </c>
      <c r="G139" s="95">
        <v>0.0</v>
      </c>
      <c r="H139" s="95">
        <v>0.0</v>
      </c>
      <c r="I139" s="95">
        <v>0.0</v>
      </c>
      <c r="J139" s="95">
        <v>0.0</v>
      </c>
      <c r="K139" s="95">
        <v>0.0</v>
      </c>
      <c r="L139" s="95">
        <v>0.0</v>
      </c>
      <c r="M139" s="95">
        <v>0.0</v>
      </c>
      <c r="N139" s="95">
        <v>0.0</v>
      </c>
      <c r="O139" s="95">
        <v>0.0</v>
      </c>
      <c r="P139" s="95">
        <v>0.0</v>
      </c>
      <c r="Q139" s="95">
        <v>0.0</v>
      </c>
      <c r="R139" s="95">
        <v>0.0</v>
      </c>
      <c r="S139" s="95">
        <v>0.0</v>
      </c>
      <c r="T139" s="95">
        <v>0.0</v>
      </c>
      <c r="U139" s="95">
        <v>0.0</v>
      </c>
      <c r="V139" s="95">
        <v>0.0</v>
      </c>
      <c r="W139" s="95">
        <v>0.0</v>
      </c>
      <c r="X139" s="95">
        <v>0.0</v>
      </c>
      <c r="Y139" s="95">
        <v>0.0</v>
      </c>
      <c r="Z139" s="95">
        <v>0.0</v>
      </c>
      <c r="AA139" s="95">
        <v>0.0</v>
      </c>
      <c r="AB139" s="95">
        <v>0.0</v>
      </c>
      <c r="AC139" s="95">
        <v>0.0</v>
      </c>
      <c r="AD139" s="95">
        <v>0.0</v>
      </c>
      <c r="AE139" s="95">
        <v>0.0</v>
      </c>
      <c r="AF139" s="95"/>
      <c r="AG139" s="95"/>
      <c r="AH139" s="95"/>
      <c r="AI139" s="95"/>
      <c r="AJ139" s="95"/>
      <c r="AK139" s="95"/>
      <c r="AL139" s="95"/>
      <c r="AM139" s="95"/>
      <c r="AN139" s="95"/>
    </row>
    <row r="140" ht="14.25" customHeight="1">
      <c r="B140" s="507">
        <f t="shared" si="1"/>
        <v>0</v>
      </c>
      <c r="C140" s="95" t="str">
        <f t="shared" si="2"/>
        <v>切手・レターパック等</v>
      </c>
      <c r="D140" s="95"/>
      <c r="E140" s="95"/>
      <c r="F140" s="95" t="s">
        <v>284</v>
      </c>
      <c r="G140" s="95">
        <v>0.0</v>
      </c>
      <c r="H140" s="95">
        <v>0.0</v>
      </c>
      <c r="I140" s="95">
        <v>0.0</v>
      </c>
      <c r="J140" s="95">
        <v>0.0</v>
      </c>
      <c r="K140" s="95">
        <v>0.0</v>
      </c>
      <c r="L140" s="95">
        <v>0.0</v>
      </c>
      <c r="M140" s="95">
        <v>0.0</v>
      </c>
      <c r="N140" s="95">
        <v>0.0</v>
      </c>
      <c r="O140" s="95">
        <v>0.0</v>
      </c>
      <c r="P140" s="95">
        <v>0.0</v>
      </c>
      <c r="Q140" s="95">
        <v>0.0</v>
      </c>
      <c r="R140" s="95">
        <v>0.0</v>
      </c>
      <c r="S140" s="95">
        <v>0.0</v>
      </c>
      <c r="T140" s="95">
        <v>0.0</v>
      </c>
      <c r="U140" s="95">
        <v>1728.0</v>
      </c>
      <c r="V140" s="95">
        <v>2047.0</v>
      </c>
      <c r="W140" s="95">
        <v>0.0</v>
      </c>
      <c r="X140" s="95">
        <v>391.0</v>
      </c>
      <c r="Y140" s="95">
        <v>0.0</v>
      </c>
      <c r="Z140" s="95">
        <v>0.0</v>
      </c>
      <c r="AA140" s="95">
        <v>4166.0</v>
      </c>
      <c r="AB140" s="95">
        <v>0.0</v>
      </c>
      <c r="AC140" s="95">
        <v>0.0</v>
      </c>
      <c r="AD140" s="95">
        <v>0.0</v>
      </c>
      <c r="AE140" s="95">
        <v>0.0</v>
      </c>
      <c r="AF140" s="95"/>
      <c r="AG140" s="95"/>
      <c r="AH140" s="95"/>
      <c r="AI140" s="95"/>
      <c r="AJ140" s="95"/>
      <c r="AK140" s="95"/>
      <c r="AL140" s="95"/>
      <c r="AM140" s="95"/>
      <c r="AN140" s="95"/>
    </row>
    <row r="141" ht="14.25" customHeight="1">
      <c r="B141" s="507">
        <f t="shared" si="1"/>
        <v>0</v>
      </c>
      <c r="C141" s="95" t="str">
        <f t="shared" si="2"/>
        <v>補助科目なし</v>
      </c>
      <c r="D141" s="95"/>
      <c r="E141" s="95"/>
      <c r="F141" s="95" t="s">
        <v>199</v>
      </c>
      <c r="G141" s="95">
        <v>15420.0</v>
      </c>
      <c r="H141" s="95">
        <v>0.0</v>
      </c>
      <c r="I141" s="95">
        <v>34251.0</v>
      </c>
      <c r="J141" s="95">
        <v>0.0</v>
      </c>
      <c r="K141" s="95">
        <v>0.0</v>
      </c>
      <c r="L141" s="95">
        <v>0.0</v>
      </c>
      <c r="M141" s="95">
        <v>49671.0</v>
      </c>
      <c r="N141" s="95">
        <v>5460.0</v>
      </c>
      <c r="O141" s="95">
        <v>48220.0</v>
      </c>
      <c r="P141" s="95">
        <v>0.0</v>
      </c>
      <c r="Q141" s="95">
        <v>0.0</v>
      </c>
      <c r="R141" s="95">
        <v>0.0</v>
      </c>
      <c r="S141" s="95">
        <v>0.0</v>
      </c>
      <c r="T141" s="95">
        <v>53680.0</v>
      </c>
      <c r="U141" s="95">
        <v>8278.0</v>
      </c>
      <c r="V141" s="95">
        <v>23452.0</v>
      </c>
      <c r="W141" s="95">
        <v>10299.0</v>
      </c>
      <c r="X141" s="95">
        <v>52020.0</v>
      </c>
      <c r="Y141" s="95">
        <v>0.0</v>
      </c>
      <c r="Z141" s="95">
        <v>0.0</v>
      </c>
      <c r="AA141" s="95">
        <v>94049.0</v>
      </c>
      <c r="AB141" s="95">
        <v>17962.0</v>
      </c>
      <c r="AC141" s="95">
        <v>0.0</v>
      </c>
      <c r="AD141" s="95">
        <v>0.0</v>
      </c>
      <c r="AE141" s="95">
        <v>17962.0</v>
      </c>
      <c r="AF141" s="95"/>
      <c r="AG141" s="95"/>
      <c r="AH141" s="95"/>
      <c r="AI141" s="95"/>
      <c r="AJ141" s="95"/>
      <c r="AK141" s="95"/>
      <c r="AL141" s="95"/>
      <c r="AM141" s="95"/>
      <c r="AN141" s="95"/>
    </row>
    <row r="142" ht="14.25" customHeight="1">
      <c r="B142" s="507">
        <f t="shared" si="1"/>
        <v>0</v>
      </c>
      <c r="C142" s="95" t="str">
        <f t="shared" si="2"/>
        <v>租税公課</v>
      </c>
      <c r="D142" s="95"/>
      <c r="E142" s="95" t="s">
        <v>70</v>
      </c>
      <c r="F142" s="95"/>
      <c r="G142" s="95">
        <v>419988.0</v>
      </c>
      <c r="H142" s="95">
        <v>0.0</v>
      </c>
      <c r="I142" s="95">
        <v>419987.0</v>
      </c>
      <c r="J142" s="95">
        <v>0.0</v>
      </c>
      <c r="K142" s="95">
        <v>0.0</v>
      </c>
      <c r="L142" s="95">
        <v>0.0</v>
      </c>
      <c r="M142" s="95">
        <v>839975.0</v>
      </c>
      <c r="N142" s="95">
        <v>79242.0</v>
      </c>
      <c r="O142" s="95">
        <v>79241.0</v>
      </c>
      <c r="P142" s="95">
        <v>0.0</v>
      </c>
      <c r="Q142" s="95">
        <v>0.0</v>
      </c>
      <c r="R142" s="95">
        <v>0.0</v>
      </c>
      <c r="S142" s="95">
        <v>0.0</v>
      </c>
      <c r="T142" s="95">
        <v>158483.0</v>
      </c>
      <c r="U142" s="95">
        <v>118876.0</v>
      </c>
      <c r="V142" s="95">
        <v>418668.0</v>
      </c>
      <c r="W142" s="95">
        <v>0.0</v>
      </c>
      <c r="X142" s="95">
        <v>0.0</v>
      </c>
      <c r="Y142" s="95">
        <v>0.0</v>
      </c>
      <c r="Z142" s="95">
        <v>0.0</v>
      </c>
      <c r="AA142" s="95">
        <v>537544.0</v>
      </c>
      <c r="AB142" s="95">
        <v>4174.0</v>
      </c>
      <c r="AC142" s="95">
        <v>0.0</v>
      </c>
      <c r="AD142" s="95">
        <v>0.0</v>
      </c>
      <c r="AE142" s="95">
        <v>4174.0</v>
      </c>
      <c r="AF142" s="95"/>
      <c r="AG142" s="95"/>
      <c r="AH142" s="95"/>
      <c r="AI142" s="95"/>
      <c r="AJ142" s="95"/>
      <c r="AK142" s="95"/>
      <c r="AL142" s="95"/>
      <c r="AM142" s="95"/>
      <c r="AN142" s="95"/>
    </row>
    <row r="143" ht="14.25" customHeight="1">
      <c r="B143" s="507">
        <f t="shared" si="1"/>
        <v>0</v>
      </c>
      <c r="C143" s="95" t="str">
        <f t="shared" si="2"/>
        <v>固定資産税</v>
      </c>
      <c r="D143" s="95"/>
      <c r="E143" s="95"/>
      <c r="F143" s="95" t="s">
        <v>285</v>
      </c>
      <c r="G143" s="95">
        <v>419988.0</v>
      </c>
      <c r="H143" s="95">
        <v>0.0</v>
      </c>
      <c r="I143" s="95">
        <v>419987.0</v>
      </c>
      <c r="J143" s="95">
        <v>0.0</v>
      </c>
      <c r="K143" s="95">
        <v>0.0</v>
      </c>
      <c r="L143" s="95">
        <v>0.0</v>
      </c>
      <c r="M143" s="95">
        <v>839975.0</v>
      </c>
      <c r="N143" s="95">
        <v>79242.0</v>
      </c>
      <c r="O143" s="95">
        <v>79241.0</v>
      </c>
      <c r="P143" s="95">
        <v>0.0</v>
      </c>
      <c r="Q143" s="95">
        <v>0.0</v>
      </c>
      <c r="R143" s="95">
        <v>0.0</v>
      </c>
      <c r="S143" s="95">
        <v>0.0</v>
      </c>
      <c r="T143" s="95">
        <v>158483.0</v>
      </c>
      <c r="U143" s="95">
        <v>118876.0</v>
      </c>
      <c r="V143" s="95">
        <v>416068.0</v>
      </c>
      <c r="W143" s="95">
        <v>0.0</v>
      </c>
      <c r="X143" s="95">
        <v>0.0</v>
      </c>
      <c r="Y143" s="95">
        <v>0.0</v>
      </c>
      <c r="Z143" s="95">
        <v>0.0</v>
      </c>
      <c r="AA143" s="95">
        <v>534944.0</v>
      </c>
      <c r="AB143" s="95">
        <v>0.0</v>
      </c>
      <c r="AC143" s="95">
        <v>0.0</v>
      </c>
      <c r="AD143" s="95">
        <v>0.0</v>
      </c>
      <c r="AE143" s="95">
        <v>0.0</v>
      </c>
      <c r="AF143" s="95"/>
      <c r="AG143" s="95"/>
      <c r="AH143" s="95"/>
      <c r="AI143" s="95"/>
      <c r="AJ143" s="95"/>
      <c r="AK143" s="95"/>
      <c r="AL143" s="95"/>
      <c r="AM143" s="95"/>
      <c r="AN143" s="95"/>
    </row>
    <row r="144" ht="14.25" customHeight="1">
      <c r="B144" s="507">
        <f t="shared" si="1"/>
        <v>0</v>
      </c>
      <c r="C144" s="95" t="str">
        <f t="shared" si="2"/>
        <v>その他</v>
      </c>
      <c r="D144" s="95"/>
      <c r="E144" s="95"/>
      <c r="F144" s="95" t="s">
        <v>209</v>
      </c>
      <c r="G144" s="95">
        <v>0.0</v>
      </c>
      <c r="H144" s="95">
        <v>0.0</v>
      </c>
      <c r="I144" s="95">
        <v>0.0</v>
      </c>
      <c r="J144" s="95">
        <v>0.0</v>
      </c>
      <c r="K144" s="95">
        <v>0.0</v>
      </c>
      <c r="L144" s="95">
        <v>0.0</v>
      </c>
      <c r="M144" s="95">
        <v>0.0</v>
      </c>
      <c r="N144" s="95">
        <v>0.0</v>
      </c>
      <c r="O144" s="95">
        <v>0.0</v>
      </c>
      <c r="P144" s="95">
        <v>0.0</v>
      </c>
      <c r="Q144" s="95">
        <v>0.0</v>
      </c>
      <c r="R144" s="95">
        <v>0.0</v>
      </c>
      <c r="S144" s="95">
        <v>0.0</v>
      </c>
      <c r="T144" s="95">
        <v>0.0</v>
      </c>
      <c r="U144" s="95">
        <v>0.0</v>
      </c>
      <c r="V144" s="95">
        <v>2600.0</v>
      </c>
      <c r="W144" s="95">
        <v>0.0</v>
      </c>
      <c r="X144" s="95">
        <v>0.0</v>
      </c>
      <c r="Y144" s="95">
        <v>0.0</v>
      </c>
      <c r="Z144" s="95">
        <v>0.0</v>
      </c>
      <c r="AA144" s="95">
        <v>2600.0</v>
      </c>
      <c r="AB144" s="95">
        <v>0.0</v>
      </c>
      <c r="AC144" s="95">
        <v>0.0</v>
      </c>
      <c r="AD144" s="95">
        <v>0.0</v>
      </c>
      <c r="AE144" s="95">
        <v>0.0</v>
      </c>
      <c r="AF144" s="95"/>
      <c r="AG144" s="95"/>
      <c r="AH144" s="95"/>
      <c r="AI144" s="95"/>
      <c r="AJ144" s="95"/>
      <c r="AK144" s="95"/>
      <c r="AL144" s="95"/>
      <c r="AM144" s="95"/>
      <c r="AN144" s="95"/>
    </row>
    <row r="145" ht="14.25" customHeight="1">
      <c r="B145" s="507">
        <f t="shared" si="1"/>
        <v>0</v>
      </c>
      <c r="C145" s="95" t="str">
        <f t="shared" si="2"/>
        <v>補助科目なし</v>
      </c>
      <c r="D145" s="95"/>
      <c r="E145" s="95"/>
      <c r="F145" s="95" t="s">
        <v>199</v>
      </c>
      <c r="G145" s="95">
        <v>0.0</v>
      </c>
      <c r="H145" s="95">
        <v>0.0</v>
      </c>
      <c r="I145" s="95">
        <v>0.0</v>
      </c>
      <c r="J145" s="95">
        <v>0.0</v>
      </c>
      <c r="K145" s="95">
        <v>0.0</v>
      </c>
      <c r="L145" s="95">
        <v>0.0</v>
      </c>
      <c r="M145" s="95">
        <v>0.0</v>
      </c>
      <c r="N145" s="95">
        <v>0.0</v>
      </c>
      <c r="O145" s="95">
        <v>0.0</v>
      </c>
      <c r="P145" s="95">
        <v>0.0</v>
      </c>
      <c r="Q145" s="95">
        <v>0.0</v>
      </c>
      <c r="R145" s="95">
        <v>0.0</v>
      </c>
      <c r="S145" s="95">
        <v>0.0</v>
      </c>
      <c r="T145" s="95">
        <v>0.0</v>
      </c>
      <c r="U145" s="95">
        <v>0.0</v>
      </c>
      <c r="V145" s="95">
        <v>0.0</v>
      </c>
      <c r="W145" s="95">
        <v>0.0</v>
      </c>
      <c r="X145" s="95">
        <v>0.0</v>
      </c>
      <c r="Y145" s="95">
        <v>0.0</v>
      </c>
      <c r="Z145" s="95">
        <v>0.0</v>
      </c>
      <c r="AA145" s="95">
        <v>0.0</v>
      </c>
      <c r="AB145" s="95">
        <v>4174.0</v>
      </c>
      <c r="AC145" s="95">
        <v>0.0</v>
      </c>
      <c r="AD145" s="95">
        <v>0.0</v>
      </c>
      <c r="AE145" s="95">
        <v>4174.0</v>
      </c>
      <c r="AF145" s="95"/>
      <c r="AG145" s="95"/>
      <c r="AH145" s="95"/>
      <c r="AI145" s="95"/>
      <c r="AJ145" s="95"/>
      <c r="AK145" s="95"/>
      <c r="AL145" s="95"/>
      <c r="AM145" s="95"/>
      <c r="AN145" s="95"/>
    </row>
    <row r="146" ht="14.25" customHeight="1">
      <c r="B146" s="507">
        <f t="shared" si="1"/>
        <v>0</v>
      </c>
      <c r="C146" s="95" t="str">
        <f t="shared" si="2"/>
        <v>車両費</v>
      </c>
      <c r="D146" s="95"/>
      <c r="E146" s="95" t="s">
        <v>71</v>
      </c>
      <c r="F146" s="95"/>
      <c r="G146" s="95">
        <v>740820.0</v>
      </c>
      <c r="H146" s="95">
        <v>0.0</v>
      </c>
      <c r="I146" s="95">
        <v>0.0</v>
      </c>
      <c r="J146" s="95">
        <v>0.0</v>
      </c>
      <c r="K146" s="95">
        <v>0.0</v>
      </c>
      <c r="L146" s="95">
        <v>0.0</v>
      </c>
      <c r="M146" s="95">
        <v>740820.0</v>
      </c>
      <c r="N146" s="95">
        <v>0.0</v>
      </c>
      <c r="O146" s="95">
        <v>0.0</v>
      </c>
      <c r="P146" s="95">
        <v>0.0</v>
      </c>
      <c r="Q146" s="95">
        <v>0.0</v>
      </c>
      <c r="R146" s="95">
        <v>0.0</v>
      </c>
      <c r="S146" s="95">
        <v>0.0</v>
      </c>
      <c r="T146" s="95">
        <v>0.0</v>
      </c>
      <c r="U146" s="95">
        <v>0.0</v>
      </c>
      <c r="V146" s="95">
        <v>46790.0</v>
      </c>
      <c r="W146" s="95">
        <v>0.0</v>
      </c>
      <c r="X146" s="95">
        <v>0.0</v>
      </c>
      <c r="Y146" s="95">
        <v>0.0</v>
      </c>
      <c r="Z146" s="95">
        <v>0.0</v>
      </c>
      <c r="AA146" s="95">
        <v>46790.0</v>
      </c>
      <c r="AB146" s="95">
        <v>27067.0</v>
      </c>
      <c r="AC146" s="95">
        <v>0.0</v>
      </c>
      <c r="AD146" s="95">
        <v>0.0</v>
      </c>
      <c r="AE146" s="95">
        <v>27067.0</v>
      </c>
      <c r="AF146" s="95"/>
      <c r="AG146" s="95"/>
      <c r="AH146" s="95"/>
      <c r="AI146" s="95"/>
      <c r="AJ146" s="95"/>
      <c r="AK146" s="95"/>
      <c r="AL146" s="95"/>
      <c r="AM146" s="95"/>
      <c r="AN146" s="95"/>
    </row>
    <row r="147" ht="14.25" customHeight="1">
      <c r="B147" s="507">
        <f t="shared" si="1"/>
        <v>0</v>
      </c>
      <c r="C147" s="95" t="str">
        <f t="shared" si="2"/>
        <v>ガソリン代</v>
      </c>
      <c r="D147" s="95"/>
      <c r="E147" s="95"/>
      <c r="F147" s="95" t="s">
        <v>286</v>
      </c>
      <c r="G147" s="95">
        <v>0.0</v>
      </c>
      <c r="H147" s="95">
        <v>0.0</v>
      </c>
      <c r="I147" s="95">
        <v>0.0</v>
      </c>
      <c r="J147" s="95">
        <v>0.0</v>
      </c>
      <c r="K147" s="95">
        <v>0.0</v>
      </c>
      <c r="L147" s="95">
        <v>0.0</v>
      </c>
      <c r="M147" s="95">
        <v>0.0</v>
      </c>
      <c r="N147" s="95">
        <v>0.0</v>
      </c>
      <c r="O147" s="95">
        <v>0.0</v>
      </c>
      <c r="P147" s="95">
        <v>0.0</v>
      </c>
      <c r="Q147" s="95">
        <v>0.0</v>
      </c>
      <c r="R147" s="95">
        <v>0.0</v>
      </c>
      <c r="S147" s="95">
        <v>0.0</v>
      </c>
      <c r="T147" s="95">
        <v>0.0</v>
      </c>
      <c r="U147" s="95">
        <v>0.0</v>
      </c>
      <c r="V147" s="95">
        <v>46790.0</v>
      </c>
      <c r="W147" s="95">
        <v>0.0</v>
      </c>
      <c r="X147" s="95">
        <v>0.0</v>
      </c>
      <c r="Y147" s="95">
        <v>0.0</v>
      </c>
      <c r="Z147" s="95">
        <v>0.0</v>
      </c>
      <c r="AA147" s="95">
        <v>46790.0</v>
      </c>
      <c r="AB147" s="95">
        <v>27067.0</v>
      </c>
      <c r="AC147" s="95">
        <v>0.0</v>
      </c>
      <c r="AD147" s="95">
        <v>0.0</v>
      </c>
      <c r="AE147" s="95">
        <v>27067.0</v>
      </c>
      <c r="AF147" s="95"/>
      <c r="AG147" s="95"/>
      <c r="AH147" s="95"/>
      <c r="AI147" s="95"/>
      <c r="AJ147" s="95"/>
      <c r="AK147" s="95"/>
      <c r="AL147" s="95"/>
      <c r="AM147" s="95"/>
      <c r="AN147" s="95"/>
    </row>
    <row r="148" ht="14.25" customHeight="1">
      <c r="B148" s="507">
        <f t="shared" si="1"/>
        <v>0</v>
      </c>
      <c r="C148" s="95" t="str">
        <f t="shared" si="2"/>
        <v>補助科目なし</v>
      </c>
      <c r="D148" s="95"/>
      <c r="E148" s="95"/>
      <c r="F148" s="95" t="s">
        <v>199</v>
      </c>
      <c r="G148" s="95">
        <v>740820.0</v>
      </c>
      <c r="H148" s="95">
        <v>0.0</v>
      </c>
      <c r="I148" s="95">
        <v>0.0</v>
      </c>
      <c r="J148" s="95">
        <v>0.0</v>
      </c>
      <c r="K148" s="95">
        <v>0.0</v>
      </c>
      <c r="L148" s="95">
        <v>0.0</v>
      </c>
      <c r="M148" s="95">
        <v>740820.0</v>
      </c>
      <c r="N148" s="95">
        <v>0.0</v>
      </c>
      <c r="O148" s="95">
        <v>0.0</v>
      </c>
      <c r="P148" s="95">
        <v>0.0</v>
      </c>
      <c r="Q148" s="95">
        <v>0.0</v>
      </c>
      <c r="R148" s="95">
        <v>0.0</v>
      </c>
      <c r="S148" s="95">
        <v>0.0</v>
      </c>
      <c r="T148" s="95">
        <v>0.0</v>
      </c>
      <c r="U148" s="95">
        <v>0.0</v>
      </c>
      <c r="V148" s="95">
        <v>0.0</v>
      </c>
      <c r="W148" s="95">
        <v>0.0</v>
      </c>
      <c r="X148" s="95">
        <v>0.0</v>
      </c>
      <c r="Y148" s="95">
        <v>0.0</v>
      </c>
      <c r="Z148" s="95">
        <v>0.0</v>
      </c>
      <c r="AA148" s="95">
        <v>0.0</v>
      </c>
      <c r="AB148" s="95">
        <v>0.0</v>
      </c>
      <c r="AC148" s="95">
        <v>0.0</v>
      </c>
      <c r="AD148" s="95">
        <v>0.0</v>
      </c>
      <c r="AE148" s="95">
        <v>0.0</v>
      </c>
      <c r="AF148" s="95"/>
      <c r="AG148" s="95"/>
      <c r="AH148" s="95"/>
      <c r="AI148" s="95"/>
      <c r="AJ148" s="95"/>
      <c r="AK148" s="95"/>
      <c r="AL148" s="95"/>
      <c r="AM148" s="95"/>
      <c r="AN148" s="95"/>
    </row>
    <row r="149" ht="14.25" customHeight="1">
      <c r="B149" s="507">
        <f t="shared" si="1"/>
        <v>0</v>
      </c>
      <c r="C149" s="95" t="str">
        <f t="shared" si="2"/>
        <v>旅費交通費</v>
      </c>
      <c r="D149" s="95"/>
      <c r="E149" s="95" t="s">
        <v>72</v>
      </c>
      <c r="F149" s="95"/>
      <c r="G149" s="95">
        <v>-28926.0</v>
      </c>
      <c r="H149" s="95">
        <v>0.0</v>
      </c>
      <c r="I149" s="95">
        <v>-33926.0</v>
      </c>
      <c r="J149" s="95">
        <v>0.0</v>
      </c>
      <c r="K149" s="95">
        <v>0.0</v>
      </c>
      <c r="L149" s="95">
        <v>0.0</v>
      </c>
      <c r="M149" s="95">
        <v>-62852.0</v>
      </c>
      <c r="N149" s="95">
        <v>-17226.0</v>
      </c>
      <c r="O149" s="95">
        <v>-466.0</v>
      </c>
      <c r="P149" s="95">
        <v>0.0</v>
      </c>
      <c r="Q149" s="95">
        <v>0.0</v>
      </c>
      <c r="R149" s="95">
        <v>0.0</v>
      </c>
      <c r="S149" s="95">
        <v>0.0</v>
      </c>
      <c r="T149" s="95">
        <v>-17692.0</v>
      </c>
      <c r="U149" s="95">
        <v>-7769.0</v>
      </c>
      <c r="V149" s="95">
        <v>-86707.0</v>
      </c>
      <c r="W149" s="95">
        <v>0.0</v>
      </c>
      <c r="X149" s="95">
        <v>-10208.0</v>
      </c>
      <c r="Y149" s="95">
        <v>0.0</v>
      </c>
      <c r="Z149" s="95">
        <v>0.0</v>
      </c>
      <c r="AA149" s="95">
        <v>-104684.0</v>
      </c>
      <c r="AB149" s="95">
        <v>929945.0</v>
      </c>
      <c r="AC149" s="95">
        <v>180834.0</v>
      </c>
      <c r="AD149" s="95">
        <v>0.0</v>
      </c>
      <c r="AE149" s="95">
        <v>1110779.0</v>
      </c>
      <c r="AF149" s="95"/>
      <c r="AG149" s="95"/>
      <c r="AH149" s="95"/>
      <c r="AI149" s="95"/>
      <c r="AJ149" s="95"/>
      <c r="AK149" s="95"/>
      <c r="AL149" s="95"/>
      <c r="AM149" s="95"/>
      <c r="AN149" s="95"/>
    </row>
    <row r="150" ht="14.25" customHeight="1">
      <c r="B150" s="507">
        <f t="shared" si="1"/>
        <v>0</v>
      </c>
      <c r="C150" s="95" t="str">
        <f t="shared" si="2"/>
        <v>通勤手当</v>
      </c>
      <c r="D150" s="95"/>
      <c r="E150" s="95"/>
      <c r="F150" s="95" t="s">
        <v>287</v>
      </c>
      <c r="G150" s="95">
        <v>-28926.0</v>
      </c>
      <c r="H150" s="95">
        <v>0.0</v>
      </c>
      <c r="I150" s="95">
        <v>-33926.0</v>
      </c>
      <c r="J150" s="95">
        <v>0.0</v>
      </c>
      <c r="K150" s="95">
        <v>0.0</v>
      </c>
      <c r="L150" s="95">
        <v>0.0</v>
      </c>
      <c r="M150" s="95">
        <v>-62852.0</v>
      </c>
      <c r="N150" s="95">
        <v>-17226.0</v>
      </c>
      <c r="O150" s="95">
        <v>-27539.0</v>
      </c>
      <c r="P150" s="95">
        <v>0.0</v>
      </c>
      <c r="Q150" s="95">
        <v>0.0</v>
      </c>
      <c r="R150" s="95">
        <v>0.0</v>
      </c>
      <c r="S150" s="95">
        <v>0.0</v>
      </c>
      <c r="T150" s="95">
        <v>-44765.0</v>
      </c>
      <c r="U150" s="95">
        <v>-7769.0</v>
      </c>
      <c r="V150" s="95">
        <v>-87680.0</v>
      </c>
      <c r="W150" s="95">
        <v>0.0</v>
      </c>
      <c r="X150" s="95">
        <v>-10208.0</v>
      </c>
      <c r="Y150" s="95">
        <v>0.0</v>
      </c>
      <c r="Z150" s="95">
        <v>0.0</v>
      </c>
      <c r="AA150" s="95">
        <v>-105657.0</v>
      </c>
      <c r="AB150" s="95">
        <v>792061.0</v>
      </c>
      <c r="AC150" s="95">
        <v>-38317.0</v>
      </c>
      <c r="AD150" s="95">
        <v>0.0</v>
      </c>
      <c r="AE150" s="95">
        <v>753744.0</v>
      </c>
      <c r="AF150" s="95"/>
      <c r="AG150" s="95"/>
      <c r="AH150" s="95"/>
      <c r="AI150" s="95"/>
      <c r="AJ150" s="95"/>
      <c r="AK150" s="95"/>
      <c r="AL150" s="95"/>
      <c r="AM150" s="95"/>
      <c r="AN150" s="95"/>
    </row>
    <row r="151" ht="14.25" customHeight="1">
      <c r="B151" s="507">
        <f t="shared" si="1"/>
        <v>0</v>
      </c>
      <c r="C151" s="95" t="str">
        <f t="shared" si="2"/>
        <v>交通費等</v>
      </c>
      <c r="D151" s="95"/>
      <c r="E151" s="95"/>
      <c r="F151" s="95" t="s">
        <v>288</v>
      </c>
      <c r="G151" s="95">
        <v>0.0</v>
      </c>
      <c r="H151" s="95">
        <v>0.0</v>
      </c>
      <c r="I151" s="95">
        <v>0.0</v>
      </c>
      <c r="J151" s="95">
        <v>0.0</v>
      </c>
      <c r="K151" s="95">
        <v>0.0</v>
      </c>
      <c r="L151" s="95">
        <v>0.0</v>
      </c>
      <c r="M151" s="95">
        <v>0.0</v>
      </c>
      <c r="N151" s="95">
        <v>0.0</v>
      </c>
      <c r="O151" s="95">
        <v>27073.0</v>
      </c>
      <c r="P151" s="95">
        <v>0.0</v>
      </c>
      <c r="Q151" s="95">
        <v>0.0</v>
      </c>
      <c r="R151" s="95">
        <v>0.0</v>
      </c>
      <c r="S151" s="95">
        <v>0.0</v>
      </c>
      <c r="T151" s="95">
        <v>27073.0</v>
      </c>
      <c r="U151" s="95">
        <v>0.0</v>
      </c>
      <c r="V151" s="95">
        <v>973.0</v>
      </c>
      <c r="W151" s="95">
        <v>0.0</v>
      </c>
      <c r="X151" s="95">
        <v>0.0</v>
      </c>
      <c r="Y151" s="95">
        <v>0.0</v>
      </c>
      <c r="Z151" s="95">
        <v>0.0</v>
      </c>
      <c r="AA151" s="95">
        <v>973.0</v>
      </c>
      <c r="AB151" s="95">
        <v>137884.0</v>
      </c>
      <c r="AC151" s="95">
        <v>200457.0</v>
      </c>
      <c r="AD151" s="95">
        <v>0.0</v>
      </c>
      <c r="AE151" s="95">
        <v>338341.0</v>
      </c>
      <c r="AF151" s="95"/>
      <c r="AG151" s="95"/>
      <c r="AH151" s="95"/>
      <c r="AI151" s="95"/>
      <c r="AJ151" s="95"/>
      <c r="AK151" s="95"/>
      <c r="AL151" s="95"/>
      <c r="AM151" s="95"/>
      <c r="AN151" s="95"/>
    </row>
    <row r="152" ht="14.25" customHeight="1">
      <c r="B152" s="507">
        <f t="shared" si="1"/>
        <v>0</v>
      </c>
      <c r="C152" s="95" t="str">
        <f t="shared" si="2"/>
        <v>補助科目なし</v>
      </c>
      <c r="D152" s="95"/>
      <c r="E152" s="95"/>
      <c r="F152" s="95" t="s">
        <v>199</v>
      </c>
      <c r="G152" s="95">
        <v>0.0</v>
      </c>
      <c r="H152" s="95">
        <v>0.0</v>
      </c>
      <c r="I152" s="95">
        <v>0.0</v>
      </c>
      <c r="J152" s="95">
        <v>0.0</v>
      </c>
      <c r="K152" s="95">
        <v>0.0</v>
      </c>
      <c r="L152" s="95">
        <v>0.0</v>
      </c>
      <c r="M152" s="95">
        <v>0.0</v>
      </c>
      <c r="N152" s="95">
        <v>0.0</v>
      </c>
      <c r="O152" s="95">
        <v>0.0</v>
      </c>
      <c r="P152" s="95">
        <v>0.0</v>
      </c>
      <c r="Q152" s="95">
        <v>0.0</v>
      </c>
      <c r="R152" s="95">
        <v>0.0</v>
      </c>
      <c r="S152" s="95">
        <v>0.0</v>
      </c>
      <c r="T152" s="95">
        <v>0.0</v>
      </c>
      <c r="U152" s="95">
        <v>0.0</v>
      </c>
      <c r="V152" s="95">
        <v>0.0</v>
      </c>
      <c r="W152" s="95">
        <v>0.0</v>
      </c>
      <c r="X152" s="95">
        <v>0.0</v>
      </c>
      <c r="Y152" s="95">
        <v>0.0</v>
      </c>
      <c r="Z152" s="95">
        <v>0.0</v>
      </c>
      <c r="AA152" s="95">
        <v>0.0</v>
      </c>
      <c r="AB152" s="95">
        <v>0.0</v>
      </c>
      <c r="AC152" s="95">
        <v>18694.0</v>
      </c>
      <c r="AD152" s="95">
        <v>0.0</v>
      </c>
      <c r="AE152" s="95">
        <v>18694.0</v>
      </c>
      <c r="AF152" s="95"/>
      <c r="AG152" s="95"/>
      <c r="AH152" s="95"/>
      <c r="AI152" s="95"/>
      <c r="AJ152" s="95"/>
      <c r="AK152" s="95"/>
      <c r="AL152" s="95"/>
      <c r="AM152" s="95"/>
      <c r="AN152" s="95"/>
    </row>
    <row r="153" ht="14.25" customHeight="1">
      <c r="B153" s="507">
        <f t="shared" si="1"/>
        <v>0</v>
      </c>
      <c r="C153" s="95" t="str">
        <f t="shared" si="2"/>
        <v>保険料</v>
      </c>
      <c r="D153" s="95"/>
      <c r="E153" s="95" t="s">
        <v>73</v>
      </c>
      <c r="F153" s="95"/>
      <c r="G153" s="95">
        <v>8053.0</v>
      </c>
      <c r="H153" s="95">
        <v>0.0</v>
      </c>
      <c r="I153" s="95">
        <v>8289.0</v>
      </c>
      <c r="J153" s="95">
        <v>0.0</v>
      </c>
      <c r="K153" s="95">
        <v>0.0</v>
      </c>
      <c r="L153" s="95">
        <v>0.0</v>
      </c>
      <c r="M153" s="95">
        <v>16342.0</v>
      </c>
      <c r="N153" s="95">
        <v>3118.0</v>
      </c>
      <c r="O153" s="95">
        <v>0.0</v>
      </c>
      <c r="P153" s="95">
        <v>0.0</v>
      </c>
      <c r="Q153" s="95">
        <v>0.0</v>
      </c>
      <c r="R153" s="95">
        <v>0.0</v>
      </c>
      <c r="S153" s="95">
        <v>0.0</v>
      </c>
      <c r="T153" s="95">
        <v>3118.0</v>
      </c>
      <c r="U153" s="95">
        <v>12544.0</v>
      </c>
      <c r="V153" s="95">
        <v>2124.0</v>
      </c>
      <c r="W153" s="95">
        <v>0.0</v>
      </c>
      <c r="X153" s="95">
        <v>0.0</v>
      </c>
      <c r="Y153" s="95">
        <v>0.0</v>
      </c>
      <c r="Z153" s="95">
        <v>0.0</v>
      </c>
      <c r="AA153" s="95">
        <v>14668.0</v>
      </c>
      <c r="AB153" s="95">
        <v>30081.0</v>
      </c>
      <c r="AC153" s="95">
        <v>0.0</v>
      </c>
      <c r="AD153" s="95">
        <v>0.0</v>
      </c>
      <c r="AE153" s="95">
        <v>30081.0</v>
      </c>
      <c r="AF153" s="95"/>
      <c r="AG153" s="95"/>
      <c r="AH153" s="95"/>
      <c r="AI153" s="95"/>
      <c r="AJ153" s="95"/>
      <c r="AK153" s="95"/>
      <c r="AL153" s="95"/>
      <c r="AM153" s="95"/>
      <c r="AN153" s="95"/>
    </row>
    <row r="154" ht="14.25" customHeight="1">
      <c r="B154" s="507">
        <f t="shared" si="1"/>
        <v>0</v>
      </c>
      <c r="C154" s="95" t="str">
        <f t="shared" si="2"/>
        <v>その他</v>
      </c>
      <c r="D154" s="95"/>
      <c r="E154" s="95"/>
      <c r="F154" s="95" t="s">
        <v>209</v>
      </c>
      <c r="G154" s="95">
        <v>0.0</v>
      </c>
      <c r="H154" s="95">
        <v>0.0</v>
      </c>
      <c r="I154" s="95">
        <v>0.0</v>
      </c>
      <c r="J154" s="95">
        <v>0.0</v>
      </c>
      <c r="K154" s="95">
        <v>0.0</v>
      </c>
      <c r="L154" s="95">
        <v>0.0</v>
      </c>
      <c r="M154" s="95">
        <v>0.0</v>
      </c>
      <c r="N154" s="95">
        <v>0.0</v>
      </c>
      <c r="O154" s="95">
        <v>0.0</v>
      </c>
      <c r="P154" s="95">
        <v>0.0</v>
      </c>
      <c r="Q154" s="95">
        <v>0.0</v>
      </c>
      <c r="R154" s="95">
        <v>0.0</v>
      </c>
      <c r="S154" s="95">
        <v>0.0</v>
      </c>
      <c r="T154" s="95">
        <v>0.0</v>
      </c>
      <c r="U154" s="95">
        <v>0.0</v>
      </c>
      <c r="V154" s="95">
        <v>0.0</v>
      </c>
      <c r="W154" s="95">
        <v>0.0</v>
      </c>
      <c r="X154" s="95">
        <v>0.0</v>
      </c>
      <c r="Y154" s="95">
        <v>0.0</v>
      </c>
      <c r="Z154" s="95">
        <v>0.0</v>
      </c>
      <c r="AA154" s="95">
        <v>0.0</v>
      </c>
      <c r="AB154" s="95">
        <v>0.0</v>
      </c>
      <c r="AC154" s="95">
        <v>0.0</v>
      </c>
      <c r="AD154" s="95">
        <v>0.0</v>
      </c>
      <c r="AE154" s="95">
        <v>0.0</v>
      </c>
      <c r="AF154" s="95"/>
      <c r="AG154" s="95"/>
      <c r="AH154" s="95"/>
      <c r="AI154" s="95"/>
      <c r="AJ154" s="95"/>
      <c r="AK154" s="95"/>
      <c r="AL154" s="95"/>
      <c r="AM154" s="95"/>
      <c r="AN154" s="95"/>
    </row>
    <row r="155" ht="14.25" customHeight="1">
      <c r="B155" s="507">
        <f t="shared" si="1"/>
        <v>0</v>
      </c>
      <c r="C155" s="95" t="str">
        <f t="shared" si="2"/>
        <v>髙山不動産</v>
      </c>
      <c r="D155" s="95"/>
      <c r="E155" s="95"/>
      <c r="F155" s="95" t="s">
        <v>289</v>
      </c>
      <c r="G155" s="95">
        <v>0.0</v>
      </c>
      <c r="H155" s="95">
        <v>0.0</v>
      </c>
      <c r="I155" s="95">
        <v>0.0</v>
      </c>
      <c r="J155" s="95">
        <v>0.0</v>
      </c>
      <c r="K155" s="95">
        <v>0.0</v>
      </c>
      <c r="L155" s="95">
        <v>0.0</v>
      </c>
      <c r="M155" s="95">
        <v>0.0</v>
      </c>
      <c r="N155" s="95">
        <v>0.0</v>
      </c>
      <c r="O155" s="95">
        <v>0.0</v>
      </c>
      <c r="P155" s="95">
        <v>0.0</v>
      </c>
      <c r="Q155" s="95">
        <v>0.0</v>
      </c>
      <c r="R155" s="95">
        <v>0.0</v>
      </c>
      <c r="S155" s="95">
        <v>0.0</v>
      </c>
      <c r="T155" s="95">
        <v>0.0</v>
      </c>
      <c r="U155" s="95">
        <v>1500.0</v>
      </c>
      <c r="V155" s="95">
        <v>0.0</v>
      </c>
      <c r="W155" s="95">
        <v>0.0</v>
      </c>
      <c r="X155" s="95">
        <v>0.0</v>
      </c>
      <c r="Y155" s="95">
        <v>0.0</v>
      </c>
      <c r="Z155" s="95">
        <v>0.0</v>
      </c>
      <c r="AA155" s="95">
        <v>1500.0</v>
      </c>
      <c r="AB155" s="95">
        <v>0.0</v>
      </c>
      <c r="AC155" s="95">
        <v>0.0</v>
      </c>
      <c r="AD155" s="95">
        <v>0.0</v>
      </c>
      <c r="AE155" s="95">
        <v>0.0</v>
      </c>
      <c r="AF155" s="95"/>
      <c r="AG155" s="95"/>
      <c r="AH155" s="95"/>
      <c r="AI155" s="95"/>
      <c r="AJ155" s="95"/>
      <c r="AK155" s="95"/>
      <c r="AL155" s="95"/>
      <c r="AM155" s="95"/>
      <c r="AN155" s="95"/>
    </row>
    <row r="156" ht="14.25" customHeight="1">
      <c r="B156" s="507">
        <f t="shared" si="1"/>
        <v>0</v>
      </c>
      <c r="C156" s="95" t="str">
        <f t="shared" si="2"/>
        <v>補助科目なし</v>
      </c>
      <c r="D156" s="95"/>
      <c r="E156" s="95"/>
      <c r="F156" s="95" t="s">
        <v>199</v>
      </c>
      <c r="G156" s="95">
        <v>8053.0</v>
      </c>
      <c r="H156" s="95">
        <v>0.0</v>
      </c>
      <c r="I156" s="95">
        <v>8289.0</v>
      </c>
      <c r="J156" s="95">
        <v>0.0</v>
      </c>
      <c r="K156" s="95">
        <v>0.0</v>
      </c>
      <c r="L156" s="95">
        <v>0.0</v>
      </c>
      <c r="M156" s="95">
        <v>16342.0</v>
      </c>
      <c r="N156" s="95">
        <v>3118.0</v>
      </c>
      <c r="O156" s="95">
        <v>0.0</v>
      </c>
      <c r="P156" s="95">
        <v>0.0</v>
      </c>
      <c r="Q156" s="95">
        <v>0.0</v>
      </c>
      <c r="R156" s="95">
        <v>0.0</v>
      </c>
      <c r="S156" s="95">
        <v>0.0</v>
      </c>
      <c r="T156" s="95">
        <v>3118.0</v>
      </c>
      <c r="U156" s="95">
        <v>11044.0</v>
      </c>
      <c r="V156" s="95">
        <v>2124.0</v>
      </c>
      <c r="W156" s="95">
        <v>0.0</v>
      </c>
      <c r="X156" s="95">
        <v>0.0</v>
      </c>
      <c r="Y156" s="95">
        <v>0.0</v>
      </c>
      <c r="Z156" s="95">
        <v>0.0</v>
      </c>
      <c r="AA156" s="95">
        <v>13168.0</v>
      </c>
      <c r="AB156" s="95">
        <v>30081.0</v>
      </c>
      <c r="AC156" s="95">
        <v>0.0</v>
      </c>
      <c r="AD156" s="95">
        <v>0.0</v>
      </c>
      <c r="AE156" s="95">
        <v>30081.0</v>
      </c>
      <c r="AF156" s="95"/>
      <c r="AG156" s="95"/>
      <c r="AH156" s="95"/>
      <c r="AI156" s="95"/>
      <c r="AJ156" s="95"/>
      <c r="AK156" s="95"/>
      <c r="AL156" s="95"/>
      <c r="AM156" s="95"/>
      <c r="AN156" s="95"/>
    </row>
    <row r="157" ht="14.25" customHeight="1">
      <c r="B157" s="507">
        <f t="shared" si="1"/>
        <v>0</v>
      </c>
      <c r="C157" s="95" t="str">
        <f t="shared" si="2"/>
        <v>清掃費</v>
      </c>
      <c r="D157" s="95"/>
      <c r="E157" s="95" t="s">
        <v>74</v>
      </c>
      <c r="F157" s="95"/>
      <c r="G157" s="95">
        <v>212000.0</v>
      </c>
      <c r="H157" s="95">
        <v>0.0</v>
      </c>
      <c r="I157" s="95">
        <v>0.0</v>
      </c>
      <c r="J157" s="95">
        <v>0.0</v>
      </c>
      <c r="K157" s="95">
        <v>0.0</v>
      </c>
      <c r="L157" s="95">
        <v>0.0</v>
      </c>
      <c r="M157" s="95">
        <v>212000.0</v>
      </c>
      <c r="N157" s="95">
        <v>17222.0</v>
      </c>
      <c r="O157" s="95">
        <v>0.0</v>
      </c>
      <c r="P157" s="95">
        <v>0.0</v>
      </c>
      <c r="Q157" s="95">
        <v>0.0</v>
      </c>
      <c r="R157" s="95">
        <v>0.0</v>
      </c>
      <c r="S157" s="95">
        <v>0.0</v>
      </c>
      <c r="T157" s="95">
        <v>17222.0</v>
      </c>
      <c r="U157" s="95">
        <v>0.0</v>
      </c>
      <c r="V157" s="95">
        <v>0.0</v>
      </c>
      <c r="W157" s="95">
        <v>0.0</v>
      </c>
      <c r="X157" s="95">
        <v>0.0</v>
      </c>
      <c r="Y157" s="95">
        <v>0.0</v>
      </c>
      <c r="Z157" s="95">
        <v>0.0</v>
      </c>
      <c r="AA157" s="95">
        <v>0.0</v>
      </c>
      <c r="AB157" s="95">
        <v>0.0</v>
      </c>
      <c r="AC157" s="95">
        <v>0.0</v>
      </c>
      <c r="AD157" s="95">
        <v>0.0</v>
      </c>
      <c r="AE157" s="95">
        <v>0.0</v>
      </c>
      <c r="AF157" s="95"/>
      <c r="AG157" s="95"/>
      <c r="AH157" s="95"/>
      <c r="AI157" s="95"/>
      <c r="AJ157" s="95"/>
      <c r="AK157" s="95"/>
      <c r="AL157" s="95"/>
      <c r="AM157" s="95"/>
      <c r="AN157" s="95"/>
    </row>
    <row r="158" ht="14.25" customHeight="1">
      <c r="B158" s="507">
        <f t="shared" si="1"/>
        <v>0</v>
      </c>
      <c r="C158" s="95" t="str">
        <f t="shared" si="2"/>
        <v>箱根美掃</v>
      </c>
      <c r="D158" s="95"/>
      <c r="E158" s="95"/>
      <c r="F158" s="95" t="s">
        <v>290</v>
      </c>
      <c r="G158" s="95">
        <v>0.0</v>
      </c>
      <c r="H158" s="95">
        <v>0.0</v>
      </c>
      <c r="I158" s="95">
        <v>0.0</v>
      </c>
      <c r="J158" s="95">
        <v>0.0</v>
      </c>
      <c r="K158" s="95">
        <v>0.0</v>
      </c>
      <c r="L158" s="95">
        <v>0.0</v>
      </c>
      <c r="M158" s="95">
        <v>0.0</v>
      </c>
      <c r="N158" s="95">
        <v>17222.0</v>
      </c>
      <c r="O158" s="95">
        <v>0.0</v>
      </c>
      <c r="P158" s="95">
        <v>0.0</v>
      </c>
      <c r="Q158" s="95">
        <v>0.0</v>
      </c>
      <c r="R158" s="95">
        <v>0.0</v>
      </c>
      <c r="S158" s="95">
        <v>0.0</v>
      </c>
      <c r="T158" s="95">
        <v>17222.0</v>
      </c>
      <c r="U158" s="95">
        <v>0.0</v>
      </c>
      <c r="V158" s="95">
        <v>0.0</v>
      </c>
      <c r="W158" s="95">
        <v>0.0</v>
      </c>
      <c r="X158" s="95">
        <v>0.0</v>
      </c>
      <c r="Y158" s="95">
        <v>0.0</v>
      </c>
      <c r="Z158" s="95">
        <v>0.0</v>
      </c>
      <c r="AA158" s="95">
        <v>0.0</v>
      </c>
      <c r="AB158" s="95">
        <v>0.0</v>
      </c>
      <c r="AC158" s="95">
        <v>0.0</v>
      </c>
      <c r="AD158" s="95">
        <v>0.0</v>
      </c>
      <c r="AE158" s="95">
        <v>0.0</v>
      </c>
      <c r="AF158" s="95"/>
      <c r="AG158" s="95"/>
      <c r="AH158" s="95"/>
      <c r="AI158" s="95"/>
      <c r="AJ158" s="95"/>
      <c r="AK158" s="95"/>
      <c r="AL158" s="95"/>
      <c r="AM158" s="95"/>
      <c r="AN158" s="95"/>
    </row>
    <row r="159" ht="14.25" customHeight="1">
      <c r="B159" s="507">
        <f t="shared" si="1"/>
        <v>0</v>
      </c>
      <c r="C159" s="95" t="str">
        <f t="shared" si="2"/>
        <v>セーフティ</v>
      </c>
      <c r="D159" s="95"/>
      <c r="E159" s="95"/>
      <c r="F159" s="95" t="s">
        <v>291</v>
      </c>
      <c r="G159" s="95">
        <v>212000.0</v>
      </c>
      <c r="H159" s="95">
        <v>0.0</v>
      </c>
      <c r="I159" s="95">
        <v>0.0</v>
      </c>
      <c r="J159" s="95">
        <v>0.0</v>
      </c>
      <c r="K159" s="95">
        <v>0.0</v>
      </c>
      <c r="L159" s="95">
        <v>0.0</v>
      </c>
      <c r="M159" s="95">
        <v>212000.0</v>
      </c>
      <c r="N159" s="95">
        <v>0.0</v>
      </c>
      <c r="O159" s="95">
        <v>0.0</v>
      </c>
      <c r="P159" s="95">
        <v>0.0</v>
      </c>
      <c r="Q159" s="95">
        <v>0.0</v>
      </c>
      <c r="R159" s="95">
        <v>0.0</v>
      </c>
      <c r="S159" s="95">
        <v>0.0</v>
      </c>
      <c r="T159" s="95">
        <v>0.0</v>
      </c>
      <c r="U159" s="95">
        <v>0.0</v>
      </c>
      <c r="V159" s="95">
        <v>0.0</v>
      </c>
      <c r="W159" s="95">
        <v>0.0</v>
      </c>
      <c r="X159" s="95">
        <v>0.0</v>
      </c>
      <c r="Y159" s="95">
        <v>0.0</v>
      </c>
      <c r="Z159" s="95">
        <v>0.0</v>
      </c>
      <c r="AA159" s="95">
        <v>0.0</v>
      </c>
      <c r="AB159" s="95">
        <v>0.0</v>
      </c>
      <c r="AC159" s="95">
        <v>0.0</v>
      </c>
      <c r="AD159" s="95">
        <v>0.0</v>
      </c>
      <c r="AE159" s="95">
        <v>0.0</v>
      </c>
      <c r="AF159" s="95"/>
      <c r="AG159" s="95"/>
      <c r="AH159" s="95"/>
      <c r="AI159" s="95"/>
      <c r="AJ159" s="95"/>
      <c r="AK159" s="95"/>
      <c r="AL159" s="95"/>
      <c r="AM159" s="95"/>
      <c r="AN159" s="95"/>
    </row>
    <row r="160" ht="14.25" customHeight="1">
      <c r="B160" s="507">
        <f t="shared" si="1"/>
        <v>0</v>
      </c>
      <c r="C160" s="95" t="str">
        <f t="shared" si="2"/>
        <v>SANｰKEI</v>
      </c>
      <c r="D160" s="95"/>
      <c r="E160" s="95"/>
      <c r="F160" s="95" t="s">
        <v>292</v>
      </c>
      <c r="G160" s="95">
        <v>0.0</v>
      </c>
      <c r="H160" s="95">
        <v>0.0</v>
      </c>
      <c r="I160" s="95">
        <v>0.0</v>
      </c>
      <c r="J160" s="95">
        <v>0.0</v>
      </c>
      <c r="K160" s="95">
        <v>0.0</v>
      </c>
      <c r="L160" s="95">
        <v>0.0</v>
      </c>
      <c r="M160" s="95">
        <v>0.0</v>
      </c>
      <c r="N160" s="95">
        <v>0.0</v>
      </c>
      <c r="O160" s="95">
        <v>0.0</v>
      </c>
      <c r="P160" s="95">
        <v>0.0</v>
      </c>
      <c r="Q160" s="95">
        <v>0.0</v>
      </c>
      <c r="R160" s="95">
        <v>0.0</v>
      </c>
      <c r="S160" s="95">
        <v>0.0</v>
      </c>
      <c r="T160" s="95">
        <v>0.0</v>
      </c>
      <c r="U160" s="95">
        <v>0.0</v>
      </c>
      <c r="V160" s="95">
        <v>0.0</v>
      </c>
      <c r="W160" s="95">
        <v>0.0</v>
      </c>
      <c r="X160" s="95">
        <v>0.0</v>
      </c>
      <c r="Y160" s="95">
        <v>0.0</v>
      </c>
      <c r="Z160" s="95">
        <v>0.0</v>
      </c>
      <c r="AA160" s="95">
        <v>0.0</v>
      </c>
      <c r="AB160" s="95">
        <v>0.0</v>
      </c>
      <c r="AC160" s="95">
        <v>0.0</v>
      </c>
      <c r="AD160" s="95">
        <v>0.0</v>
      </c>
      <c r="AE160" s="95">
        <v>0.0</v>
      </c>
      <c r="AF160" s="95"/>
      <c r="AG160" s="95"/>
      <c r="AH160" s="95"/>
      <c r="AI160" s="95"/>
      <c r="AJ160" s="95"/>
      <c r="AK160" s="95"/>
      <c r="AL160" s="95"/>
      <c r="AM160" s="95"/>
      <c r="AN160" s="95"/>
    </row>
    <row r="161" ht="14.25" customHeight="1">
      <c r="B161" s="507">
        <f t="shared" si="1"/>
        <v>0</v>
      </c>
      <c r="C161" s="95" t="str">
        <f t="shared" si="2"/>
        <v>ゼオライト</v>
      </c>
      <c r="D161" s="95"/>
      <c r="E161" s="95"/>
      <c r="F161" s="95" t="s">
        <v>293</v>
      </c>
      <c r="G161" s="95">
        <v>0.0</v>
      </c>
      <c r="H161" s="95">
        <v>0.0</v>
      </c>
      <c r="I161" s="95">
        <v>0.0</v>
      </c>
      <c r="J161" s="95">
        <v>0.0</v>
      </c>
      <c r="K161" s="95">
        <v>0.0</v>
      </c>
      <c r="L161" s="95">
        <v>0.0</v>
      </c>
      <c r="M161" s="95">
        <v>0.0</v>
      </c>
      <c r="N161" s="95">
        <v>0.0</v>
      </c>
      <c r="O161" s="95">
        <v>0.0</v>
      </c>
      <c r="P161" s="95">
        <v>0.0</v>
      </c>
      <c r="Q161" s="95">
        <v>0.0</v>
      </c>
      <c r="R161" s="95">
        <v>0.0</v>
      </c>
      <c r="S161" s="95">
        <v>0.0</v>
      </c>
      <c r="T161" s="95">
        <v>0.0</v>
      </c>
      <c r="U161" s="95">
        <v>0.0</v>
      </c>
      <c r="V161" s="95">
        <v>0.0</v>
      </c>
      <c r="W161" s="95">
        <v>0.0</v>
      </c>
      <c r="X161" s="95">
        <v>0.0</v>
      </c>
      <c r="Y161" s="95">
        <v>0.0</v>
      </c>
      <c r="Z161" s="95">
        <v>0.0</v>
      </c>
      <c r="AA161" s="95">
        <v>0.0</v>
      </c>
      <c r="AB161" s="95">
        <v>0.0</v>
      </c>
      <c r="AC161" s="95">
        <v>0.0</v>
      </c>
      <c r="AD161" s="95">
        <v>0.0</v>
      </c>
      <c r="AE161" s="95">
        <v>0.0</v>
      </c>
      <c r="AF161" s="95"/>
      <c r="AG161" s="95"/>
      <c r="AH161" s="95"/>
      <c r="AI161" s="95"/>
      <c r="AJ161" s="95"/>
      <c r="AK161" s="95"/>
      <c r="AL161" s="95"/>
      <c r="AM161" s="95"/>
      <c r="AN161" s="95"/>
    </row>
    <row r="162" ht="14.25" customHeight="1">
      <c r="B162" s="507">
        <f t="shared" si="1"/>
        <v>0</v>
      </c>
      <c r="C162" s="95" t="str">
        <f t="shared" si="2"/>
        <v>アイリスオーヤマ</v>
      </c>
      <c r="D162" s="95"/>
      <c r="E162" s="95"/>
      <c r="F162" s="95" t="s">
        <v>294</v>
      </c>
      <c r="G162" s="95">
        <v>0.0</v>
      </c>
      <c r="H162" s="95">
        <v>0.0</v>
      </c>
      <c r="I162" s="95">
        <v>0.0</v>
      </c>
      <c r="J162" s="95">
        <v>0.0</v>
      </c>
      <c r="K162" s="95">
        <v>0.0</v>
      </c>
      <c r="L162" s="95">
        <v>0.0</v>
      </c>
      <c r="M162" s="95">
        <v>0.0</v>
      </c>
      <c r="N162" s="95">
        <v>0.0</v>
      </c>
      <c r="O162" s="95">
        <v>0.0</v>
      </c>
      <c r="P162" s="95">
        <v>0.0</v>
      </c>
      <c r="Q162" s="95">
        <v>0.0</v>
      </c>
      <c r="R162" s="95">
        <v>0.0</v>
      </c>
      <c r="S162" s="95">
        <v>0.0</v>
      </c>
      <c r="T162" s="95">
        <v>0.0</v>
      </c>
      <c r="U162" s="95">
        <v>0.0</v>
      </c>
      <c r="V162" s="95">
        <v>0.0</v>
      </c>
      <c r="W162" s="95">
        <v>0.0</v>
      </c>
      <c r="X162" s="95">
        <v>0.0</v>
      </c>
      <c r="Y162" s="95">
        <v>0.0</v>
      </c>
      <c r="Z162" s="95">
        <v>0.0</v>
      </c>
      <c r="AA162" s="95">
        <v>0.0</v>
      </c>
      <c r="AB162" s="95">
        <v>0.0</v>
      </c>
      <c r="AC162" s="95">
        <v>0.0</v>
      </c>
      <c r="AD162" s="95">
        <v>0.0</v>
      </c>
      <c r="AE162" s="95">
        <v>0.0</v>
      </c>
      <c r="AF162" s="95"/>
      <c r="AG162" s="95"/>
      <c r="AH162" s="95"/>
      <c r="AI162" s="95"/>
      <c r="AJ162" s="95"/>
      <c r="AK162" s="95"/>
      <c r="AL162" s="95"/>
      <c r="AM162" s="95"/>
      <c r="AN162" s="95"/>
    </row>
    <row r="163" ht="14.25" customHeight="1">
      <c r="B163" s="507">
        <f t="shared" si="1"/>
        <v>0</v>
      </c>
      <c r="C163" s="95" t="str">
        <f t="shared" si="2"/>
        <v>温泉使用料</v>
      </c>
      <c r="D163" s="95"/>
      <c r="E163" s="95" t="s">
        <v>76</v>
      </c>
      <c r="F163" s="95"/>
      <c r="G163" s="95">
        <v>2841.0</v>
      </c>
      <c r="H163" s="95">
        <v>0.0</v>
      </c>
      <c r="I163" s="95">
        <v>2841.0</v>
      </c>
      <c r="J163" s="95">
        <v>0.0</v>
      </c>
      <c r="K163" s="95">
        <v>0.0</v>
      </c>
      <c r="L163" s="95">
        <v>0.0</v>
      </c>
      <c r="M163" s="95">
        <v>5682.0</v>
      </c>
      <c r="N163" s="95">
        <v>0.0</v>
      </c>
      <c r="O163" s="95">
        <v>0.0</v>
      </c>
      <c r="P163" s="95">
        <v>0.0</v>
      </c>
      <c r="Q163" s="95">
        <v>0.0</v>
      </c>
      <c r="R163" s="95">
        <v>0.0</v>
      </c>
      <c r="S163" s="95">
        <v>0.0</v>
      </c>
      <c r="T163" s="95">
        <v>0.0</v>
      </c>
      <c r="U163" s="95">
        <v>0.0</v>
      </c>
      <c r="V163" s="95">
        <v>0.0</v>
      </c>
      <c r="W163" s="95">
        <v>0.0</v>
      </c>
      <c r="X163" s="95">
        <v>0.0</v>
      </c>
      <c r="Y163" s="95">
        <v>0.0</v>
      </c>
      <c r="Z163" s="95">
        <v>0.0</v>
      </c>
      <c r="AA163" s="95">
        <v>0.0</v>
      </c>
      <c r="AB163" s="95">
        <v>0.0</v>
      </c>
      <c r="AC163" s="95">
        <v>0.0</v>
      </c>
      <c r="AD163" s="95">
        <v>0.0</v>
      </c>
      <c r="AE163" s="95">
        <v>0.0</v>
      </c>
      <c r="AF163" s="95"/>
      <c r="AG163" s="95"/>
      <c r="AH163" s="95"/>
      <c r="AI163" s="95"/>
      <c r="AJ163" s="95"/>
      <c r="AK163" s="95"/>
      <c r="AL163" s="95"/>
      <c r="AM163" s="95"/>
      <c r="AN163" s="95"/>
    </row>
    <row r="164" ht="14.25" customHeight="1">
      <c r="B164" s="507">
        <f t="shared" si="1"/>
        <v>0</v>
      </c>
      <c r="C164" s="95" t="str">
        <f t="shared" si="2"/>
        <v>新聞図書費</v>
      </c>
      <c r="D164" s="95"/>
      <c r="E164" s="95" t="s">
        <v>109</v>
      </c>
      <c r="F164" s="95"/>
      <c r="G164" s="95">
        <v>0.0</v>
      </c>
      <c r="H164" s="95">
        <v>0.0</v>
      </c>
      <c r="I164" s="95">
        <v>0.0</v>
      </c>
      <c r="J164" s="95">
        <v>0.0</v>
      </c>
      <c r="K164" s="95">
        <v>0.0</v>
      </c>
      <c r="L164" s="95">
        <v>0.0</v>
      </c>
      <c r="M164" s="95">
        <v>0.0</v>
      </c>
      <c r="N164" s="95">
        <v>0.0</v>
      </c>
      <c r="O164" s="95">
        <v>0.0</v>
      </c>
      <c r="P164" s="95">
        <v>0.0</v>
      </c>
      <c r="Q164" s="95">
        <v>0.0</v>
      </c>
      <c r="R164" s="95">
        <v>0.0</v>
      </c>
      <c r="S164" s="95">
        <v>0.0</v>
      </c>
      <c r="T164" s="95">
        <v>0.0</v>
      </c>
      <c r="U164" s="95">
        <v>0.0</v>
      </c>
      <c r="V164" s="95">
        <v>0.0</v>
      </c>
      <c r="W164" s="95">
        <v>0.0</v>
      </c>
      <c r="X164" s="95">
        <v>0.0</v>
      </c>
      <c r="Y164" s="95">
        <v>0.0</v>
      </c>
      <c r="Z164" s="95">
        <v>0.0</v>
      </c>
      <c r="AA164" s="95">
        <v>0.0</v>
      </c>
      <c r="AB164" s="95">
        <v>0.0</v>
      </c>
      <c r="AC164" s="95">
        <v>0.0</v>
      </c>
      <c r="AD164" s="95">
        <v>0.0</v>
      </c>
      <c r="AE164" s="95">
        <v>0.0</v>
      </c>
      <c r="AF164" s="95"/>
      <c r="AG164" s="95"/>
      <c r="AH164" s="95"/>
      <c r="AI164" s="95"/>
      <c r="AJ164" s="95"/>
      <c r="AK164" s="95"/>
      <c r="AL164" s="95"/>
      <c r="AM164" s="95"/>
      <c r="AN164" s="95"/>
    </row>
    <row r="165" ht="14.25" customHeight="1">
      <c r="B165" s="507">
        <f t="shared" si="1"/>
        <v>0</v>
      </c>
      <c r="C165" s="95" t="str">
        <f t="shared" si="2"/>
        <v>雑費</v>
      </c>
      <c r="D165" s="95"/>
      <c r="E165" s="95" t="s">
        <v>80</v>
      </c>
      <c r="F165" s="95"/>
      <c r="G165" s="95">
        <v>0.0</v>
      </c>
      <c r="H165" s="95">
        <v>0.0</v>
      </c>
      <c r="I165" s="95">
        <v>5180.0</v>
      </c>
      <c r="J165" s="95">
        <v>0.0</v>
      </c>
      <c r="K165" s="95">
        <v>0.0</v>
      </c>
      <c r="L165" s="95">
        <v>0.0</v>
      </c>
      <c r="M165" s="95">
        <v>5180.0</v>
      </c>
      <c r="N165" s="95">
        <v>0.0</v>
      </c>
      <c r="O165" s="95">
        <v>0.0</v>
      </c>
      <c r="P165" s="95">
        <v>0.0</v>
      </c>
      <c r="Q165" s="95">
        <v>0.0</v>
      </c>
      <c r="R165" s="95">
        <v>0.0</v>
      </c>
      <c r="S165" s="95">
        <v>0.0</v>
      </c>
      <c r="T165" s="95">
        <v>0.0</v>
      </c>
      <c r="U165" s="95">
        <v>0.0</v>
      </c>
      <c r="V165" s="95">
        <v>0.0</v>
      </c>
      <c r="W165" s="95">
        <v>0.0</v>
      </c>
      <c r="X165" s="95">
        <v>0.0</v>
      </c>
      <c r="Y165" s="95">
        <v>0.0</v>
      </c>
      <c r="Z165" s="95">
        <v>0.0</v>
      </c>
      <c r="AA165" s="95">
        <v>0.0</v>
      </c>
      <c r="AB165" s="95">
        <v>48120.0</v>
      </c>
      <c r="AC165" s="95">
        <v>48120.0</v>
      </c>
      <c r="AD165" s="95">
        <v>0.0</v>
      </c>
      <c r="AE165" s="95">
        <v>96240.0</v>
      </c>
      <c r="AF165" s="95"/>
      <c r="AG165" s="95"/>
      <c r="AH165" s="95"/>
      <c r="AI165" s="95"/>
      <c r="AJ165" s="95"/>
      <c r="AK165" s="95"/>
      <c r="AL165" s="95"/>
      <c r="AM165" s="95"/>
      <c r="AN165" s="95"/>
    </row>
    <row r="166" ht="14.25" customHeight="1">
      <c r="B166" s="507">
        <f t="shared" si="1"/>
        <v>0</v>
      </c>
      <c r="C166" s="95" t="str">
        <f t="shared" si="2"/>
        <v>振込手数料</v>
      </c>
      <c r="D166" s="95"/>
      <c r="E166" s="95" t="s">
        <v>295</v>
      </c>
      <c r="F166" s="95"/>
      <c r="G166" s="95">
        <v>0.0</v>
      </c>
      <c r="H166" s="95">
        <v>0.0</v>
      </c>
      <c r="I166" s="95">
        <v>0.0</v>
      </c>
      <c r="J166" s="95">
        <v>0.0</v>
      </c>
      <c r="K166" s="95">
        <v>0.0</v>
      </c>
      <c r="L166" s="95">
        <v>0.0</v>
      </c>
      <c r="M166" s="95">
        <v>0.0</v>
      </c>
      <c r="N166" s="95">
        <v>0.0</v>
      </c>
      <c r="O166" s="95">
        <v>0.0</v>
      </c>
      <c r="P166" s="95">
        <v>0.0</v>
      </c>
      <c r="Q166" s="95">
        <v>0.0</v>
      </c>
      <c r="R166" s="95">
        <v>0.0</v>
      </c>
      <c r="S166" s="95">
        <v>0.0</v>
      </c>
      <c r="T166" s="95">
        <v>0.0</v>
      </c>
      <c r="U166" s="95">
        <v>0.0</v>
      </c>
      <c r="V166" s="95">
        <v>0.0</v>
      </c>
      <c r="W166" s="95">
        <v>0.0</v>
      </c>
      <c r="X166" s="95">
        <v>0.0</v>
      </c>
      <c r="Y166" s="95">
        <v>0.0</v>
      </c>
      <c r="Z166" s="95">
        <v>0.0</v>
      </c>
      <c r="AA166" s="95">
        <v>0.0</v>
      </c>
      <c r="AB166" s="95">
        <v>1244.0</v>
      </c>
      <c r="AC166" s="95">
        <v>0.0</v>
      </c>
      <c r="AD166" s="95">
        <v>0.0</v>
      </c>
      <c r="AE166" s="95">
        <v>1244.0</v>
      </c>
      <c r="AF166" s="95"/>
      <c r="AG166" s="95"/>
      <c r="AH166" s="95"/>
      <c r="AI166" s="95"/>
      <c r="AJ166" s="95"/>
      <c r="AK166" s="95"/>
      <c r="AL166" s="95"/>
      <c r="AM166" s="95"/>
      <c r="AN166" s="95"/>
    </row>
    <row r="167" ht="14.25" customHeight="1">
      <c r="B167" s="507">
        <f t="shared" si="1"/>
        <v>0</v>
      </c>
      <c r="C167" s="95" t="str">
        <f t="shared" si="2"/>
        <v>地代家賃</v>
      </c>
      <c r="D167" s="95"/>
      <c r="E167" s="95" t="s">
        <v>82</v>
      </c>
      <c r="F167" s="95"/>
      <c r="G167" s="95">
        <v>833.0</v>
      </c>
      <c r="H167" s="95">
        <v>0.0</v>
      </c>
      <c r="I167" s="95">
        <v>833.0</v>
      </c>
      <c r="J167" s="95">
        <v>0.0</v>
      </c>
      <c r="K167" s="95">
        <v>0.0</v>
      </c>
      <c r="L167" s="95">
        <v>0.0</v>
      </c>
      <c r="M167" s="95">
        <v>1666.0</v>
      </c>
      <c r="N167" s="95">
        <v>0.0</v>
      </c>
      <c r="O167" s="95">
        <v>0.0</v>
      </c>
      <c r="P167" s="95">
        <v>0.0</v>
      </c>
      <c r="Q167" s="95">
        <v>0.0</v>
      </c>
      <c r="R167" s="95">
        <v>0.0</v>
      </c>
      <c r="S167" s="95">
        <v>0.0</v>
      </c>
      <c r="T167" s="95">
        <v>0.0</v>
      </c>
      <c r="U167" s="95">
        <v>0.0</v>
      </c>
      <c r="V167" s="95">
        <v>0.0</v>
      </c>
      <c r="W167" s="95">
        <v>0.0</v>
      </c>
      <c r="X167" s="95">
        <v>0.0</v>
      </c>
      <c r="Y167" s="95">
        <v>0.0</v>
      </c>
      <c r="Z167" s="95">
        <v>0.0</v>
      </c>
      <c r="AA167" s="95">
        <v>0.0</v>
      </c>
      <c r="AB167" s="95">
        <v>30000.0</v>
      </c>
      <c r="AC167" s="95">
        <v>30000.0</v>
      </c>
      <c r="AD167" s="95">
        <v>0.0</v>
      </c>
      <c r="AE167" s="95">
        <v>60000.0</v>
      </c>
      <c r="AF167" s="95"/>
      <c r="AG167" s="95"/>
      <c r="AH167" s="95"/>
      <c r="AI167" s="95"/>
      <c r="AJ167" s="95"/>
      <c r="AK167" s="95"/>
      <c r="AL167" s="95"/>
      <c r="AM167" s="95"/>
      <c r="AN167" s="95"/>
    </row>
    <row r="168" ht="14.25" customHeight="1">
      <c r="B168" s="507">
        <f t="shared" si="1"/>
        <v>0</v>
      </c>
      <c r="C168" s="95" t="str">
        <f t="shared" si="2"/>
        <v>トライアルカンパニー</v>
      </c>
      <c r="D168" s="95"/>
      <c r="E168" s="95"/>
      <c r="F168" s="95" t="s">
        <v>296</v>
      </c>
      <c r="G168" s="95">
        <v>0.0</v>
      </c>
      <c r="H168" s="95">
        <v>0.0</v>
      </c>
      <c r="I168" s="95">
        <v>0.0</v>
      </c>
      <c r="J168" s="95">
        <v>0.0</v>
      </c>
      <c r="K168" s="95">
        <v>0.0</v>
      </c>
      <c r="L168" s="95">
        <v>0.0</v>
      </c>
      <c r="M168" s="95">
        <v>0.0</v>
      </c>
      <c r="N168" s="95">
        <v>0.0</v>
      </c>
      <c r="O168" s="95">
        <v>0.0</v>
      </c>
      <c r="P168" s="95">
        <v>0.0</v>
      </c>
      <c r="Q168" s="95">
        <v>0.0</v>
      </c>
      <c r="R168" s="95">
        <v>0.0</v>
      </c>
      <c r="S168" s="95">
        <v>0.0</v>
      </c>
      <c r="T168" s="95">
        <v>0.0</v>
      </c>
      <c r="U168" s="95">
        <v>0.0</v>
      </c>
      <c r="V168" s="95">
        <v>0.0</v>
      </c>
      <c r="W168" s="95">
        <v>0.0</v>
      </c>
      <c r="X168" s="95">
        <v>0.0</v>
      </c>
      <c r="Y168" s="95">
        <v>0.0</v>
      </c>
      <c r="Z168" s="95">
        <v>0.0</v>
      </c>
      <c r="AA168" s="95">
        <v>0.0</v>
      </c>
      <c r="AB168" s="95">
        <v>30000.0</v>
      </c>
      <c r="AC168" s="95">
        <v>30000.0</v>
      </c>
      <c r="AD168" s="95">
        <v>0.0</v>
      </c>
      <c r="AE168" s="95">
        <v>60000.0</v>
      </c>
      <c r="AF168" s="95"/>
      <c r="AG168" s="95"/>
      <c r="AH168" s="95"/>
      <c r="AI168" s="95"/>
      <c r="AJ168" s="95"/>
      <c r="AK168" s="95"/>
      <c r="AL168" s="95"/>
      <c r="AM168" s="95"/>
      <c r="AN168" s="95"/>
    </row>
    <row r="169" ht="14.25" customHeight="1">
      <c r="B169" s="507">
        <f t="shared" si="1"/>
        <v>0</v>
      </c>
      <c r="C169" s="95" t="str">
        <f t="shared" si="2"/>
        <v>国有地</v>
      </c>
      <c r="D169" s="95"/>
      <c r="E169" s="95"/>
      <c r="F169" s="95" t="s">
        <v>297</v>
      </c>
      <c r="G169" s="95">
        <v>0.0</v>
      </c>
      <c r="H169" s="95">
        <v>0.0</v>
      </c>
      <c r="I169" s="95">
        <v>0.0</v>
      </c>
      <c r="J169" s="95">
        <v>0.0</v>
      </c>
      <c r="K169" s="95">
        <v>0.0</v>
      </c>
      <c r="L169" s="95">
        <v>0.0</v>
      </c>
      <c r="M169" s="95">
        <v>0.0</v>
      </c>
      <c r="N169" s="95">
        <v>0.0</v>
      </c>
      <c r="O169" s="95">
        <v>0.0</v>
      </c>
      <c r="P169" s="95">
        <v>0.0</v>
      </c>
      <c r="Q169" s="95">
        <v>0.0</v>
      </c>
      <c r="R169" s="95">
        <v>0.0</v>
      </c>
      <c r="S169" s="95">
        <v>0.0</v>
      </c>
      <c r="T169" s="95">
        <v>0.0</v>
      </c>
      <c r="U169" s="95">
        <v>0.0</v>
      </c>
      <c r="V169" s="95">
        <v>0.0</v>
      </c>
      <c r="W169" s="95">
        <v>0.0</v>
      </c>
      <c r="X169" s="95">
        <v>0.0</v>
      </c>
      <c r="Y169" s="95">
        <v>0.0</v>
      </c>
      <c r="Z169" s="95">
        <v>0.0</v>
      </c>
      <c r="AA169" s="95">
        <v>0.0</v>
      </c>
      <c r="AB169" s="95">
        <v>0.0</v>
      </c>
      <c r="AC169" s="95">
        <v>0.0</v>
      </c>
      <c r="AD169" s="95">
        <v>0.0</v>
      </c>
      <c r="AE169" s="95">
        <v>0.0</v>
      </c>
      <c r="AF169" s="95"/>
      <c r="AG169" s="95"/>
      <c r="AH169" s="95"/>
      <c r="AI169" s="95"/>
      <c r="AJ169" s="95"/>
      <c r="AK169" s="95"/>
      <c r="AL169" s="95"/>
      <c r="AM169" s="95"/>
      <c r="AN169" s="95"/>
    </row>
    <row r="170" ht="14.25" customHeight="1">
      <c r="B170" s="507">
        <f t="shared" si="1"/>
        <v>0</v>
      </c>
      <c r="C170" s="95" t="str">
        <f t="shared" si="2"/>
        <v>民有地</v>
      </c>
      <c r="D170" s="95"/>
      <c r="E170" s="95"/>
      <c r="F170" s="95" t="s">
        <v>298</v>
      </c>
      <c r="G170" s="95">
        <v>833.0</v>
      </c>
      <c r="H170" s="95">
        <v>0.0</v>
      </c>
      <c r="I170" s="95">
        <v>833.0</v>
      </c>
      <c r="J170" s="95">
        <v>0.0</v>
      </c>
      <c r="K170" s="95">
        <v>0.0</v>
      </c>
      <c r="L170" s="95">
        <v>0.0</v>
      </c>
      <c r="M170" s="95">
        <v>1666.0</v>
      </c>
      <c r="N170" s="95">
        <v>0.0</v>
      </c>
      <c r="O170" s="95">
        <v>0.0</v>
      </c>
      <c r="P170" s="95">
        <v>0.0</v>
      </c>
      <c r="Q170" s="95">
        <v>0.0</v>
      </c>
      <c r="R170" s="95">
        <v>0.0</v>
      </c>
      <c r="S170" s="95">
        <v>0.0</v>
      </c>
      <c r="T170" s="95">
        <v>0.0</v>
      </c>
      <c r="U170" s="95">
        <v>0.0</v>
      </c>
      <c r="V170" s="95">
        <v>0.0</v>
      </c>
      <c r="W170" s="95">
        <v>0.0</v>
      </c>
      <c r="X170" s="95">
        <v>0.0</v>
      </c>
      <c r="Y170" s="95">
        <v>0.0</v>
      </c>
      <c r="Z170" s="95">
        <v>0.0</v>
      </c>
      <c r="AA170" s="95">
        <v>0.0</v>
      </c>
      <c r="AB170" s="95">
        <v>0.0</v>
      </c>
      <c r="AC170" s="95">
        <v>0.0</v>
      </c>
      <c r="AD170" s="95">
        <v>0.0</v>
      </c>
      <c r="AE170" s="95">
        <v>0.0</v>
      </c>
      <c r="AF170" s="95"/>
      <c r="AG170" s="95"/>
      <c r="AH170" s="95"/>
      <c r="AI170" s="95"/>
      <c r="AJ170" s="95"/>
      <c r="AK170" s="95"/>
      <c r="AL170" s="95"/>
      <c r="AM170" s="95"/>
      <c r="AN170" s="95"/>
    </row>
    <row r="171" ht="14.25" customHeight="1">
      <c r="B171" s="507">
        <f t="shared" si="1"/>
        <v>0</v>
      </c>
      <c r="C171" s="95" t="str">
        <f t="shared" si="2"/>
        <v>リース料</v>
      </c>
      <c r="D171" s="95"/>
      <c r="E171" s="95" t="s">
        <v>83</v>
      </c>
      <c r="F171" s="95"/>
      <c r="G171" s="95">
        <v>75023.0</v>
      </c>
      <c r="H171" s="95">
        <v>56500.0</v>
      </c>
      <c r="I171" s="95">
        <v>16400.0</v>
      </c>
      <c r="J171" s="95">
        <v>6450.0</v>
      </c>
      <c r="K171" s="95">
        <v>0.0</v>
      </c>
      <c r="L171" s="95">
        <v>0.0</v>
      </c>
      <c r="M171" s="95">
        <v>154373.0</v>
      </c>
      <c r="N171" s="95">
        <v>19303.0</v>
      </c>
      <c r="O171" s="95">
        <v>0.0</v>
      </c>
      <c r="P171" s="95">
        <v>0.0</v>
      </c>
      <c r="Q171" s="95">
        <v>0.0</v>
      </c>
      <c r="R171" s="95">
        <v>0.0</v>
      </c>
      <c r="S171" s="95">
        <v>0.0</v>
      </c>
      <c r="T171" s="95">
        <v>19303.0</v>
      </c>
      <c r="U171" s="95">
        <v>1063.0</v>
      </c>
      <c r="V171" s="95">
        <v>36489.0</v>
      </c>
      <c r="W171" s="95">
        <v>663470.0</v>
      </c>
      <c r="X171" s="95">
        <v>46068.0</v>
      </c>
      <c r="Y171" s="95">
        <v>0.0</v>
      </c>
      <c r="Z171" s="95">
        <v>0.0</v>
      </c>
      <c r="AA171" s="95">
        <v>747090.0</v>
      </c>
      <c r="AB171" s="95">
        <v>124200.0</v>
      </c>
      <c r="AC171" s="95">
        <v>0.0</v>
      </c>
      <c r="AD171" s="95">
        <v>0.0</v>
      </c>
      <c r="AE171" s="95">
        <v>124200.0</v>
      </c>
      <c r="AF171" s="95"/>
      <c r="AG171" s="95"/>
      <c r="AH171" s="95"/>
      <c r="AI171" s="95"/>
      <c r="AJ171" s="95"/>
      <c r="AK171" s="95"/>
      <c r="AL171" s="95"/>
      <c r="AM171" s="95"/>
      <c r="AN171" s="95"/>
    </row>
    <row r="172" ht="14.25" customHeight="1">
      <c r="B172" s="507">
        <f t="shared" si="1"/>
        <v>0</v>
      </c>
      <c r="C172" s="95" t="str">
        <f t="shared" si="2"/>
        <v>大分リース</v>
      </c>
      <c r="D172" s="95"/>
      <c r="E172" s="95"/>
      <c r="F172" s="95" t="s">
        <v>299</v>
      </c>
      <c r="G172" s="95">
        <v>0.0</v>
      </c>
      <c r="H172" s="95">
        <v>0.0</v>
      </c>
      <c r="I172" s="95">
        <v>0.0</v>
      </c>
      <c r="J172" s="95">
        <v>0.0</v>
      </c>
      <c r="K172" s="95">
        <v>0.0</v>
      </c>
      <c r="L172" s="95">
        <v>0.0</v>
      </c>
      <c r="M172" s="95">
        <v>0.0</v>
      </c>
      <c r="N172" s="95">
        <v>0.0</v>
      </c>
      <c r="O172" s="95">
        <v>0.0</v>
      </c>
      <c r="P172" s="95">
        <v>0.0</v>
      </c>
      <c r="Q172" s="95">
        <v>0.0</v>
      </c>
      <c r="R172" s="95">
        <v>0.0</v>
      </c>
      <c r="S172" s="95">
        <v>0.0</v>
      </c>
      <c r="T172" s="95">
        <v>0.0</v>
      </c>
      <c r="U172" s="95">
        <v>0.0</v>
      </c>
      <c r="V172" s="95">
        <v>0.0</v>
      </c>
      <c r="W172" s="95">
        <v>0.0</v>
      </c>
      <c r="X172" s="95">
        <v>0.0</v>
      </c>
      <c r="Y172" s="95">
        <v>0.0</v>
      </c>
      <c r="Z172" s="95">
        <v>0.0</v>
      </c>
      <c r="AA172" s="95">
        <v>0.0</v>
      </c>
      <c r="AB172" s="95">
        <v>0.0</v>
      </c>
      <c r="AC172" s="95">
        <v>0.0</v>
      </c>
      <c r="AD172" s="95">
        <v>0.0</v>
      </c>
      <c r="AE172" s="95">
        <v>0.0</v>
      </c>
      <c r="AF172" s="95"/>
      <c r="AG172" s="95"/>
      <c r="AH172" s="95"/>
      <c r="AI172" s="95"/>
      <c r="AJ172" s="95"/>
      <c r="AK172" s="95"/>
      <c r="AL172" s="95"/>
      <c r="AM172" s="95"/>
      <c r="AN172" s="95"/>
    </row>
    <row r="173" ht="14.25" customHeight="1">
      <c r="B173" s="507">
        <f t="shared" si="1"/>
        <v>0</v>
      </c>
      <c r="C173" s="95" t="str">
        <f t="shared" si="2"/>
        <v>肥銀リース　</v>
      </c>
      <c r="D173" s="95"/>
      <c r="E173" s="95"/>
      <c r="F173" s="95" t="s">
        <v>300</v>
      </c>
      <c r="G173" s="95">
        <v>0.0</v>
      </c>
      <c r="H173" s="95">
        <v>0.0</v>
      </c>
      <c r="I173" s="95">
        <v>0.0</v>
      </c>
      <c r="J173" s="95">
        <v>0.0</v>
      </c>
      <c r="K173" s="95">
        <v>0.0</v>
      </c>
      <c r="L173" s="95">
        <v>0.0</v>
      </c>
      <c r="M173" s="95">
        <v>0.0</v>
      </c>
      <c r="N173" s="95">
        <v>0.0</v>
      </c>
      <c r="O173" s="95">
        <v>0.0</v>
      </c>
      <c r="P173" s="95">
        <v>0.0</v>
      </c>
      <c r="Q173" s="95">
        <v>0.0</v>
      </c>
      <c r="R173" s="95">
        <v>0.0</v>
      </c>
      <c r="S173" s="95">
        <v>0.0</v>
      </c>
      <c r="T173" s="95">
        <v>0.0</v>
      </c>
      <c r="U173" s="95">
        <v>0.0</v>
      </c>
      <c r="V173" s="95">
        <v>0.0</v>
      </c>
      <c r="W173" s="95">
        <v>0.0</v>
      </c>
      <c r="X173" s="95">
        <v>0.0</v>
      </c>
      <c r="Y173" s="95">
        <v>0.0</v>
      </c>
      <c r="Z173" s="95">
        <v>0.0</v>
      </c>
      <c r="AA173" s="95">
        <v>0.0</v>
      </c>
      <c r="AB173" s="95">
        <v>0.0</v>
      </c>
      <c r="AC173" s="95">
        <v>0.0</v>
      </c>
      <c r="AD173" s="95">
        <v>0.0</v>
      </c>
      <c r="AE173" s="95">
        <v>0.0</v>
      </c>
      <c r="AF173" s="95"/>
      <c r="AG173" s="95"/>
      <c r="AH173" s="95"/>
      <c r="AI173" s="95"/>
      <c r="AJ173" s="95"/>
      <c r="AK173" s="95"/>
      <c r="AL173" s="95"/>
      <c r="AM173" s="95"/>
      <c r="AN173" s="95"/>
    </row>
    <row r="174" ht="14.25" customHeight="1">
      <c r="B174" s="507">
        <f t="shared" si="1"/>
        <v>0</v>
      </c>
      <c r="C174" s="95" t="str">
        <f t="shared" si="2"/>
        <v>三井住友FL</v>
      </c>
      <c r="D174" s="95"/>
      <c r="E174" s="95"/>
      <c r="F174" s="95" t="s">
        <v>301</v>
      </c>
      <c r="G174" s="95">
        <v>0.0</v>
      </c>
      <c r="H174" s="95">
        <v>0.0</v>
      </c>
      <c r="I174" s="95">
        <v>0.0</v>
      </c>
      <c r="J174" s="95">
        <v>0.0</v>
      </c>
      <c r="K174" s="95">
        <v>0.0</v>
      </c>
      <c r="L174" s="95">
        <v>0.0</v>
      </c>
      <c r="M174" s="95">
        <v>0.0</v>
      </c>
      <c r="N174" s="95">
        <v>0.0</v>
      </c>
      <c r="O174" s="95">
        <v>0.0</v>
      </c>
      <c r="P174" s="95">
        <v>0.0</v>
      </c>
      <c r="Q174" s="95">
        <v>0.0</v>
      </c>
      <c r="R174" s="95">
        <v>0.0</v>
      </c>
      <c r="S174" s="95">
        <v>0.0</v>
      </c>
      <c r="T174" s="95">
        <v>0.0</v>
      </c>
      <c r="U174" s="95">
        <v>0.0</v>
      </c>
      <c r="V174" s="95">
        <v>0.0</v>
      </c>
      <c r="W174" s="95">
        <v>26600.0</v>
      </c>
      <c r="X174" s="95">
        <v>0.0</v>
      </c>
      <c r="Y174" s="95">
        <v>0.0</v>
      </c>
      <c r="Z174" s="95">
        <v>0.0</v>
      </c>
      <c r="AA174" s="95">
        <v>26600.0</v>
      </c>
      <c r="AB174" s="95">
        <v>0.0</v>
      </c>
      <c r="AC174" s="95">
        <v>0.0</v>
      </c>
      <c r="AD174" s="95">
        <v>0.0</v>
      </c>
      <c r="AE174" s="95">
        <v>0.0</v>
      </c>
      <c r="AF174" s="95"/>
      <c r="AG174" s="95"/>
      <c r="AH174" s="95"/>
      <c r="AI174" s="95"/>
      <c r="AJ174" s="95"/>
      <c r="AK174" s="95"/>
      <c r="AL174" s="95"/>
      <c r="AM174" s="95"/>
      <c r="AN174" s="95"/>
    </row>
    <row r="175" ht="14.25" customHeight="1">
      <c r="B175" s="507">
        <f t="shared" si="1"/>
        <v>0</v>
      </c>
      <c r="C175" s="95" t="str">
        <f t="shared" si="2"/>
        <v>MHF)B-ﾊﾟ-ﾄﾅ-</v>
      </c>
      <c r="D175" s="95"/>
      <c r="E175" s="95"/>
      <c r="F175" s="95" t="s">
        <v>302</v>
      </c>
      <c r="G175" s="95">
        <v>0.0</v>
      </c>
      <c r="H175" s="95">
        <v>0.0</v>
      </c>
      <c r="I175" s="95">
        <v>0.0</v>
      </c>
      <c r="J175" s="95">
        <v>0.0</v>
      </c>
      <c r="K175" s="95">
        <v>0.0</v>
      </c>
      <c r="L175" s="95">
        <v>0.0</v>
      </c>
      <c r="M175" s="95">
        <v>0.0</v>
      </c>
      <c r="N175" s="95">
        <v>0.0</v>
      </c>
      <c r="O175" s="95">
        <v>0.0</v>
      </c>
      <c r="P175" s="95">
        <v>0.0</v>
      </c>
      <c r="Q175" s="95">
        <v>0.0</v>
      </c>
      <c r="R175" s="95">
        <v>0.0</v>
      </c>
      <c r="S175" s="95">
        <v>0.0</v>
      </c>
      <c r="T175" s="95">
        <v>0.0</v>
      </c>
      <c r="U175" s="95">
        <v>0.0</v>
      </c>
      <c r="V175" s="95">
        <v>0.0</v>
      </c>
      <c r="W175" s="95">
        <v>0.0</v>
      </c>
      <c r="X175" s="95">
        <v>0.0</v>
      </c>
      <c r="Y175" s="95">
        <v>0.0</v>
      </c>
      <c r="Z175" s="95">
        <v>0.0</v>
      </c>
      <c r="AA175" s="95">
        <v>0.0</v>
      </c>
      <c r="AB175" s="95">
        <v>16100.0</v>
      </c>
      <c r="AC175" s="95">
        <v>0.0</v>
      </c>
      <c r="AD175" s="95">
        <v>0.0</v>
      </c>
      <c r="AE175" s="95">
        <v>16100.0</v>
      </c>
      <c r="AF175" s="95"/>
      <c r="AG175" s="95"/>
      <c r="AH175" s="95"/>
      <c r="AI175" s="95"/>
      <c r="AJ175" s="95"/>
      <c r="AK175" s="95"/>
      <c r="AL175" s="95"/>
      <c r="AM175" s="95"/>
      <c r="AN175" s="95"/>
    </row>
    <row r="176" ht="14.25" customHeight="1">
      <c r="B176" s="507">
        <f t="shared" si="1"/>
        <v>0</v>
      </c>
      <c r="C176" s="95" t="str">
        <f t="shared" si="2"/>
        <v>サニクリーン</v>
      </c>
      <c r="D176" s="95"/>
      <c r="E176" s="95"/>
      <c r="F176" s="95" t="s">
        <v>303</v>
      </c>
      <c r="G176" s="95">
        <v>73960.0</v>
      </c>
      <c r="H176" s="95">
        <v>56500.0</v>
      </c>
      <c r="I176" s="95">
        <v>16400.0</v>
      </c>
      <c r="J176" s="95">
        <v>6450.0</v>
      </c>
      <c r="K176" s="95">
        <v>0.0</v>
      </c>
      <c r="L176" s="95">
        <v>0.0</v>
      </c>
      <c r="M176" s="95">
        <v>153310.0</v>
      </c>
      <c r="N176" s="95">
        <v>0.0</v>
      </c>
      <c r="O176" s="95">
        <v>0.0</v>
      </c>
      <c r="P176" s="95">
        <v>0.0</v>
      </c>
      <c r="Q176" s="95">
        <v>0.0</v>
      </c>
      <c r="R176" s="95">
        <v>0.0</v>
      </c>
      <c r="S176" s="95">
        <v>0.0</v>
      </c>
      <c r="T176" s="95">
        <v>0.0</v>
      </c>
      <c r="U176" s="95">
        <v>0.0</v>
      </c>
      <c r="V176" s="95">
        <v>18300.0</v>
      </c>
      <c r="W176" s="95">
        <v>31080.0</v>
      </c>
      <c r="X176" s="95">
        <v>11880.0</v>
      </c>
      <c r="Y176" s="95">
        <v>0.0</v>
      </c>
      <c r="Z176" s="95">
        <v>0.0</v>
      </c>
      <c r="AA176" s="95">
        <v>61260.0</v>
      </c>
      <c r="AB176" s="95">
        <v>0.0</v>
      </c>
      <c r="AC176" s="95">
        <v>0.0</v>
      </c>
      <c r="AD176" s="95">
        <v>0.0</v>
      </c>
      <c r="AE176" s="95">
        <v>0.0</v>
      </c>
      <c r="AF176" s="95"/>
      <c r="AG176" s="95"/>
      <c r="AH176" s="95"/>
      <c r="AI176" s="95"/>
      <c r="AJ176" s="95"/>
      <c r="AK176" s="95"/>
      <c r="AL176" s="95"/>
      <c r="AM176" s="95"/>
      <c r="AN176" s="95"/>
    </row>
    <row r="177" ht="14.25" customHeight="1">
      <c r="B177" s="507">
        <f t="shared" si="1"/>
        <v>0</v>
      </c>
      <c r="C177" s="95" t="str">
        <f t="shared" si="2"/>
        <v>ダスキン</v>
      </c>
      <c r="D177" s="95"/>
      <c r="E177" s="95"/>
      <c r="F177" s="95" t="s">
        <v>304</v>
      </c>
      <c r="G177" s="95">
        <v>0.0</v>
      </c>
      <c r="H177" s="95">
        <v>0.0</v>
      </c>
      <c r="I177" s="95">
        <v>0.0</v>
      </c>
      <c r="J177" s="95">
        <v>0.0</v>
      </c>
      <c r="K177" s="95">
        <v>0.0</v>
      </c>
      <c r="L177" s="95">
        <v>0.0</v>
      </c>
      <c r="M177" s="95">
        <v>0.0</v>
      </c>
      <c r="N177" s="95">
        <v>18240.0</v>
      </c>
      <c r="O177" s="95">
        <v>0.0</v>
      </c>
      <c r="P177" s="95">
        <v>0.0</v>
      </c>
      <c r="Q177" s="95">
        <v>0.0</v>
      </c>
      <c r="R177" s="95">
        <v>0.0</v>
      </c>
      <c r="S177" s="95">
        <v>0.0</v>
      </c>
      <c r="T177" s="95">
        <v>18240.0</v>
      </c>
      <c r="U177" s="95">
        <v>0.0</v>
      </c>
      <c r="V177" s="95">
        <v>0.0</v>
      </c>
      <c r="W177" s="95">
        <v>0.0</v>
      </c>
      <c r="X177" s="95">
        <v>0.0</v>
      </c>
      <c r="Y177" s="95">
        <v>0.0</v>
      </c>
      <c r="Z177" s="95">
        <v>0.0</v>
      </c>
      <c r="AA177" s="95">
        <v>0.0</v>
      </c>
      <c r="AB177" s="95">
        <v>0.0</v>
      </c>
      <c r="AC177" s="95">
        <v>0.0</v>
      </c>
      <c r="AD177" s="95">
        <v>0.0</v>
      </c>
      <c r="AE177" s="95">
        <v>0.0</v>
      </c>
      <c r="AF177" s="95"/>
      <c r="AG177" s="95"/>
      <c r="AH177" s="95"/>
      <c r="AI177" s="95"/>
      <c r="AJ177" s="95"/>
      <c r="AK177" s="95"/>
      <c r="AL177" s="95"/>
      <c r="AM177" s="95"/>
      <c r="AN177" s="95"/>
    </row>
    <row r="178" ht="14.25" customHeight="1">
      <c r="B178" s="507">
        <f t="shared" si="1"/>
        <v>0</v>
      </c>
      <c r="C178" s="95" t="str">
        <f t="shared" si="2"/>
        <v>その他</v>
      </c>
      <c r="D178" s="95"/>
      <c r="E178" s="95"/>
      <c r="F178" s="95" t="s">
        <v>209</v>
      </c>
      <c r="G178" s="95">
        <v>0.0</v>
      </c>
      <c r="H178" s="95">
        <v>0.0</v>
      </c>
      <c r="I178" s="95">
        <v>0.0</v>
      </c>
      <c r="J178" s="95">
        <v>0.0</v>
      </c>
      <c r="K178" s="95">
        <v>0.0</v>
      </c>
      <c r="L178" s="95">
        <v>0.0</v>
      </c>
      <c r="M178" s="95">
        <v>0.0</v>
      </c>
      <c r="N178" s="95">
        <v>0.0</v>
      </c>
      <c r="O178" s="95">
        <v>0.0</v>
      </c>
      <c r="P178" s="95">
        <v>0.0</v>
      </c>
      <c r="Q178" s="95">
        <v>0.0</v>
      </c>
      <c r="R178" s="95">
        <v>0.0</v>
      </c>
      <c r="S178" s="95">
        <v>0.0</v>
      </c>
      <c r="T178" s="95">
        <v>0.0</v>
      </c>
      <c r="U178" s="95">
        <v>0.0</v>
      </c>
      <c r="V178" s="95">
        <v>0.0</v>
      </c>
      <c r="W178" s="95">
        <v>234200.0</v>
      </c>
      <c r="X178" s="95">
        <v>27200.0</v>
      </c>
      <c r="Y178" s="95">
        <v>0.0</v>
      </c>
      <c r="Z178" s="95">
        <v>0.0</v>
      </c>
      <c r="AA178" s="95">
        <v>261400.0</v>
      </c>
      <c r="AB178" s="95">
        <v>0.0</v>
      </c>
      <c r="AC178" s="95">
        <v>0.0</v>
      </c>
      <c r="AD178" s="95">
        <v>0.0</v>
      </c>
      <c r="AE178" s="95">
        <v>0.0</v>
      </c>
      <c r="AF178" s="95"/>
      <c r="AG178" s="95"/>
      <c r="AH178" s="95"/>
      <c r="AI178" s="95"/>
      <c r="AJ178" s="95"/>
      <c r="AK178" s="95"/>
      <c r="AL178" s="95"/>
      <c r="AM178" s="95"/>
      <c r="AN178" s="95"/>
    </row>
    <row r="179" ht="14.25" customHeight="1">
      <c r="B179" s="507">
        <f t="shared" si="1"/>
        <v>0</v>
      </c>
      <c r="C179" s="95" t="str">
        <f t="shared" si="2"/>
        <v>アイシグリーンシステム</v>
      </c>
      <c r="D179" s="95"/>
      <c r="E179" s="95"/>
      <c r="F179" s="95" t="s">
        <v>305</v>
      </c>
      <c r="G179" s="95">
        <v>0.0</v>
      </c>
      <c r="H179" s="95">
        <v>0.0</v>
      </c>
      <c r="I179" s="95">
        <v>0.0</v>
      </c>
      <c r="J179" s="95">
        <v>0.0</v>
      </c>
      <c r="K179" s="95">
        <v>0.0</v>
      </c>
      <c r="L179" s="95">
        <v>0.0</v>
      </c>
      <c r="M179" s="95">
        <v>0.0</v>
      </c>
      <c r="N179" s="95">
        <v>0.0</v>
      </c>
      <c r="O179" s="95">
        <v>0.0</v>
      </c>
      <c r="P179" s="95">
        <v>0.0</v>
      </c>
      <c r="Q179" s="95">
        <v>0.0</v>
      </c>
      <c r="R179" s="95">
        <v>0.0</v>
      </c>
      <c r="S179" s="95">
        <v>0.0</v>
      </c>
      <c r="T179" s="95">
        <v>0.0</v>
      </c>
      <c r="U179" s="95">
        <v>0.0</v>
      </c>
      <c r="V179" s="95">
        <v>0.0</v>
      </c>
      <c r="W179" s="95">
        <v>0.0</v>
      </c>
      <c r="X179" s="95">
        <v>0.0</v>
      </c>
      <c r="Y179" s="95">
        <v>0.0</v>
      </c>
      <c r="Z179" s="95">
        <v>0.0</v>
      </c>
      <c r="AA179" s="95">
        <v>0.0</v>
      </c>
      <c r="AB179" s="95">
        <v>0.0</v>
      </c>
      <c r="AC179" s="95">
        <v>0.0</v>
      </c>
      <c r="AD179" s="95">
        <v>0.0</v>
      </c>
      <c r="AE179" s="95">
        <v>0.0</v>
      </c>
      <c r="AF179" s="95"/>
      <c r="AG179" s="95"/>
      <c r="AH179" s="95"/>
      <c r="AI179" s="95"/>
      <c r="AJ179" s="95"/>
      <c r="AK179" s="95"/>
      <c r="AL179" s="95"/>
      <c r="AM179" s="95"/>
      <c r="AN179" s="95"/>
    </row>
    <row r="180" ht="14.25" customHeight="1">
      <c r="B180" s="507">
        <f t="shared" si="1"/>
        <v>0</v>
      </c>
      <c r="C180" s="95" t="str">
        <f t="shared" si="2"/>
        <v>オリックス　電気設備監視システム</v>
      </c>
      <c r="D180" s="95"/>
      <c r="E180" s="95"/>
      <c r="F180" s="95" t="s">
        <v>306</v>
      </c>
      <c r="G180" s="95">
        <v>0.0</v>
      </c>
      <c r="H180" s="95">
        <v>0.0</v>
      </c>
      <c r="I180" s="95">
        <v>0.0</v>
      </c>
      <c r="J180" s="95">
        <v>0.0</v>
      </c>
      <c r="K180" s="95">
        <v>0.0</v>
      </c>
      <c r="L180" s="95">
        <v>0.0</v>
      </c>
      <c r="M180" s="95">
        <v>0.0</v>
      </c>
      <c r="N180" s="95">
        <v>0.0</v>
      </c>
      <c r="O180" s="95">
        <v>0.0</v>
      </c>
      <c r="P180" s="95">
        <v>0.0</v>
      </c>
      <c r="Q180" s="95">
        <v>0.0</v>
      </c>
      <c r="R180" s="95">
        <v>0.0</v>
      </c>
      <c r="S180" s="95">
        <v>0.0</v>
      </c>
      <c r="T180" s="95">
        <v>0.0</v>
      </c>
      <c r="U180" s="95">
        <v>0.0</v>
      </c>
      <c r="V180" s="95">
        <v>0.0</v>
      </c>
      <c r="W180" s="95">
        <v>0.0</v>
      </c>
      <c r="X180" s="95">
        <v>0.0</v>
      </c>
      <c r="Y180" s="95">
        <v>0.0</v>
      </c>
      <c r="Z180" s="95">
        <v>0.0</v>
      </c>
      <c r="AA180" s="95">
        <v>0.0</v>
      </c>
      <c r="AB180" s="95">
        <v>0.0</v>
      </c>
      <c r="AC180" s="95">
        <v>0.0</v>
      </c>
      <c r="AD180" s="95">
        <v>0.0</v>
      </c>
      <c r="AE180" s="95">
        <v>0.0</v>
      </c>
      <c r="AF180" s="95"/>
      <c r="AG180" s="95"/>
      <c r="AH180" s="95"/>
      <c r="AI180" s="95"/>
      <c r="AJ180" s="95"/>
      <c r="AK180" s="95"/>
      <c r="AL180" s="95"/>
      <c r="AM180" s="95"/>
      <c r="AN180" s="95"/>
    </row>
    <row r="181" ht="14.25" customHeight="1">
      <c r="B181" s="507">
        <f t="shared" si="1"/>
        <v>0</v>
      </c>
      <c r="C181" s="95" t="str">
        <f t="shared" si="2"/>
        <v>にしけい　AEDレンタル</v>
      </c>
      <c r="D181" s="95"/>
      <c r="E181" s="95"/>
      <c r="F181" s="95" t="s">
        <v>307</v>
      </c>
      <c r="G181" s="95">
        <v>0.0</v>
      </c>
      <c r="H181" s="95">
        <v>0.0</v>
      </c>
      <c r="I181" s="95">
        <v>0.0</v>
      </c>
      <c r="J181" s="95">
        <v>0.0</v>
      </c>
      <c r="K181" s="95">
        <v>0.0</v>
      </c>
      <c r="L181" s="95">
        <v>0.0</v>
      </c>
      <c r="M181" s="95">
        <v>0.0</v>
      </c>
      <c r="N181" s="95">
        <v>0.0</v>
      </c>
      <c r="O181" s="95">
        <v>0.0</v>
      </c>
      <c r="P181" s="95">
        <v>0.0</v>
      </c>
      <c r="Q181" s="95">
        <v>0.0</v>
      </c>
      <c r="R181" s="95">
        <v>0.0</v>
      </c>
      <c r="S181" s="95">
        <v>0.0</v>
      </c>
      <c r="T181" s="95">
        <v>0.0</v>
      </c>
      <c r="U181" s="95">
        <v>0.0</v>
      </c>
      <c r="V181" s="95">
        <v>0.0</v>
      </c>
      <c r="W181" s="95">
        <v>0.0</v>
      </c>
      <c r="X181" s="95">
        <v>0.0</v>
      </c>
      <c r="Y181" s="95">
        <v>0.0</v>
      </c>
      <c r="Z181" s="95">
        <v>0.0</v>
      </c>
      <c r="AA181" s="95">
        <v>0.0</v>
      </c>
      <c r="AB181" s="95">
        <v>0.0</v>
      </c>
      <c r="AC181" s="95">
        <v>0.0</v>
      </c>
      <c r="AD181" s="95">
        <v>0.0</v>
      </c>
      <c r="AE181" s="95">
        <v>0.0</v>
      </c>
      <c r="AF181" s="95"/>
      <c r="AG181" s="95"/>
      <c r="AH181" s="95"/>
      <c r="AI181" s="95"/>
      <c r="AJ181" s="95"/>
      <c r="AK181" s="95"/>
      <c r="AL181" s="95"/>
      <c r="AM181" s="95"/>
      <c r="AN181" s="95"/>
    </row>
    <row r="182" ht="14.25" customHeight="1">
      <c r="B182" s="507">
        <f t="shared" si="1"/>
        <v>0</v>
      </c>
      <c r="C182" s="95" t="str">
        <f t="shared" si="2"/>
        <v>NTTTCリース</v>
      </c>
      <c r="D182" s="95"/>
      <c r="E182" s="95"/>
      <c r="F182" s="95" t="s">
        <v>308</v>
      </c>
      <c r="G182" s="95">
        <v>0.0</v>
      </c>
      <c r="H182" s="95">
        <v>0.0</v>
      </c>
      <c r="I182" s="95">
        <v>0.0</v>
      </c>
      <c r="J182" s="95">
        <v>0.0</v>
      </c>
      <c r="K182" s="95">
        <v>0.0</v>
      </c>
      <c r="L182" s="95">
        <v>0.0</v>
      </c>
      <c r="M182" s="95">
        <v>0.0</v>
      </c>
      <c r="N182" s="95">
        <v>0.0</v>
      </c>
      <c r="O182" s="95">
        <v>0.0</v>
      </c>
      <c r="P182" s="95">
        <v>0.0</v>
      </c>
      <c r="Q182" s="95">
        <v>0.0</v>
      </c>
      <c r="R182" s="95">
        <v>0.0</v>
      </c>
      <c r="S182" s="95">
        <v>0.0</v>
      </c>
      <c r="T182" s="95">
        <v>0.0</v>
      </c>
      <c r="U182" s="95">
        <v>0.0</v>
      </c>
      <c r="V182" s="95">
        <v>0.0</v>
      </c>
      <c r="W182" s="95">
        <v>0.0</v>
      </c>
      <c r="X182" s="95">
        <v>0.0</v>
      </c>
      <c r="Y182" s="95">
        <v>0.0</v>
      </c>
      <c r="Z182" s="95">
        <v>0.0</v>
      </c>
      <c r="AA182" s="95">
        <v>0.0</v>
      </c>
      <c r="AB182" s="95">
        <v>0.0</v>
      </c>
      <c r="AC182" s="95">
        <v>0.0</v>
      </c>
      <c r="AD182" s="95">
        <v>0.0</v>
      </c>
      <c r="AE182" s="95">
        <v>0.0</v>
      </c>
      <c r="AF182" s="95"/>
      <c r="AG182" s="95"/>
      <c r="AH182" s="95"/>
      <c r="AI182" s="95"/>
      <c r="AJ182" s="95"/>
      <c r="AK182" s="95"/>
      <c r="AL182" s="95"/>
      <c r="AM182" s="95"/>
      <c r="AN182" s="95"/>
    </row>
    <row r="183" ht="14.25" customHeight="1">
      <c r="B183" s="507">
        <f t="shared" si="1"/>
        <v>0</v>
      </c>
      <c r="C183" s="95" t="str">
        <f t="shared" si="2"/>
        <v>JRFGリース</v>
      </c>
      <c r="D183" s="95"/>
      <c r="E183" s="95"/>
      <c r="F183" s="95" t="s">
        <v>309</v>
      </c>
      <c r="G183" s="95">
        <v>0.0</v>
      </c>
      <c r="H183" s="95">
        <v>0.0</v>
      </c>
      <c r="I183" s="95">
        <v>0.0</v>
      </c>
      <c r="J183" s="95">
        <v>0.0</v>
      </c>
      <c r="K183" s="95">
        <v>0.0</v>
      </c>
      <c r="L183" s="95">
        <v>0.0</v>
      </c>
      <c r="M183" s="95">
        <v>0.0</v>
      </c>
      <c r="N183" s="95">
        <v>0.0</v>
      </c>
      <c r="O183" s="95">
        <v>0.0</v>
      </c>
      <c r="P183" s="95">
        <v>0.0</v>
      </c>
      <c r="Q183" s="95">
        <v>0.0</v>
      </c>
      <c r="R183" s="95">
        <v>0.0</v>
      </c>
      <c r="S183" s="95">
        <v>0.0</v>
      </c>
      <c r="T183" s="95">
        <v>0.0</v>
      </c>
      <c r="U183" s="95">
        <v>0.0</v>
      </c>
      <c r="V183" s="95">
        <v>0.0</v>
      </c>
      <c r="W183" s="95">
        <v>0.0</v>
      </c>
      <c r="X183" s="95">
        <v>0.0</v>
      </c>
      <c r="Y183" s="95">
        <v>0.0</v>
      </c>
      <c r="Z183" s="95">
        <v>0.0</v>
      </c>
      <c r="AA183" s="95">
        <v>0.0</v>
      </c>
      <c r="AB183" s="95">
        <v>0.0</v>
      </c>
      <c r="AC183" s="95">
        <v>0.0</v>
      </c>
      <c r="AD183" s="95">
        <v>0.0</v>
      </c>
      <c r="AE183" s="95">
        <v>0.0</v>
      </c>
      <c r="AF183" s="95"/>
      <c r="AG183" s="95"/>
      <c r="AH183" s="95"/>
      <c r="AI183" s="95"/>
      <c r="AJ183" s="95"/>
      <c r="AK183" s="95"/>
      <c r="AL183" s="95"/>
      <c r="AM183" s="95"/>
      <c r="AN183" s="95"/>
    </row>
    <row r="184" ht="14.25" customHeight="1">
      <c r="B184" s="507">
        <f t="shared" si="1"/>
        <v>0</v>
      </c>
      <c r="C184" s="95" t="str">
        <f t="shared" si="2"/>
        <v>クボタ産業　レストラン食器リース</v>
      </c>
      <c r="D184" s="95"/>
      <c r="E184" s="95"/>
      <c r="F184" s="95" t="s">
        <v>310</v>
      </c>
      <c r="G184" s="95">
        <v>0.0</v>
      </c>
      <c r="H184" s="95">
        <v>0.0</v>
      </c>
      <c r="I184" s="95">
        <v>0.0</v>
      </c>
      <c r="J184" s="95">
        <v>0.0</v>
      </c>
      <c r="K184" s="95">
        <v>0.0</v>
      </c>
      <c r="L184" s="95">
        <v>0.0</v>
      </c>
      <c r="M184" s="95">
        <v>0.0</v>
      </c>
      <c r="N184" s="95">
        <v>0.0</v>
      </c>
      <c r="O184" s="95">
        <v>0.0</v>
      </c>
      <c r="P184" s="95">
        <v>0.0</v>
      </c>
      <c r="Q184" s="95">
        <v>0.0</v>
      </c>
      <c r="R184" s="95">
        <v>0.0</v>
      </c>
      <c r="S184" s="95">
        <v>0.0</v>
      </c>
      <c r="T184" s="95">
        <v>0.0</v>
      </c>
      <c r="U184" s="95">
        <v>0.0</v>
      </c>
      <c r="V184" s="95">
        <v>0.0</v>
      </c>
      <c r="W184" s="95">
        <v>0.0</v>
      </c>
      <c r="X184" s="95">
        <v>0.0</v>
      </c>
      <c r="Y184" s="95">
        <v>0.0</v>
      </c>
      <c r="Z184" s="95">
        <v>0.0</v>
      </c>
      <c r="AA184" s="95">
        <v>0.0</v>
      </c>
      <c r="AB184" s="95">
        <v>0.0</v>
      </c>
      <c r="AC184" s="95">
        <v>0.0</v>
      </c>
      <c r="AD184" s="95">
        <v>0.0</v>
      </c>
      <c r="AE184" s="95">
        <v>0.0</v>
      </c>
      <c r="AF184" s="95"/>
      <c r="AG184" s="95"/>
      <c r="AH184" s="95"/>
      <c r="AI184" s="95"/>
      <c r="AJ184" s="95"/>
      <c r="AK184" s="95"/>
      <c r="AL184" s="95"/>
      <c r="AM184" s="95"/>
      <c r="AN184" s="95"/>
    </row>
    <row r="185" ht="14.25" customHeight="1">
      <c r="B185" s="507">
        <f t="shared" si="1"/>
        <v>0</v>
      </c>
      <c r="C185" s="95" t="str">
        <f t="shared" si="2"/>
        <v>こはく本舗</v>
      </c>
      <c r="D185" s="95"/>
      <c r="E185" s="95"/>
      <c r="F185" s="95" t="s">
        <v>237</v>
      </c>
      <c r="G185" s="95">
        <v>0.0</v>
      </c>
      <c r="H185" s="95">
        <v>0.0</v>
      </c>
      <c r="I185" s="95">
        <v>0.0</v>
      </c>
      <c r="J185" s="95">
        <v>0.0</v>
      </c>
      <c r="K185" s="95">
        <v>0.0</v>
      </c>
      <c r="L185" s="95">
        <v>0.0</v>
      </c>
      <c r="M185" s="95">
        <v>0.0</v>
      </c>
      <c r="N185" s="95">
        <v>0.0</v>
      </c>
      <c r="O185" s="95">
        <v>0.0</v>
      </c>
      <c r="P185" s="95">
        <v>0.0</v>
      </c>
      <c r="Q185" s="95">
        <v>0.0</v>
      </c>
      <c r="R185" s="95">
        <v>0.0</v>
      </c>
      <c r="S185" s="95">
        <v>0.0</v>
      </c>
      <c r="T185" s="95">
        <v>0.0</v>
      </c>
      <c r="U185" s="95">
        <v>0.0</v>
      </c>
      <c r="V185" s="95">
        <v>0.0</v>
      </c>
      <c r="W185" s="95">
        <v>371590.0</v>
      </c>
      <c r="X185" s="95">
        <v>0.0</v>
      </c>
      <c r="Y185" s="95">
        <v>0.0</v>
      </c>
      <c r="Z185" s="95">
        <v>0.0</v>
      </c>
      <c r="AA185" s="95">
        <v>371590.0</v>
      </c>
      <c r="AB185" s="95">
        <v>0.0</v>
      </c>
      <c r="AC185" s="95">
        <v>0.0</v>
      </c>
      <c r="AD185" s="95">
        <v>0.0</v>
      </c>
      <c r="AE185" s="95">
        <v>0.0</v>
      </c>
      <c r="AF185" s="95"/>
      <c r="AG185" s="95"/>
      <c r="AH185" s="95"/>
      <c r="AI185" s="95"/>
      <c r="AJ185" s="95"/>
      <c r="AK185" s="95"/>
      <c r="AL185" s="95"/>
      <c r="AM185" s="95"/>
      <c r="AN185" s="95"/>
    </row>
    <row r="186" ht="14.25" customHeight="1">
      <c r="B186" s="507">
        <f t="shared" si="1"/>
        <v>0</v>
      </c>
      <c r="C186" s="95" t="str">
        <f t="shared" si="2"/>
        <v>補助科目なし</v>
      </c>
      <c r="D186" s="95"/>
      <c r="E186" s="95"/>
      <c r="F186" s="95" t="s">
        <v>199</v>
      </c>
      <c r="G186" s="95">
        <v>1063.0</v>
      </c>
      <c r="H186" s="95">
        <v>0.0</v>
      </c>
      <c r="I186" s="95">
        <v>0.0</v>
      </c>
      <c r="J186" s="95">
        <v>0.0</v>
      </c>
      <c r="K186" s="95">
        <v>0.0</v>
      </c>
      <c r="L186" s="95">
        <v>0.0</v>
      </c>
      <c r="M186" s="95">
        <v>1063.0</v>
      </c>
      <c r="N186" s="95">
        <v>1063.0</v>
      </c>
      <c r="O186" s="95">
        <v>0.0</v>
      </c>
      <c r="P186" s="95">
        <v>0.0</v>
      </c>
      <c r="Q186" s="95">
        <v>0.0</v>
      </c>
      <c r="R186" s="95">
        <v>0.0</v>
      </c>
      <c r="S186" s="95">
        <v>0.0</v>
      </c>
      <c r="T186" s="95">
        <v>1063.0</v>
      </c>
      <c r="U186" s="95">
        <v>1063.0</v>
      </c>
      <c r="V186" s="95">
        <v>18189.0</v>
      </c>
      <c r="W186" s="95">
        <v>0.0</v>
      </c>
      <c r="X186" s="95">
        <v>6988.0</v>
      </c>
      <c r="Y186" s="95">
        <v>0.0</v>
      </c>
      <c r="Z186" s="95">
        <v>0.0</v>
      </c>
      <c r="AA186" s="95">
        <v>26240.0</v>
      </c>
      <c r="AB186" s="95">
        <v>108100.0</v>
      </c>
      <c r="AC186" s="95">
        <v>0.0</v>
      </c>
      <c r="AD186" s="95">
        <v>0.0</v>
      </c>
      <c r="AE186" s="95">
        <v>108100.0</v>
      </c>
      <c r="AF186" s="95"/>
      <c r="AG186" s="95"/>
      <c r="AH186" s="95"/>
      <c r="AI186" s="95"/>
      <c r="AJ186" s="95"/>
      <c r="AK186" s="95"/>
      <c r="AL186" s="95"/>
      <c r="AM186" s="95"/>
      <c r="AN186" s="95"/>
    </row>
    <row r="187" ht="14.25" customHeight="1">
      <c r="B187" s="507">
        <f t="shared" si="1"/>
        <v>0</v>
      </c>
      <c r="C187" s="95" t="str">
        <f t="shared" si="2"/>
        <v>システム利用料</v>
      </c>
      <c r="D187" s="95"/>
      <c r="E187" s="95" t="s">
        <v>84</v>
      </c>
      <c r="F187" s="95"/>
      <c r="G187" s="95">
        <v>128620.0</v>
      </c>
      <c r="H187" s="95">
        <v>0.0</v>
      </c>
      <c r="I187" s="95">
        <v>128601.0</v>
      </c>
      <c r="J187" s="95">
        <v>0.0</v>
      </c>
      <c r="K187" s="95">
        <v>0.0</v>
      </c>
      <c r="L187" s="95">
        <v>0.0</v>
      </c>
      <c r="M187" s="95">
        <v>257221.0</v>
      </c>
      <c r="N187" s="95">
        <v>43325.0</v>
      </c>
      <c r="O187" s="95">
        <v>14040.0</v>
      </c>
      <c r="P187" s="95">
        <v>0.0</v>
      </c>
      <c r="Q187" s="95">
        <v>0.0</v>
      </c>
      <c r="R187" s="95">
        <v>0.0</v>
      </c>
      <c r="S187" s="95">
        <v>0.0</v>
      </c>
      <c r="T187" s="95">
        <v>57365.0</v>
      </c>
      <c r="U187" s="95">
        <v>42325.0</v>
      </c>
      <c r="V187" s="95">
        <v>370637.0</v>
      </c>
      <c r="W187" s="95">
        <v>8776.0</v>
      </c>
      <c r="X187" s="95">
        <v>203067.0</v>
      </c>
      <c r="Y187" s="95">
        <v>0.0</v>
      </c>
      <c r="Z187" s="95">
        <v>0.0</v>
      </c>
      <c r="AA187" s="95">
        <v>624805.0</v>
      </c>
      <c r="AB187" s="95">
        <v>-623942.0</v>
      </c>
      <c r="AC187" s="95">
        <v>51420.0</v>
      </c>
      <c r="AD187" s="95">
        <v>0.0</v>
      </c>
      <c r="AE187" s="95">
        <v>-572522.0</v>
      </c>
      <c r="AF187" s="95"/>
      <c r="AG187" s="95"/>
      <c r="AH187" s="95"/>
      <c r="AI187" s="95"/>
      <c r="AJ187" s="95"/>
      <c r="AK187" s="95"/>
      <c r="AL187" s="95"/>
      <c r="AM187" s="95"/>
      <c r="AN187" s="95"/>
    </row>
    <row r="188" ht="14.25" customHeight="1">
      <c r="B188" s="507">
        <f t="shared" si="1"/>
        <v>0</v>
      </c>
      <c r="C188" s="95" t="str">
        <f t="shared" si="2"/>
        <v>手間いらず</v>
      </c>
      <c r="D188" s="95"/>
      <c r="E188" s="95"/>
      <c r="F188" s="95" t="s">
        <v>311</v>
      </c>
      <c r="G188" s="95">
        <v>53295.0</v>
      </c>
      <c r="H188" s="95">
        <v>0.0</v>
      </c>
      <c r="I188" s="95">
        <v>53276.0</v>
      </c>
      <c r="J188" s="95">
        <v>0.0</v>
      </c>
      <c r="K188" s="95">
        <v>0.0</v>
      </c>
      <c r="L188" s="95">
        <v>0.0</v>
      </c>
      <c r="M188" s="95">
        <v>106571.0</v>
      </c>
      <c r="N188" s="95">
        <v>0.0</v>
      </c>
      <c r="O188" s="95">
        <v>0.0</v>
      </c>
      <c r="P188" s="95">
        <v>0.0</v>
      </c>
      <c r="Q188" s="95">
        <v>0.0</v>
      </c>
      <c r="R188" s="95">
        <v>0.0</v>
      </c>
      <c r="S188" s="95">
        <v>0.0</v>
      </c>
      <c r="T188" s="95">
        <v>0.0</v>
      </c>
      <c r="U188" s="95">
        <v>0.0</v>
      </c>
      <c r="V188" s="95">
        <v>62304.0</v>
      </c>
      <c r="W188" s="95">
        <v>0.0</v>
      </c>
      <c r="X188" s="95">
        <v>59000.0</v>
      </c>
      <c r="Y188" s="95">
        <v>0.0</v>
      </c>
      <c r="Z188" s="95">
        <v>0.0</v>
      </c>
      <c r="AA188" s="95">
        <v>121304.0</v>
      </c>
      <c r="AB188" s="95">
        <v>0.0</v>
      </c>
      <c r="AC188" s="95">
        <v>0.0</v>
      </c>
      <c r="AD188" s="95">
        <v>0.0</v>
      </c>
      <c r="AE188" s="95">
        <v>0.0</v>
      </c>
      <c r="AF188" s="95"/>
      <c r="AG188" s="95"/>
      <c r="AH188" s="95"/>
      <c r="AI188" s="95"/>
      <c r="AJ188" s="95"/>
      <c r="AK188" s="95"/>
      <c r="AL188" s="95"/>
      <c r="AM188" s="95"/>
      <c r="AN188" s="95"/>
    </row>
    <row r="189" ht="14.25" customHeight="1">
      <c r="B189" s="507">
        <f t="shared" si="1"/>
        <v>0</v>
      </c>
      <c r="C189" s="95" t="str">
        <f t="shared" si="2"/>
        <v>マネーフォワード</v>
      </c>
      <c r="D189" s="95"/>
      <c r="E189" s="95"/>
      <c r="F189" s="95" t="s">
        <v>312</v>
      </c>
      <c r="G189" s="95">
        <v>4040.0</v>
      </c>
      <c r="H189" s="95">
        <v>0.0</v>
      </c>
      <c r="I189" s="95">
        <v>4040.0</v>
      </c>
      <c r="J189" s="95">
        <v>0.0</v>
      </c>
      <c r="K189" s="95">
        <v>0.0</v>
      </c>
      <c r="L189" s="95">
        <v>0.0</v>
      </c>
      <c r="M189" s="95">
        <v>8080.0</v>
      </c>
      <c r="N189" s="95">
        <v>4040.0</v>
      </c>
      <c r="O189" s="95">
        <v>4040.0</v>
      </c>
      <c r="P189" s="95">
        <v>0.0</v>
      </c>
      <c r="Q189" s="95">
        <v>0.0</v>
      </c>
      <c r="R189" s="95">
        <v>0.0</v>
      </c>
      <c r="S189" s="95">
        <v>0.0</v>
      </c>
      <c r="T189" s="95">
        <v>8080.0</v>
      </c>
      <c r="U189" s="95">
        <v>4040.0</v>
      </c>
      <c r="V189" s="95">
        <v>4040.0</v>
      </c>
      <c r="W189" s="95">
        <v>0.0</v>
      </c>
      <c r="X189" s="95">
        <v>4040.0</v>
      </c>
      <c r="Y189" s="95">
        <v>0.0</v>
      </c>
      <c r="Z189" s="95">
        <v>0.0</v>
      </c>
      <c r="AA189" s="95">
        <v>12120.0</v>
      </c>
      <c r="AB189" s="95">
        <v>900.0</v>
      </c>
      <c r="AC189" s="95">
        <v>900.0</v>
      </c>
      <c r="AD189" s="95">
        <v>0.0</v>
      </c>
      <c r="AE189" s="95">
        <v>1800.0</v>
      </c>
      <c r="AF189" s="95"/>
      <c r="AG189" s="95"/>
      <c r="AH189" s="95"/>
      <c r="AI189" s="95"/>
      <c r="AJ189" s="95"/>
      <c r="AK189" s="95"/>
      <c r="AL189" s="95"/>
      <c r="AM189" s="95"/>
      <c r="AN189" s="95"/>
    </row>
    <row r="190" ht="14.25" customHeight="1">
      <c r="B190" s="507">
        <f t="shared" si="1"/>
        <v>0</v>
      </c>
      <c r="C190" s="95" t="str">
        <f t="shared" si="2"/>
        <v>ネットバンキング</v>
      </c>
      <c r="D190" s="95"/>
      <c r="E190" s="95"/>
      <c r="F190" s="95" t="s">
        <v>313</v>
      </c>
      <c r="G190" s="95">
        <v>0.0</v>
      </c>
      <c r="H190" s="95">
        <v>0.0</v>
      </c>
      <c r="I190" s="95">
        <v>0.0</v>
      </c>
      <c r="J190" s="95">
        <v>0.0</v>
      </c>
      <c r="K190" s="95">
        <v>0.0</v>
      </c>
      <c r="L190" s="95">
        <v>0.0</v>
      </c>
      <c r="M190" s="95">
        <v>0.0</v>
      </c>
      <c r="N190" s="95">
        <v>0.0</v>
      </c>
      <c r="O190" s="95">
        <v>0.0</v>
      </c>
      <c r="P190" s="95">
        <v>0.0</v>
      </c>
      <c r="Q190" s="95">
        <v>0.0</v>
      </c>
      <c r="R190" s="95">
        <v>0.0</v>
      </c>
      <c r="S190" s="95">
        <v>0.0</v>
      </c>
      <c r="T190" s="95">
        <v>0.0</v>
      </c>
      <c r="U190" s="95">
        <v>0.0</v>
      </c>
      <c r="V190" s="95">
        <v>0.0</v>
      </c>
      <c r="W190" s="95">
        <v>0.0</v>
      </c>
      <c r="X190" s="95">
        <v>0.0</v>
      </c>
      <c r="Y190" s="95">
        <v>0.0</v>
      </c>
      <c r="Z190" s="95">
        <v>0.0</v>
      </c>
      <c r="AA190" s="95">
        <v>0.0</v>
      </c>
      <c r="AB190" s="95">
        <v>2000.0</v>
      </c>
      <c r="AC190" s="95">
        <v>0.0</v>
      </c>
      <c r="AD190" s="95">
        <v>0.0</v>
      </c>
      <c r="AE190" s="95">
        <v>2000.0</v>
      </c>
      <c r="AF190" s="95"/>
      <c r="AG190" s="95"/>
      <c r="AH190" s="95"/>
      <c r="AI190" s="95"/>
      <c r="AJ190" s="95"/>
      <c r="AK190" s="95"/>
      <c r="AL190" s="95"/>
      <c r="AM190" s="95"/>
      <c r="AN190" s="95"/>
    </row>
    <row r="191" ht="14.25" customHeight="1">
      <c r="B191" s="507">
        <f t="shared" si="1"/>
        <v>0</v>
      </c>
      <c r="C191" s="95" t="str">
        <f t="shared" si="2"/>
        <v>構造計画研究所</v>
      </c>
      <c r="D191" s="95"/>
      <c r="E191" s="95"/>
      <c r="F191" s="95" t="s">
        <v>314</v>
      </c>
      <c r="G191" s="95">
        <v>0.0</v>
      </c>
      <c r="H191" s="95">
        <v>0.0</v>
      </c>
      <c r="I191" s="95">
        <v>0.0</v>
      </c>
      <c r="J191" s="95">
        <v>0.0</v>
      </c>
      <c r="K191" s="95">
        <v>0.0</v>
      </c>
      <c r="L191" s="95">
        <v>0.0</v>
      </c>
      <c r="M191" s="95">
        <v>0.0</v>
      </c>
      <c r="N191" s="95">
        <v>0.0</v>
      </c>
      <c r="O191" s="95">
        <v>0.0</v>
      </c>
      <c r="P191" s="95">
        <v>0.0</v>
      </c>
      <c r="Q191" s="95">
        <v>0.0</v>
      </c>
      <c r="R191" s="95">
        <v>0.0</v>
      </c>
      <c r="S191" s="95">
        <v>0.0</v>
      </c>
      <c r="T191" s="95">
        <v>0.0</v>
      </c>
      <c r="U191" s="95">
        <v>0.0</v>
      </c>
      <c r="V191" s="95">
        <v>66000.0</v>
      </c>
      <c r="W191" s="95">
        <v>0.0</v>
      </c>
      <c r="X191" s="95">
        <v>0.0</v>
      </c>
      <c r="Y191" s="95">
        <v>0.0</v>
      </c>
      <c r="Z191" s="95">
        <v>0.0</v>
      </c>
      <c r="AA191" s="95">
        <v>66000.0</v>
      </c>
      <c r="AB191" s="95">
        <v>0.0</v>
      </c>
      <c r="AC191" s="95">
        <v>0.0</v>
      </c>
      <c r="AD191" s="95">
        <v>0.0</v>
      </c>
      <c r="AE191" s="95">
        <v>0.0</v>
      </c>
      <c r="AF191" s="95"/>
      <c r="AG191" s="95"/>
      <c r="AH191" s="95"/>
      <c r="AI191" s="95"/>
      <c r="AJ191" s="95"/>
      <c r="AK191" s="95"/>
      <c r="AL191" s="95"/>
      <c r="AM191" s="95"/>
      <c r="AN191" s="95"/>
    </row>
    <row r="192" ht="14.25" customHeight="1">
      <c r="B192" s="507">
        <f t="shared" si="1"/>
        <v>0</v>
      </c>
      <c r="C192" s="95" t="str">
        <f t="shared" si="2"/>
        <v>その他</v>
      </c>
      <c r="D192" s="95"/>
      <c r="E192" s="95"/>
      <c r="F192" s="95" t="s">
        <v>209</v>
      </c>
      <c r="G192" s="95">
        <v>0.0</v>
      </c>
      <c r="H192" s="95">
        <v>0.0</v>
      </c>
      <c r="I192" s="95">
        <v>0.0</v>
      </c>
      <c r="J192" s="95">
        <v>0.0</v>
      </c>
      <c r="K192" s="95">
        <v>0.0</v>
      </c>
      <c r="L192" s="95">
        <v>0.0</v>
      </c>
      <c r="M192" s="95">
        <v>0.0</v>
      </c>
      <c r="N192" s="95">
        <v>0.0</v>
      </c>
      <c r="O192" s="95">
        <v>0.0</v>
      </c>
      <c r="P192" s="95">
        <v>0.0</v>
      </c>
      <c r="Q192" s="95">
        <v>0.0</v>
      </c>
      <c r="R192" s="95">
        <v>0.0</v>
      </c>
      <c r="S192" s="95">
        <v>0.0</v>
      </c>
      <c r="T192" s="95">
        <v>0.0</v>
      </c>
      <c r="U192" s="95">
        <v>0.0</v>
      </c>
      <c r="V192" s="95">
        <v>0.0</v>
      </c>
      <c r="W192" s="95">
        <v>0.0</v>
      </c>
      <c r="X192" s="95">
        <v>4742.0</v>
      </c>
      <c r="Y192" s="95">
        <v>0.0</v>
      </c>
      <c r="Z192" s="95">
        <v>0.0</v>
      </c>
      <c r="AA192" s="95">
        <v>4742.0</v>
      </c>
      <c r="AB192" s="95">
        <v>0.0</v>
      </c>
      <c r="AC192" s="95">
        <v>0.0</v>
      </c>
      <c r="AD192" s="95">
        <v>0.0</v>
      </c>
      <c r="AE192" s="95">
        <v>0.0</v>
      </c>
      <c r="AF192" s="95"/>
      <c r="AG192" s="95"/>
      <c r="AH192" s="95"/>
      <c r="AI192" s="95"/>
      <c r="AJ192" s="95"/>
      <c r="AK192" s="95"/>
      <c r="AL192" s="95"/>
      <c r="AM192" s="95"/>
      <c r="AN192" s="95"/>
    </row>
    <row r="193" ht="14.25" customHeight="1">
      <c r="B193" s="507">
        <f t="shared" si="1"/>
        <v>0</v>
      </c>
      <c r="C193" s="95" t="str">
        <f t="shared" si="2"/>
        <v>アイシグリーンシステム</v>
      </c>
      <c r="D193" s="95"/>
      <c r="E193" s="95"/>
      <c r="F193" s="95" t="s">
        <v>305</v>
      </c>
      <c r="G193" s="95">
        <v>0.0</v>
      </c>
      <c r="H193" s="95">
        <v>0.0</v>
      </c>
      <c r="I193" s="95">
        <v>0.0</v>
      </c>
      <c r="J193" s="95">
        <v>0.0</v>
      </c>
      <c r="K193" s="95">
        <v>0.0</v>
      </c>
      <c r="L193" s="95">
        <v>0.0</v>
      </c>
      <c r="M193" s="95">
        <v>0.0</v>
      </c>
      <c r="N193" s="95">
        <v>0.0</v>
      </c>
      <c r="O193" s="95">
        <v>0.0</v>
      </c>
      <c r="P193" s="95">
        <v>0.0</v>
      </c>
      <c r="Q193" s="95">
        <v>0.0</v>
      </c>
      <c r="R193" s="95">
        <v>0.0</v>
      </c>
      <c r="S193" s="95">
        <v>0.0</v>
      </c>
      <c r="T193" s="95">
        <v>0.0</v>
      </c>
      <c r="U193" s="95">
        <v>0.0</v>
      </c>
      <c r="V193" s="95">
        <v>0.0</v>
      </c>
      <c r="W193" s="95">
        <v>0.0</v>
      </c>
      <c r="X193" s="95">
        <v>0.0</v>
      </c>
      <c r="Y193" s="95">
        <v>0.0</v>
      </c>
      <c r="Z193" s="95">
        <v>0.0</v>
      </c>
      <c r="AA193" s="95">
        <v>0.0</v>
      </c>
      <c r="AB193" s="95">
        <v>0.0</v>
      </c>
      <c r="AC193" s="95">
        <v>0.0</v>
      </c>
      <c r="AD193" s="95">
        <v>0.0</v>
      </c>
      <c r="AE193" s="95">
        <v>0.0</v>
      </c>
      <c r="AF193" s="95"/>
      <c r="AG193" s="95"/>
      <c r="AH193" s="95"/>
      <c r="AI193" s="95"/>
      <c r="AJ193" s="95"/>
      <c r="AK193" s="95"/>
      <c r="AL193" s="95"/>
      <c r="AM193" s="95"/>
      <c r="AN193" s="95"/>
    </row>
    <row r="194" ht="14.25" customHeight="1">
      <c r="B194" s="507">
        <f t="shared" si="1"/>
        <v>0</v>
      </c>
      <c r="C194" s="95" t="str">
        <f t="shared" si="2"/>
        <v>アドネット九州</v>
      </c>
      <c r="D194" s="95"/>
      <c r="E194" s="95"/>
      <c r="F194" s="95" t="s">
        <v>315</v>
      </c>
      <c r="G194" s="95">
        <v>10000.0</v>
      </c>
      <c r="H194" s="95">
        <v>0.0</v>
      </c>
      <c r="I194" s="95">
        <v>10000.0</v>
      </c>
      <c r="J194" s="95">
        <v>0.0</v>
      </c>
      <c r="K194" s="95">
        <v>0.0</v>
      </c>
      <c r="L194" s="95">
        <v>0.0</v>
      </c>
      <c r="M194" s="95">
        <v>20000.0</v>
      </c>
      <c r="N194" s="95">
        <v>10000.0</v>
      </c>
      <c r="O194" s="95">
        <v>10000.0</v>
      </c>
      <c r="P194" s="95">
        <v>0.0</v>
      </c>
      <c r="Q194" s="95">
        <v>0.0</v>
      </c>
      <c r="R194" s="95">
        <v>0.0</v>
      </c>
      <c r="S194" s="95">
        <v>0.0</v>
      </c>
      <c r="T194" s="95">
        <v>20000.0</v>
      </c>
      <c r="U194" s="95">
        <v>10000.0</v>
      </c>
      <c r="V194" s="95">
        <v>10000.0</v>
      </c>
      <c r="W194" s="95">
        <v>0.0</v>
      </c>
      <c r="X194" s="95">
        <v>10000.0</v>
      </c>
      <c r="Y194" s="95">
        <v>0.0</v>
      </c>
      <c r="Z194" s="95">
        <v>0.0</v>
      </c>
      <c r="AA194" s="95">
        <v>30000.0</v>
      </c>
      <c r="AB194" s="95">
        <v>0.0</v>
      </c>
      <c r="AC194" s="95">
        <v>0.0</v>
      </c>
      <c r="AD194" s="95">
        <v>0.0</v>
      </c>
      <c r="AE194" s="95">
        <v>0.0</v>
      </c>
      <c r="AF194" s="95"/>
      <c r="AG194" s="95"/>
      <c r="AH194" s="95"/>
      <c r="AI194" s="95"/>
      <c r="AJ194" s="95"/>
      <c r="AK194" s="95"/>
      <c r="AL194" s="95"/>
      <c r="AM194" s="95"/>
      <c r="AN194" s="95"/>
    </row>
    <row r="195" ht="14.25" customHeight="1">
      <c r="B195" s="507">
        <f t="shared" si="1"/>
        <v>0</v>
      </c>
      <c r="C195" s="95" t="str">
        <f t="shared" si="2"/>
        <v>福岡銀行ビジネスバンキング</v>
      </c>
      <c r="D195" s="95"/>
      <c r="E195" s="95"/>
      <c r="F195" s="95" t="s">
        <v>316</v>
      </c>
      <c r="G195" s="95">
        <v>0.0</v>
      </c>
      <c r="H195" s="95">
        <v>0.0</v>
      </c>
      <c r="I195" s="95">
        <v>0.0</v>
      </c>
      <c r="J195" s="95">
        <v>0.0</v>
      </c>
      <c r="K195" s="95">
        <v>0.0</v>
      </c>
      <c r="L195" s="95">
        <v>0.0</v>
      </c>
      <c r="M195" s="95">
        <v>0.0</v>
      </c>
      <c r="N195" s="95">
        <v>0.0</v>
      </c>
      <c r="O195" s="95">
        <v>0.0</v>
      </c>
      <c r="P195" s="95">
        <v>0.0</v>
      </c>
      <c r="Q195" s="95">
        <v>0.0</v>
      </c>
      <c r="R195" s="95">
        <v>0.0</v>
      </c>
      <c r="S195" s="95">
        <v>0.0</v>
      </c>
      <c r="T195" s="95">
        <v>0.0</v>
      </c>
      <c r="U195" s="95">
        <v>0.0</v>
      </c>
      <c r="V195" s="95">
        <v>0.0</v>
      </c>
      <c r="W195" s="95">
        <v>0.0</v>
      </c>
      <c r="X195" s="95">
        <v>0.0</v>
      </c>
      <c r="Y195" s="95">
        <v>0.0</v>
      </c>
      <c r="Z195" s="95">
        <v>0.0</v>
      </c>
      <c r="AA195" s="95">
        <v>0.0</v>
      </c>
      <c r="AB195" s="95">
        <v>0.0</v>
      </c>
      <c r="AC195" s="95">
        <v>0.0</v>
      </c>
      <c r="AD195" s="95">
        <v>0.0</v>
      </c>
      <c r="AE195" s="95">
        <v>0.0</v>
      </c>
      <c r="AF195" s="95"/>
      <c r="AG195" s="95"/>
      <c r="AH195" s="95"/>
      <c r="AI195" s="95"/>
      <c r="AJ195" s="95"/>
      <c r="AK195" s="95"/>
      <c r="AL195" s="95"/>
      <c r="AM195" s="95"/>
      <c r="AN195" s="95"/>
    </row>
    <row r="196" ht="14.25" customHeight="1">
      <c r="B196" s="507">
        <f t="shared" si="1"/>
        <v>0</v>
      </c>
      <c r="C196" s="95" t="str">
        <f t="shared" si="2"/>
        <v>テラオカ</v>
      </c>
      <c r="D196" s="95"/>
      <c r="E196" s="95"/>
      <c r="F196" s="95" t="s">
        <v>317</v>
      </c>
      <c r="G196" s="95">
        <v>0.0</v>
      </c>
      <c r="H196" s="95">
        <v>0.0</v>
      </c>
      <c r="I196" s="95">
        <v>0.0</v>
      </c>
      <c r="J196" s="95">
        <v>0.0</v>
      </c>
      <c r="K196" s="95">
        <v>0.0</v>
      </c>
      <c r="L196" s="95">
        <v>0.0</v>
      </c>
      <c r="M196" s="95">
        <v>0.0</v>
      </c>
      <c r="N196" s="95">
        <v>0.0</v>
      </c>
      <c r="O196" s="95">
        <v>0.0</v>
      </c>
      <c r="P196" s="95">
        <v>0.0</v>
      </c>
      <c r="Q196" s="95">
        <v>0.0</v>
      </c>
      <c r="R196" s="95">
        <v>0.0</v>
      </c>
      <c r="S196" s="95">
        <v>0.0</v>
      </c>
      <c r="T196" s="95">
        <v>0.0</v>
      </c>
      <c r="U196" s="95">
        <v>0.0</v>
      </c>
      <c r="V196" s="95">
        <v>0.0</v>
      </c>
      <c r="W196" s="95">
        <v>0.0</v>
      </c>
      <c r="X196" s="95">
        <v>0.0</v>
      </c>
      <c r="Y196" s="95">
        <v>0.0</v>
      </c>
      <c r="Z196" s="95">
        <v>0.0</v>
      </c>
      <c r="AA196" s="95">
        <v>0.0</v>
      </c>
      <c r="AB196" s="95">
        <v>0.0</v>
      </c>
      <c r="AC196" s="95">
        <v>0.0</v>
      </c>
      <c r="AD196" s="95">
        <v>0.0</v>
      </c>
      <c r="AE196" s="95">
        <v>0.0</v>
      </c>
      <c r="AF196" s="95"/>
      <c r="AG196" s="95"/>
      <c r="AH196" s="95"/>
      <c r="AI196" s="95"/>
      <c r="AJ196" s="95"/>
      <c r="AK196" s="95"/>
      <c r="AL196" s="95"/>
      <c r="AM196" s="95"/>
      <c r="AN196" s="95"/>
    </row>
    <row r="197" ht="14.25" customHeight="1">
      <c r="B197" s="507">
        <f t="shared" si="1"/>
        <v>0</v>
      </c>
      <c r="C197" s="95" t="str">
        <f t="shared" si="2"/>
        <v>aipass</v>
      </c>
      <c r="D197" s="95"/>
      <c r="E197" s="95"/>
      <c r="F197" s="95" t="s">
        <v>318</v>
      </c>
      <c r="G197" s="95">
        <v>33000.0</v>
      </c>
      <c r="H197" s="95">
        <v>0.0</v>
      </c>
      <c r="I197" s="95">
        <v>33000.0</v>
      </c>
      <c r="J197" s="95">
        <v>0.0</v>
      </c>
      <c r="K197" s="95">
        <v>0.0</v>
      </c>
      <c r="L197" s="95">
        <v>0.0</v>
      </c>
      <c r="M197" s="95">
        <v>66000.0</v>
      </c>
      <c r="N197" s="95">
        <v>0.0</v>
      </c>
      <c r="O197" s="95">
        <v>0.0</v>
      </c>
      <c r="P197" s="95">
        <v>0.0</v>
      </c>
      <c r="Q197" s="95">
        <v>0.0</v>
      </c>
      <c r="R197" s="95">
        <v>0.0</v>
      </c>
      <c r="S197" s="95">
        <v>0.0</v>
      </c>
      <c r="T197" s="95">
        <v>0.0</v>
      </c>
      <c r="U197" s="95">
        <v>0.0</v>
      </c>
      <c r="V197" s="95">
        <v>0.0</v>
      </c>
      <c r="W197" s="95">
        <v>0.0</v>
      </c>
      <c r="X197" s="95">
        <v>0.0</v>
      </c>
      <c r="Y197" s="95">
        <v>0.0</v>
      </c>
      <c r="Z197" s="95">
        <v>0.0</v>
      </c>
      <c r="AA197" s="95">
        <v>0.0</v>
      </c>
      <c r="AB197" s="95">
        <v>0.0</v>
      </c>
      <c r="AC197" s="95">
        <v>0.0</v>
      </c>
      <c r="AD197" s="95">
        <v>0.0</v>
      </c>
      <c r="AE197" s="95">
        <v>0.0</v>
      </c>
      <c r="AF197" s="95"/>
      <c r="AG197" s="95"/>
      <c r="AH197" s="95"/>
      <c r="AI197" s="95"/>
      <c r="AJ197" s="95"/>
      <c r="AK197" s="95"/>
      <c r="AL197" s="95"/>
      <c r="AM197" s="95"/>
      <c r="AN197" s="95"/>
    </row>
    <row r="198" ht="14.25" customHeight="1">
      <c r="B198" s="507">
        <f t="shared" si="1"/>
        <v>0</v>
      </c>
      <c r="C198" s="95" t="str">
        <f t="shared" si="2"/>
        <v>バリューゴルフ㈱</v>
      </c>
      <c r="D198" s="95"/>
      <c r="E198" s="95"/>
      <c r="F198" s="95" t="s">
        <v>319</v>
      </c>
      <c r="G198" s="95">
        <v>0.0</v>
      </c>
      <c r="H198" s="95">
        <v>0.0</v>
      </c>
      <c r="I198" s="95">
        <v>0.0</v>
      </c>
      <c r="J198" s="95">
        <v>0.0</v>
      </c>
      <c r="K198" s="95">
        <v>0.0</v>
      </c>
      <c r="L198" s="95">
        <v>0.0</v>
      </c>
      <c r="M198" s="95">
        <v>0.0</v>
      </c>
      <c r="N198" s="95">
        <v>0.0</v>
      </c>
      <c r="O198" s="95">
        <v>0.0</v>
      </c>
      <c r="P198" s="95">
        <v>0.0</v>
      </c>
      <c r="Q198" s="95">
        <v>0.0</v>
      </c>
      <c r="R198" s="95">
        <v>0.0</v>
      </c>
      <c r="S198" s="95">
        <v>0.0</v>
      </c>
      <c r="T198" s="95">
        <v>0.0</v>
      </c>
      <c r="U198" s="95">
        <v>0.0</v>
      </c>
      <c r="V198" s="95">
        <v>0.0</v>
      </c>
      <c r="W198" s="95">
        <v>0.0</v>
      </c>
      <c r="X198" s="95">
        <v>0.0</v>
      </c>
      <c r="Y198" s="95">
        <v>0.0</v>
      </c>
      <c r="Z198" s="95">
        <v>0.0</v>
      </c>
      <c r="AA198" s="95">
        <v>0.0</v>
      </c>
      <c r="AB198" s="95">
        <v>0.0</v>
      </c>
      <c r="AC198" s="95">
        <v>0.0</v>
      </c>
      <c r="AD198" s="95">
        <v>0.0</v>
      </c>
      <c r="AE198" s="95">
        <v>0.0</v>
      </c>
      <c r="AF198" s="95"/>
      <c r="AG198" s="95"/>
      <c r="AH198" s="95"/>
      <c r="AI198" s="95"/>
      <c r="AJ198" s="95"/>
      <c r="AK198" s="95"/>
      <c r="AL198" s="95"/>
      <c r="AM198" s="95"/>
      <c r="AN198" s="95"/>
    </row>
    <row r="199" ht="14.25" customHeight="1">
      <c r="B199" s="507">
        <f t="shared" si="1"/>
        <v>0</v>
      </c>
      <c r="C199" s="95" t="str">
        <f t="shared" si="2"/>
        <v>Okage株式会社</v>
      </c>
      <c r="D199" s="95"/>
      <c r="E199" s="95"/>
      <c r="F199" s="95" t="s">
        <v>320</v>
      </c>
      <c r="G199" s="95">
        <v>0.0</v>
      </c>
      <c r="H199" s="95">
        <v>0.0</v>
      </c>
      <c r="I199" s="95">
        <v>0.0</v>
      </c>
      <c r="J199" s="95">
        <v>0.0</v>
      </c>
      <c r="K199" s="95">
        <v>0.0</v>
      </c>
      <c r="L199" s="95">
        <v>0.0</v>
      </c>
      <c r="M199" s="95">
        <v>0.0</v>
      </c>
      <c r="N199" s="95">
        <v>0.0</v>
      </c>
      <c r="O199" s="95">
        <v>0.0</v>
      </c>
      <c r="P199" s="95">
        <v>0.0</v>
      </c>
      <c r="Q199" s="95">
        <v>0.0</v>
      </c>
      <c r="R199" s="95">
        <v>0.0</v>
      </c>
      <c r="S199" s="95">
        <v>0.0</v>
      </c>
      <c r="T199" s="95">
        <v>0.0</v>
      </c>
      <c r="U199" s="95">
        <v>0.0</v>
      </c>
      <c r="V199" s="95">
        <v>0.0</v>
      </c>
      <c r="W199" s="95">
        <v>0.0</v>
      </c>
      <c r="X199" s="95">
        <v>37000.0</v>
      </c>
      <c r="Y199" s="95">
        <v>0.0</v>
      </c>
      <c r="Z199" s="95">
        <v>0.0</v>
      </c>
      <c r="AA199" s="95">
        <v>37000.0</v>
      </c>
      <c r="AB199" s="95">
        <v>0.0</v>
      </c>
      <c r="AC199" s="95">
        <v>0.0</v>
      </c>
      <c r="AD199" s="95">
        <v>0.0</v>
      </c>
      <c r="AE199" s="95">
        <v>0.0</v>
      </c>
      <c r="AF199" s="95"/>
      <c r="AG199" s="95"/>
      <c r="AH199" s="95"/>
      <c r="AI199" s="95"/>
      <c r="AJ199" s="95"/>
      <c r="AK199" s="95"/>
      <c r="AL199" s="95"/>
      <c r="AM199" s="95"/>
      <c r="AN199" s="95"/>
    </row>
    <row r="200" ht="14.25" customHeight="1">
      <c r="B200" s="507">
        <f t="shared" si="1"/>
        <v>0</v>
      </c>
      <c r="C200" s="95" t="str">
        <f t="shared" si="2"/>
        <v>インフォマート</v>
      </c>
      <c r="D200" s="95"/>
      <c r="E200" s="95"/>
      <c r="F200" s="95" t="s">
        <v>321</v>
      </c>
      <c r="G200" s="95">
        <v>0.0</v>
      </c>
      <c r="H200" s="95">
        <v>0.0</v>
      </c>
      <c r="I200" s="95">
        <v>0.0</v>
      </c>
      <c r="J200" s="95">
        <v>0.0</v>
      </c>
      <c r="K200" s="95">
        <v>0.0</v>
      </c>
      <c r="L200" s="95">
        <v>0.0</v>
      </c>
      <c r="M200" s="95">
        <v>0.0</v>
      </c>
      <c r="N200" s="95">
        <v>0.0</v>
      </c>
      <c r="O200" s="95">
        <v>0.0</v>
      </c>
      <c r="P200" s="95">
        <v>0.0</v>
      </c>
      <c r="Q200" s="95">
        <v>0.0</v>
      </c>
      <c r="R200" s="95">
        <v>0.0</v>
      </c>
      <c r="S200" s="95">
        <v>0.0</v>
      </c>
      <c r="T200" s="95">
        <v>0.0</v>
      </c>
      <c r="U200" s="95">
        <v>0.0</v>
      </c>
      <c r="V200" s="95">
        <v>0.0</v>
      </c>
      <c r="W200" s="95">
        <v>0.0</v>
      </c>
      <c r="X200" s="95">
        <v>0.0</v>
      </c>
      <c r="Y200" s="95">
        <v>0.0</v>
      </c>
      <c r="Z200" s="95">
        <v>0.0</v>
      </c>
      <c r="AA200" s="95">
        <v>0.0</v>
      </c>
      <c r="AB200" s="95">
        <v>8900.0</v>
      </c>
      <c r="AC200" s="95">
        <v>8900.0</v>
      </c>
      <c r="AD200" s="95">
        <v>0.0</v>
      </c>
      <c r="AE200" s="95">
        <v>17800.0</v>
      </c>
      <c r="AF200" s="95"/>
      <c r="AG200" s="95"/>
      <c r="AH200" s="95"/>
      <c r="AI200" s="95"/>
      <c r="AJ200" s="95"/>
      <c r="AK200" s="95"/>
      <c r="AL200" s="95"/>
      <c r="AM200" s="95"/>
      <c r="AN200" s="95"/>
    </row>
    <row r="201" ht="14.25" customHeight="1">
      <c r="B201" s="507">
        <f t="shared" si="1"/>
        <v>0</v>
      </c>
      <c r="C201" s="95" t="str">
        <f t="shared" si="2"/>
        <v>Tripla</v>
      </c>
      <c r="D201" s="95"/>
      <c r="E201" s="95"/>
      <c r="F201" s="95" t="s">
        <v>265</v>
      </c>
      <c r="G201" s="95">
        <v>28285.0</v>
      </c>
      <c r="H201" s="95">
        <v>0.0</v>
      </c>
      <c r="I201" s="95">
        <v>28285.0</v>
      </c>
      <c r="J201" s="95">
        <v>0.0</v>
      </c>
      <c r="K201" s="95">
        <v>0.0</v>
      </c>
      <c r="L201" s="95">
        <v>0.0</v>
      </c>
      <c r="M201" s="95">
        <v>56570.0</v>
      </c>
      <c r="N201" s="95">
        <v>28285.0</v>
      </c>
      <c r="O201" s="95">
        <v>0.0</v>
      </c>
      <c r="P201" s="95">
        <v>0.0</v>
      </c>
      <c r="Q201" s="95">
        <v>0.0</v>
      </c>
      <c r="R201" s="95">
        <v>0.0</v>
      </c>
      <c r="S201" s="95">
        <v>0.0</v>
      </c>
      <c r="T201" s="95">
        <v>28285.0</v>
      </c>
      <c r="U201" s="95">
        <v>28285.0</v>
      </c>
      <c r="V201" s="95">
        <v>28293.0</v>
      </c>
      <c r="W201" s="95">
        <v>0.0</v>
      </c>
      <c r="X201" s="95">
        <v>28285.0</v>
      </c>
      <c r="Y201" s="95">
        <v>0.0</v>
      </c>
      <c r="Z201" s="95">
        <v>0.0</v>
      </c>
      <c r="AA201" s="95">
        <v>84863.0</v>
      </c>
      <c r="AB201" s="95">
        <v>30247.0</v>
      </c>
      <c r="AC201" s="95">
        <v>0.0</v>
      </c>
      <c r="AD201" s="95">
        <v>0.0</v>
      </c>
      <c r="AE201" s="95">
        <v>30247.0</v>
      </c>
      <c r="AF201" s="95"/>
      <c r="AG201" s="95"/>
      <c r="AH201" s="95"/>
      <c r="AI201" s="95"/>
      <c r="AJ201" s="95"/>
      <c r="AK201" s="95"/>
      <c r="AL201" s="95"/>
      <c r="AM201" s="95"/>
      <c r="AN201" s="95"/>
    </row>
    <row r="202" ht="14.25" customHeight="1">
      <c r="B202" s="507">
        <f t="shared" si="1"/>
        <v>0</v>
      </c>
      <c r="C202" s="95" t="str">
        <f t="shared" si="2"/>
        <v>補助科目なし</v>
      </c>
      <c r="D202" s="95"/>
      <c r="E202" s="95"/>
      <c r="F202" s="95" t="s">
        <v>199</v>
      </c>
      <c r="G202" s="95">
        <v>0.0</v>
      </c>
      <c r="H202" s="95">
        <v>0.0</v>
      </c>
      <c r="I202" s="95">
        <v>0.0</v>
      </c>
      <c r="J202" s="95">
        <v>0.0</v>
      </c>
      <c r="K202" s="95">
        <v>0.0</v>
      </c>
      <c r="L202" s="95">
        <v>0.0</v>
      </c>
      <c r="M202" s="95">
        <v>0.0</v>
      </c>
      <c r="N202" s="95">
        <v>1000.0</v>
      </c>
      <c r="O202" s="95">
        <v>0.0</v>
      </c>
      <c r="P202" s="95">
        <v>0.0</v>
      </c>
      <c r="Q202" s="95">
        <v>0.0</v>
      </c>
      <c r="R202" s="95">
        <v>0.0</v>
      </c>
      <c r="S202" s="95">
        <v>0.0</v>
      </c>
      <c r="T202" s="95">
        <v>1000.0</v>
      </c>
      <c r="U202" s="95">
        <v>0.0</v>
      </c>
      <c r="V202" s="95">
        <v>200000.0</v>
      </c>
      <c r="W202" s="95">
        <v>8776.0</v>
      </c>
      <c r="X202" s="95">
        <v>60000.0</v>
      </c>
      <c r="Y202" s="95">
        <v>0.0</v>
      </c>
      <c r="Z202" s="95">
        <v>0.0</v>
      </c>
      <c r="AA202" s="95">
        <v>268776.0</v>
      </c>
      <c r="AB202" s="95">
        <v>-665989.0</v>
      </c>
      <c r="AC202" s="95">
        <v>41620.0</v>
      </c>
      <c r="AD202" s="95">
        <v>0.0</v>
      </c>
      <c r="AE202" s="95">
        <v>-624369.0</v>
      </c>
      <c r="AF202" s="95"/>
      <c r="AG202" s="95"/>
      <c r="AH202" s="95"/>
      <c r="AI202" s="95"/>
      <c r="AJ202" s="95"/>
      <c r="AK202" s="95"/>
      <c r="AL202" s="95"/>
      <c r="AM202" s="95"/>
      <c r="AN202" s="95"/>
    </row>
    <row r="203" ht="14.25" customHeight="1">
      <c r="B203" s="507">
        <f t="shared" si="1"/>
        <v>0</v>
      </c>
      <c r="C203" s="95" t="str">
        <f t="shared" si="2"/>
        <v>保守管理費</v>
      </c>
      <c r="D203" s="95"/>
      <c r="E203" s="95" t="s">
        <v>85</v>
      </c>
      <c r="F203" s="95"/>
      <c r="G203" s="95">
        <v>69162.0</v>
      </c>
      <c r="H203" s="95">
        <v>0.0</v>
      </c>
      <c r="I203" s="95">
        <v>182240.0</v>
      </c>
      <c r="J203" s="95">
        <v>0.0</v>
      </c>
      <c r="K203" s="95">
        <v>0.0</v>
      </c>
      <c r="L203" s="95">
        <v>0.0</v>
      </c>
      <c r="M203" s="95">
        <v>251402.0</v>
      </c>
      <c r="N203" s="95">
        <v>64335.0</v>
      </c>
      <c r="O203" s="95">
        <v>169060.0</v>
      </c>
      <c r="P203" s="95">
        <v>0.0</v>
      </c>
      <c r="Q203" s="95">
        <v>0.0</v>
      </c>
      <c r="R203" s="95">
        <v>0.0</v>
      </c>
      <c r="S203" s="95">
        <v>0.0</v>
      </c>
      <c r="T203" s="95">
        <v>233395.0</v>
      </c>
      <c r="U203" s="95">
        <v>115420.0</v>
      </c>
      <c r="V203" s="95">
        <v>816897.0</v>
      </c>
      <c r="W203" s="95">
        <v>0.0</v>
      </c>
      <c r="X203" s="95">
        <v>0.0</v>
      </c>
      <c r="Y203" s="95">
        <v>0.0</v>
      </c>
      <c r="Z203" s="95">
        <v>0.0</v>
      </c>
      <c r="AA203" s="95">
        <v>932317.0</v>
      </c>
      <c r="AB203" s="95">
        <v>0.0</v>
      </c>
      <c r="AC203" s="95">
        <v>0.0</v>
      </c>
      <c r="AD203" s="95">
        <v>0.0</v>
      </c>
      <c r="AE203" s="95">
        <v>0.0</v>
      </c>
      <c r="AF203" s="95"/>
      <c r="AG203" s="95"/>
      <c r="AH203" s="95"/>
      <c r="AI203" s="95"/>
      <c r="AJ203" s="95"/>
      <c r="AK203" s="95"/>
      <c r="AL203" s="95"/>
      <c r="AM203" s="95"/>
      <c r="AN203" s="95"/>
    </row>
    <row r="204" ht="14.25" customHeight="1">
      <c r="B204" s="507">
        <f t="shared" si="1"/>
        <v>0</v>
      </c>
      <c r="C204" s="95" t="str">
        <f t="shared" si="2"/>
        <v>タケマツ環境</v>
      </c>
      <c r="D204" s="95"/>
      <c r="E204" s="95"/>
      <c r="F204" s="95" t="s">
        <v>322</v>
      </c>
      <c r="G204" s="95">
        <v>0.0</v>
      </c>
      <c r="H204" s="95">
        <v>0.0</v>
      </c>
      <c r="I204" s="95">
        <v>0.0</v>
      </c>
      <c r="J204" s="95">
        <v>0.0</v>
      </c>
      <c r="K204" s="95">
        <v>0.0</v>
      </c>
      <c r="L204" s="95">
        <v>0.0</v>
      </c>
      <c r="M204" s="95">
        <v>0.0</v>
      </c>
      <c r="N204" s="95">
        <v>0.0</v>
      </c>
      <c r="O204" s="95">
        <v>0.0</v>
      </c>
      <c r="P204" s="95">
        <v>0.0</v>
      </c>
      <c r="Q204" s="95">
        <v>0.0</v>
      </c>
      <c r="R204" s="95">
        <v>0.0</v>
      </c>
      <c r="S204" s="95">
        <v>0.0</v>
      </c>
      <c r="T204" s="95">
        <v>0.0</v>
      </c>
      <c r="U204" s="95">
        <v>0.0</v>
      </c>
      <c r="V204" s="95">
        <v>0.0</v>
      </c>
      <c r="W204" s="95">
        <v>0.0</v>
      </c>
      <c r="X204" s="95">
        <v>0.0</v>
      </c>
      <c r="Y204" s="95">
        <v>0.0</v>
      </c>
      <c r="Z204" s="95">
        <v>0.0</v>
      </c>
      <c r="AA204" s="95">
        <v>0.0</v>
      </c>
      <c r="AB204" s="95">
        <v>0.0</v>
      </c>
      <c r="AC204" s="95">
        <v>0.0</v>
      </c>
      <c r="AD204" s="95">
        <v>0.0</v>
      </c>
      <c r="AE204" s="95">
        <v>0.0</v>
      </c>
      <c r="AF204" s="95"/>
      <c r="AG204" s="95"/>
      <c r="AH204" s="95"/>
      <c r="AI204" s="95"/>
      <c r="AJ204" s="95"/>
      <c r="AK204" s="95"/>
      <c r="AL204" s="95"/>
      <c r="AM204" s="95"/>
      <c r="AN204" s="95"/>
    </row>
    <row r="205" ht="14.25" customHeight="1">
      <c r="B205" s="507">
        <f t="shared" si="1"/>
        <v>0</v>
      </c>
      <c r="C205" s="95" t="str">
        <f t="shared" si="2"/>
        <v>日本テクノ</v>
      </c>
      <c r="D205" s="95"/>
      <c r="E205" s="95"/>
      <c r="F205" s="95" t="s">
        <v>323</v>
      </c>
      <c r="G205" s="95">
        <v>0.0</v>
      </c>
      <c r="H205" s="95">
        <v>0.0</v>
      </c>
      <c r="I205" s="95">
        <v>0.0</v>
      </c>
      <c r="J205" s="95">
        <v>0.0</v>
      </c>
      <c r="K205" s="95">
        <v>0.0</v>
      </c>
      <c r="L205" s="95">
        <v>0.0</v>
      </c>
      <c r="M205" s="95">
        <v>0.0</v>
      </c>
      <c r="N205" s="95">
        <v>0.0</v>
      </c>
      <c r="O205" s="95">
        <v>0.0</v>
      </c>
      <c r="P205" s="95">
        <v>0.0</v>
      </c>
      <c r="Q205" s="95">
        <v>0.0</v>
      </c>
      <c r="R205" s="95">
        <v>0.0</v>
      </c>
      <c r="S205" s="95">
        <v>0.0</v>
      </c>
      <c r="T205" s="95">
        <v>0.0</v>
      </c>
      <c r="U205" s="95">
        <v>26900.0</v>
      </c>
      <c r="V205" s="95">
        <v>0.0</v>
      </c>
      <c r="W205" s="95">
        <v>0.0</v>
      </c>
      <c r="X205" s="95">
        <v>0.0</v>
      </c>
      <c r="Y205" s="95">
        <v>0.0</v>
      </c>
      <c r="Z205" s="95">
        <v>0.0</v>
      </c>
      <c r="AA205" s="95">
        <v>26900.0</v>
      </c>
      <c r="AB205" s="95">
        <v>0.0</v>
      </c>
      <c r="AC205" s="95">
        <v>0.0</v>
      </c>
      <c r="AD205" s="95">
        <v>0.0</v>
      </c>
      <c r="AE205" s="95">
        <v>0.0</v>
      </c>
      <c r="AF205" s="95"/>
      <c r="AG205" s="95"/>
      <c r="AH205" s="95"/>
      <c r="AI205" s="95"/>
      <c r="AJ205" s="95"/>
      <c r="AK205" s="95"/>
      <c r="AL205" s="95"/>
      <c r="AM205" s="95"/>
      <c r="AN205" s="95"/>
    </row>
    <row r="206" ht="14.25" customHeight="1">
      <c r="B206" s="507">
        <f t="shared" si="1"/>
        <v>0</v>
      </c>
      <c r="C206" s="95" t="str">
        <f t="shared" si="2"/>
        <v>野田電気事務所</v>
      </c>
      <c r="D206" s="95"/>
      <c r="E206" s="95"/>
      <c r="F206" s="95" t="s">
        <v>324</v>
      </c>
      <c r="G206" s="95">
        <v>0.0</v>
      </c>
      <c r="H206" s="95">
        <v>0.0</v>
      </c>
      <c r="I206" s="95">
        <v>19250.0</v>
      </c>
      <c r="J206" s="95">
        <v>0.0</v>
      </c>
      <c r="K206" s="95">
        <v>0.0</v>
      </c>
      <c r="L206" s="95">
        <v>0.0</v>
      </c>
      <c r="M206" s="95">
        <v>19250.0</v>
      </c>
      <c r="N206" s="95">
        <v>0.0</v>
      </c>
      <c r="O206" s="95">
        <v>0.0</v>
      </c>
      <c r="P206" s="95">
        <v>0.0</v>
      </c>
      <c r="Q206" s="95">
        <v>0.0</v>
      </c>
      <c r="R206" s="95">
        <v>0.0</v>
      </c>
      <c r="S206" s="95">
        <v>0.0</v>
      </c>
      <c r="T206" s="95">
        <v>0.0</v>
      </c>
      <c r="U206" s="95">
        <v>0.0</v>
      </c>
      <c r="V206" s="95">
        <v>0.0</v>
      </c>
      <c r="W206" s="95">
        <v>0.0</v>
      </c>
      <c r="X206" s="95">
        <v>0.0</v>
      </c>
      <c r="Y206" s="95">
        <v>0.0</v>
      </c>
      <c r="Z206" s="95">
        <v>0.0</v>
      </c>
      <c r="AA206" s="95">
        <v>0.0</v>
      </c>
      <c r="AB206" s="95">
        <v>0.0</v>
      </c>
      <c r="AC206" s="95">
        <v>0.0</v>
      </c>
      <c r="AD206" s="95">
        <v>0.0</v>
      </c>
      <c r="AE206" s="95">
        <v>0.0</v>
      </c>
      <c r="AF206" s="95"/>
      <c r="AG206" s="95"/>
      <c r="AH206" s="95"/>
      <c r="AI206" s="95"/>
      <c r="AJ206" s="95"/>
      <c r="AK206" s="95"/>
      <c r="AL206" s="95"/>
      <c r="AM206" s="95"/>
      <c r="AN206" s="95"/>
    </row>
    <row r="207" ht="14.25" customHeight="1">
      <c r="B207" s="507">
        <f t="shared" si="1"/>
        <v>0</v>
      </c>
      <c r="C207" s="95" t="str">
        <f t="shared" si="2"/>
        <v>その他</v>
      </c>
      <c r="D207" s="95"/>
      <c r="E207" s="95"/>
      <c r="F207" s="95" t="s">
        <v>209</v>
      </c>
      <c r="G207" s="95">
        <v>53662.0</v>
      </c>
      <c r="H207" s="95">
        <v>0.0</v>
      </c>
      <c r="I207" s="95">
        <v>36500.0</v>
      </c>
      <c r="J207" s="95">
        <v>0.0</v>
      </c>
      <c r="K207" s="95">
        <v>0.0</v>
      </c>
      <c r="L207" s="95">
        <v>0.0</v>
      </c>
      <c r="M207" s="95">
        <v>90162.0</v>
      </c>
      <c r="N207" s="95">
        <v>52080.0</v>
      </c>
      <c r="O207" s="95">
        <v>131160.0</v>
      </c>
      <c r="P207" s="95">
        <v>0.0</v>
      </c>
      <c r="Q207" s="95">
        <v>0.0</v>
      </c>
      <c r="R207" s="95">
        <v>0.0</v>
      </c>
      <c r="S207" s="95">
        <v>0.0</v>
      </c>
      <c r="T207" s="95">
        <v>183240.0</v>
      </c>
      <c r="U207" s="95">
        <v>0.0</v>
      </c>
      <c r="V207" s="95">
        <v>0.0</v>
      </c>
      <c r="W207" s="95">
        <v>0.0</v>
      </c>
      <c r="X207" s="95">
        <v>0.0</v>
      </c>
      <c r="Y207" s="95">
        <v>0.0</v>
      </c>
      <c r="Z207" s="95">
        <v>0.0</v>
      </c>
      <c r="AA207" s="95">
        <v>0.0</v>
      </c>
      <c r="AB207" s="95">
        <v>0.0</v>
      </c>
      <c r="AC207" s="95">
        <v>0.0</v>
      </c>
      <c r="AD207" s="95">
        <v>0.0</v>
      </c>
      <c r="AE207" s="95">
        <v>0.0</v>
      </c>
      <c r="AF207" s="95"/>
      <c r="AG207" s="95"/>
      <c r="AH207" s="95"/>
      <c r="AI207" s="95"/>
      <c r="AJ207" s="95"/>
      <c r="AK207" s="95"/>
      <c r="AL207" s="95"/>
      <c r="AM207" s="95"/>
      <c r="AN207" s="95"/>
    </row>
    <row r="208" ht="14.25" customHeight="1">
      <c r="B208" s="507">
        <f t="shared" si="1"/>
        <v>0</v>
      </c>
      <c r="C208" s="95" t="str">
        <f t="shared" si="2"/>
        <v>アイシグリーンシステム</v>
      </c>
      <c r="D208" s="95"/>
      <c r="E208" s="95"/>
      <c r="F208" s="95" t="s">
        <v>305</v>
      </c>
      <c r="G208" s="95">
        <v>0.0</v>
      </c>
      <c r="H208" s="95">
        <v>0.0</v>
      </c>
      <c r="I208" s="95">
        <v>0.0</v>
      </c>
      <c r="J208" s="95">
        <v>0.0</v>
      </c>
      <c r="K208" s="95">
        <v>0.0</v>
      </c>
      <c r="L208" s="95">
        <v>0.0</v>
      </c>
      <c r="M208" s="95">
        <v>0.0</v>
      </c>
      <c r="N208" s="95">
        <v>0.0</v>
      </c>
      <c r="O208" s="95">
        <v>0.0</v>
      </c>
      <c r="P208" s="95">
        <v>0.0</v>
      </c>
      <c r="Q208" s="95">
        <v>0.0</v>
      </c>
      <c r="R208" s="95">
        <v>0.0</v>
      </c>
      <c r="S208" s="95">
        <v>0.0</v>
      </c>
      <c r="T208" s="95">
        <v>0.0</v>
      </c>
      <c r="U208" s="95">
        <v>0.0</v>
      </c>
      <c r="V208" s="95">
        <v>0.0</v>
      </c>
      <c r="W208" s="95">
        <v>0.0</v>
      </c>
      <c r="X208" s="95">
        <v>0.0</v>
      </c>
      <c r="Y208" s="95">
        <v>0.0</v>
      </c>
      <c r="Z208" s="95">
        <v>0.0</v>
      </c>
      <c r="AA208" s="95">
        <v>0.0</v>
      </c>
      <c r="AB208" s="95">
        <v>0.0</v>
      </c>
      <c r="AC208" s="95">
        <v>0.0</v>
      </c>
      <c r="AD208" s="95">
        <v>0.0</v>
      </c>
      <c r="AE208" s="95">
        <v>0.0</v>
      </c>
      <c r="AF208" s="95"/>
      <c r="AG208" s="95"/>
      <c r="AH208" s="95"/>
      <c r="AI208" s="95"/>
      <c r="AJ208" s="95"/>
      <c r="AK208" s="95"/>
      <c r="AL208" s="95"/>
      <c r="AM208" s="95"/>
      <c r="AN208" s="95"/>
    </row>
    <row r="209" ht="14.25" customHeight="1">
      <c r="B209" s="507">
        <f t="shared" si="1"/>
        <v>0</v>
      </c>
      <c r="C209" s="95" t="str">
        <f t="shared" si="2"/>
        <v>にしけい</v>
      </c>
      <c r="D209" s="95"/>
      <c r="E209" s="95"/>
      <c r="F209" s="95" t="s">
        <v>325</v>
      </c>
      <c r="G209" s="95">
        <v>0.0</v>
      </c>
      <c r="H209" s="95">
        <v>0.0</v>
      </c>
      <c r="I209" s="95">
        <v>0.0</v>
      </c>
      <c r="J209" s="95">
        <v>0.0</v>
      </c>
      <c r="K209" s="95">
        <v>0.0</v>
      </c>
      <c r="L209" s="95">
        <v>0.0</v>
      </c>
      <c r="M209" s="95">
        <v>0.0</v>
      </c>
      <c r="N209" s="95">
        <v>0.0</v>
      </c>
      <c r="O209" s="95">
        <v>0.0</v>
      </c>
      <c r="P209" s="95">
        <v>0.0</v>
      </c>
      <c r="Q209" s="95">
        <v>0.0</v>
      </c>
      <c r="R209" s="95">
        <v>0.0</v>
      </c>
      <c r="S209" s="95">
        <v>0.0</v>
      </c>
      <c r="T209" s="95">
        <v>0.0</v>
      </c>
      <c r="U209" s="95">
        <v>0.0</v>
      </c>
      <c r="V209" s="95">
        <v>57000.0</v>
      </c>
      <c r="W209" s="95">
        <v>0.0</v>
      </c>
      <c r="X209" s="95">
        <v>0.0</v>
      </c>
      <c r="Y209" s="95">
        <v>0.0</v>
      </c>
      <c r="Z209" s="95">
        <v>0.0</v>
      </c>
      <c r="AA209" s="95">
        <v>57000.0</v>
      </c>
      <c r="AB209" s="95">
        <v>0.0</v>
      </c>
      <c r="AC209" s="95">
        <v>0.0</v>
      </c>
      <c r="AD209" s="95">
        <v>0.0</v>
      </c>
      <c r="AE209" s="95">
        <v>0.0</v>
      </c>
      <c r="AF209" s="95"/>
      <c r="AG209" s="95"/>
      <c r="AH209" s="95"/>
      <c r="AI209" s="95"/>
      <c r="AJ209" s="95"/>
      <c r="AK209" s="95"/>
      <c r="AL209" s="95"/>
      <c r="AM209" s="95"/>
      <c r="AN209" s="95"/>
    </row>
    <row r="210" ht="14.25" customHeight="1">
      <c r="B210" s="507">
        <f t="shared" si="1"/>
        <v>0</v>
      </c>
      <c r="C210" s="95" t="str">
        <f t="shared" si="2"/>
        <v>オリエント産業</v>
      </c>
      <c r="D210" s="95"/>
      <c r="E210" s="95"/>
      <c r="F210" s="95" t="s">
        <v>326</v>
      </c>
      <c r="G210" s="95">
        <v>0.0</v>
      </c>
      <c r="H210" s="95">
        <v>0.0</v>
      </c>
      <c r="I210" s="95">
        <v>0.0</v>
      </c>
      <c r="J210" s="95">
        <v>0.0</v>
      </c>
      <c r="K210" s="95">
        <v>0.0</v>
      </c>
      <c r="L210" s="95">
        <v>0.0</v>
      </c>
      <c r="M210" s="95">
        <v>0.0</v>
      </c>
      <c r="N210" s="95">
        <v>0.0</v>
      </c>
      <c r="O210" s="95">
        <v>0.0</v>
      </c>
      <c r="P210" s="95">
        <v>0.0</v>
      </c>
      <c r="Q210" s="95">
        <v>0.0</v>
      </c>
      <c r="R210" s="95">
        <v>0.0</v>
      </c>
      <c r="S210" s="95">
        <v>0.0</v>
      </c>
      <c r="T210" s="95">
        <v>0.0</v>
      </c>
      <c r="U210" s="95">
        <v>0.0</v>
      </c>
      <c r="V210" s="95">
        <v>0.0</v>
      </c>
      <c r="W210" s="95">
        <v>0.0</v>
      </c>
      <c r="X210" s="95">
        <v>0.0</v>
      </c>
      <c r="Y210" s="95">
        <v>0.0</v>
      </c>
      <c r="Z210" s="95">
        <v>0.0</v>
      </c>
      <c r="AA210" s="95">
        <v>0.0</v>
      </c>
      <c r="AB210" s="95">
        <v>0.0</v>
      </c>
      <c r="AC210" s="95">
        <v>0.0</v>
      </c>
      <c r="AD210" s="95">
        <v>0.0</v>
      </c>
      <c r="AE210" s="95">
        <v>0.0</v>
      </c>
      <c r="AF210" s="95"/>
      <c r="AG210" s="95"/>
      <c r="AH210" s="95"/>
      <c r="AI210" s="95"/>
      <c r="AJ210" s="95"/>
      <c r="AK210" s="95"/>
      <c r="AL210" s="95"/>
      <c r="AM210" s="95"/>
      <c r="AN210" s="95"/>
    </row>
    <row r="211" ht="14.25" customHeight="1">
      <c r="B211" s="507">
        <f t="shared" si="1"/>
        <v>0</v>
      </c>
      <c r="C211" s="95" t="str">
        <f t="shared" si="2"/>
        <v>グッドマンダスキン害虫駆除</v>
      </c>
      <c r="D211" s="95"/>
      <c r="E211" s="95"/>
      <c r="F211" s="95" t="s">
        <v>327</v>
      </c>
      <c r="G211" s="95">
        <v>0.0</v>
      </c>
      <c r="H211" s="95">
        <v>0.0</v>
      </c>
      <c r="I211" s="95">
        <v>0.0</v>
      </c>
      <c r="J211" s="95">
        <v>0.0</v>
      </c>
      <c r="K211" s="95">
        <v>0.0</v>
      </c>
      <c r="L211" s="95">
        <v>0.0</v>
      </c>
      <c r="M211" s="95">
        <v>0.0</v>
      </c>
      <c r="N211" s="95">
        <v>0.0</v>
      </c>
      <c r="O211" s="95">
        <v>0.0</v>
      </c>
      <c r="P211" s="95">
        <v>0.0</v>
      </c>
      <c r="Q211" s="95">
        <v>0.0</v>
      </c>
      <c r="R211" s="95">
        <v>0.0</v>
      </c>
      <c r="S211" s="95">
        <v>0.0</v>
      </c>
      <c r="T211" s="95">
        <v>0.0</v>
      </c>
      <c r="U211" s="95">
        <v>0.0</v>
      </c>
      <c r="V211" s="95">
        <v>0.0</v>
      </c>
      <c r="W211" s="95">
        <v>0.0</v>
      </c>
      <c r="X211" s="95">
        <v>0.0</v>
      </c>
      <c r="Y211" s="95">
        <v>0.0</v>
      </c>
      <c r="Z211" s="95">
        <v>0.0</v>
      </c>
      <c r="AA211" s="95">
        <v>0.0</v>
      </c>
      <c r="AB211" s="95">
        <v>0.0</v>
      </c>
      <c r="AC211" s="95">
        <v>0.0</v>
      </c>
      <c r="AD211" s="95">
        <v>0.0</v>
      </c>
      <c r="AE211" s="95">
        <v>0.0</v>
      </c>
      <c r="AF211" s="95"/>
      <c r="AG211" s="95"/>
      <c r="AH211" s="95"/>
      <c r="AI211" s="95"/>
      <c r="AJ211" s="95"/>
      <c r="AK211" s="95"/>
      <c r="AL211" s="95"/>
      <c r="AM211" s="95"/>
      <c r="AN211" s="95"/>
    </row>
    <row r="212" ht="14.25" customHeight="1">
      <c r="B212" s="507">
        <f t="shared" si="1"/>
        <v>0</v>
      </c>
      <c r="C212" s="95" t="str">
        <f t="shared" si="2"/>
        <v>トライアルリアルエステート</v>
      </c>
      <c r="D212" s="95"/>
      <c r="E212" s="95"/>
      <c r="F212" s="95" t="s">
        <v>328</v>
      </c>
      <c r="G212" s="95">
        <v>0.0</v>
      </c>
      <c r="H212" s="95">
        <v>0.0</v>
      </c>
      <c r="I212" s="95">
        <v>0.0</v>
      </c>
      <c r="J212" s="95">
        <v>0.0</v>
      </c>
      <c r="K212" s="95">
        <v>0.0</v>
      </c>
      <c r="L212" s="95">
        <v>0.0</v>
      </c>
      <c r="M212" s="95">
        <v>0.0</v>
      </c>
      <c r="N212" s="95">
        <v>0.0</v>
      </c>
      <c r="O212" s="95">
        <v>0.0</v>
      </c>
      <c r="P212" s="95">
        <v>0.0</v>
      </c>
      <c r="Q212" s="95">
        <v>0.0</v>
      </c>
      <c r="R212" s="95">
        <v>0.0</v>
      </c>
      <c r="S212" s="95">
        <v>0.0</v>
      </c>
      <c r="T212" s="95">
        <v>0.0</v>
      </c>
      <c r="U212" s="95">
        <v>88520.0</v>
      </c>
      <c r="V212" s="95">
        <v>743897.0</v>
      </c>
      <c r="W212" s="95">
        <v>0.0</v>
      </c>
      <c r="X212" s="95">
        <v>0.0</v>
      </c>
      <c r="Y212" s="95">
        <v>0.0</v>
      </c>
      <c r="Z212" s="95">
        <v>0.0</v>
      </c>
      <c r="AA212" s="95">
        <v>832417.0</v>
      </c>
      <c r="AB212" s="95">
        <v>0.0</v>
      </c>
      <c r="AC212" s="95">
        <v>0.0</v>
      </c>
      <c r="AD212" s="95">
        <v>0.0</v>
      </c>
      <c r="AE212" s="95">
        <v>0.0</v>
      </c>
      <c r="AF212" s="95"/>
      <c r="AG212" s="95"/>
      <c r="AH212" s="95"/>
      <c r="AI212" s="95"/>
      <c r="AJ212" s="95"/>
      <c r="AK212" s="95"/>
      <c r="AL212" s="95"/>
      <c r="AM212" s="95"/>
      <c r="AN212" s="95"/>
    </row>
    <row r="213" ht="14.25" customHeight="1">
      <c r="B213" s="507">
        <f t="shared" si="1"/>
        <v>0</v>
      </c>
      <c r="C213" s="95" t="str">
        <f t="shared" si="2"/>
        <v>館内マット（ダスキン）</v>
      </c>
      <c r="D213" s="95"/>
      <c r="E213" s="95"/>
      <c r="F213" s="95" t="s">
        <v>329</v>
      </c>
      <c r="G213" s="95">
        <v>0.0</v>
      </c>
      <c r="H213" s="95">
        <v>0.0</v>
      </c>
      <c r="I213" s="95">
        <v>0.0</v>
      </c>
      <c r="J213" s="95">
        <v>0.0</v>
      </c>
      <c r="K213" s="95">
        <v>0.0</v>
      </c>
      <c r="L213" s="95">
        <v>0.0</v>
      </c>
      <c r="M213" s="95">
        <v>0.0</v>
      </c>
      <c r="N213" s="95">
        <v>0.0</v>
      </c>
      <c r="O213" s="95">
        <v>0.0</v>
      </c>
      <c r="P213" s="95">
        <v>0.0</v>
      </c>
      <c r="Q213" s="95">
        <v>0.0</v>
      </c>
      <c r="R213" s="95">
        <v>0.0</v>
      </c>
      <c r="S213" s="95">
        <v>0.0</v>
      </c>
      <c r="T213" s="95">
        <v>0.0</v>
      </c>
      <c r="U213" s="95">
        <v>0.0</v>
      </c>
      <c r="V213" s="95">
        <v>0.0</v>
      </c>
      <c r="W213" s="95">
        <v>0.0</v>
      </c>
      <c r="X213" s="95">
        <v>0.0</v>
      </c>
      <c r="Y213" s="95">
        <v>0.0</v>
      </c>
      <c r="Z213" s="95">
        <v>0.0</v>
      </c>
      <c r="AA213" s="95">
        <v>0.0</v>
      </c>
      <c r="AB213" s="95">
        <v>0.0</v>
      </c>
      <c r="AC213" s="95">
        <v>0.0</v>
      </c>
      <c r="AD213" s="95">
        <v>0.0</v>
      </c>
      <c r="AE213" s="95">
        <v>0.0</v>
      </c>
      <c r="AF213" s="95"/>
      <c r="AG213" s="95"/>
      <c r="AH213" s="95"/>
      <c r="AI213" s="95"/>
      <c r="AJ213" s="95"/>
      <c r="AK213" s="95"/>
      <c r="AL213" s="95"/>
      <c r="AM213" s="95"/>
      <c r="AN213" s="95"/>
    </row>
    <row r="214" ht="14.25" customHeight="1">
      <c r="B214" s="507">
        <f t="shared" si="1"/>
        <v>0</v>
      </c>
      <c r="C214" s="95" t="str">
        <f t="shared" si="2"/>
        <v>㈱日本サーモエナー</v>
      </c>
      <c r="D214" s="95"/>
      <c r="E214" s="95"/>
      <c r="F214" s="95" t="s">
        <v>330</v>
      </c>
      <c r="G214" s="95">
        <v>0.0</v>
      </c>
      <c r="H214" s="95">
        <v>0.0</v>
      </c>
      <c r="I214" s="95">
        <v>0.0</v>
      </c>
      <c r="J214" s="95">
        <v>0.0</v>
      </c>
      <c r="K214" s="95">
        <v>0.0</v>
      </c>
      <c r="L214" s="95">
        <v>0.0</v>
      </c>
      <c r="M214" s="95">
        <v>0.0</v>
      </c>
      <c r="N214" s="95">
        <v>0.0</v>
      </c>
      <c r="O214" s="95">
        <v>0.0</v>
      </c>
      <c r="P214" s="95">
        <v>0.0</v>
      </c>
      <c r="Q214" s="95">
        <v>0.0</v>
      </c>
      <c r="R214" s="95">
        <v>0.0</v>
      </c>
      <c r="S214" s="95">
        <v>0.0</v>
      </c>
      <c r="T214" s="95">
        <v>0.0</v>
      </c>
      <c r="U214" s="95">
        <v>0.0</v>
      </c>
      <c r="V214" s="95">
        <v>0.0</v>
      </c>
      <c r="W214" s="95">
        <v>0.0</v>
      </c>
      <c r="X214" s="95">
        <v>0.0</v>
      </c>
      <c r="Y214" s="95">
        <v>0.0</v>
      </c>
      <c r="Z214" s="95">
        <v>0.0</v>
      </c>
      <c r="AA214" s="95">
        <v>0.0</v>
      </c>
      <c r="AB214" s="95">
        <v>0.0</v>
      </c>
      <c r="AC214" s="95">
        <v>0.0</v>
      </c>
      <c r="AD214" s="95">
        <v>0.0</v>
      </c>
      <c r="AE214" s="95">
        <v>0.0</v>
      </c>
      <c r="AF214" s="95"/>
      <c r="AG214" s="95"/>
      <c r="AH214" s="95"/>
      <c r="AI214" s="95"/>
      <c r="AJ214" s="95"/>
      <c r="AK214" s="95"/>
      <c r="AL214" s="95"/>
      <c r="AM214" s="95"/>
      <c r="AN214" s="95"/>
    </row>
    <row r="215" ht="14.25" customHeight="1">
      <c r="B215" s="507">
        <f t="shared" si="1"/>
        <v>0</v>
      </c>
      <c r="C215" s="95" t="str">
        <f t="shared" si="2"/>
        <v>補助科目なし</v>
      </c>
      <c r="D215" s="95"/>
      <c r="E215" s="95"/>
      <c r="F215" s="95" t="s">
        <v>199</v>
      </c>
      <c r="G215" s="95">
        <v>15500.0</v>
      </c>
      <c r="H215" s="95">
        <v>0.0</v>
      </c>
      <c r="I215" s="95">
        <v>126490.0</v>
      </c>
      <c r="J215" s="95">
        <v>0.0</v>
      </c>
      <c r="K215" s="95">
        <v>0.0</v>
      </c>
      <c r="L215" s="95">
        <v>0.0</v>
      </c>
      <c r="M215" s="95">
        <v>141990.0</v>
      </c>
      <c r="N215" s="95">
        <v>12255.0</v>
      </c>
      <c r="O215" s="95">
        <v>37900.0</v>
      </c>
      <c r="P215" s="95">
        <v>0.0</v>
      </c>
      <c r="Q215" s="95">
        <v>0.0</v>
      </c>
      <c r="R215" s="95">
        <v>0.0</v>
      </c>
      <c r="S215" s="95">
        <v>0.0</v>
      </c>
      <c r="T215" s="95">
        <v>50155.0</v>
      </c>
      <c r="U215" s="95">
        <v>0.0</v>
      </c>
      <c r="V215" s="95">
        <v>16000.0</v>
      </c>
      <c r="W215" s="95">
        <v>0.0</v>
      </c>
      <c r="X215" s="95">
        <v>0.0</v>
      </c>
      <c r="Y215" s="95">
        <v>0.0</v>
      </c>
      <c r="Z215" s="95">
        <v>0.0</v>
      </c>
      <c r="AA215" s="95">
        <v>16000.0</v>
      </c>
      <c r="AB215" s="95">
        <v>0.0</v>
      </c>
      <c r="AC215" s="95">
        <v>0.0</v>
      </c>
      <c r="AD215" s="95">
        <v>0.0</v>
      </c>
      <c r="AE215" s="95">
        <v>0.0</v>
      </c>
      <c r="AF215" s="95"/>
      <c r="AG215" s="95"/>
      <c r="AH215" s="95"/>
      <c r="AI215" s="95"/>
      <c r="AJ215" s="95"/>
      <c r="AK215" s="95"/>
      <c r="AL215" s="95"/>
      <c r="AM215" s="95"/>
      <c r="AN215" s="95"/>
    </row>
    <row r="216" ht="14.25" customHeight="1">
      <c r="B216" s="507">
        <f t="shared" si="1"/>
        <v>0</v>
      </c>
      <c r="C216" s="95" t="str">
        <f t="shared" si="2"/>
        <v>諸会費</v>
      </c>
      <c r="D216" s="95"/>
      <c r="E216" s="95" t="s">
        <v>86</v>
      </c>
      <c r="F216" s="95"/>
      <c r="G216" s="95">
        <v>8000.0</v>
      </c>
      <c r="H216" s="95">
        <v>0.0</v>
      </c>
      <c r="I216" s="95">
        <v>0.0</v>
      </c>
      <c r="J216" s="95">
        <v>0.0</v>
      </c>
      <c r="K216" s="95">
        <v>0.0</v>
      </c>
      <c r="L216" s="95">
        <v>0.0</v>
      </c>
      <c r="M216" s="95">
        <v>8000.0</v>
      </c>
      <c r="N216" s="95">
        <v>0.0</v>
      </c>
      <c r="O216" s="95">
        <v>0.0</v>
      </c>
      <c r="P216" s="95">
        <v>0.0</v>
      </c>
      <c r="Q216" s="95">
        <v>0.0</v>
      </c>
      <c r="R216" s="95">
        <v>0.0</v>
      </c>
      <c r="S216" s="95">
        <v>0.0</v>
      </c>
      <c r="T216" s="95">
        <v>0.0</v>
      </c>
      <c r="U216" s="95">
        <v>0.0</v>
      </c>
      <c r="V216" s="95">
        <v>0.0</v>
      </c>
      <c r="W216" s="95">
        <v>0.0</v>
      </c>
      <c r="X216" s="95">
        <v>0.0</v>
      </c>
      <c r="Y216" s="95">
        <v>0.0</v>
      </c>
      <c r="Z216" s="95">
        <v>0.0</v>
      </c>
      <c r="AA216" s="95">
        <v>0.0</v>
      </c>
      <c r="AB216" s="95">
        <v>546.0</v>
      </c>
      <c r="AC216" s="95">
        <v>0.0</v>
      </c>
      <c r="AD216" s="95">
        <v>0.0</v>
      </c>
      <c r="AE216" s="95">
        <v>546.0</v>
      </c>
      <c r="AF216" s="95"/>
      <c r="AG216" s="95"/>
      <c r="AH216" s="95"/>
      <c r="AI216" s="95"/>
      <c r="AJ216" s="95"/>
      <c r="AK216" s="95"/>
      <c r="AL216" s="95"/>
      <c r="AM216" s="95"/>
      <c r="AN216" s="95"/>
    </row>
    <row r="217" ht="14.25" customHeight="1">
      <c r="B217" s="507">
        <f t="shared" si="1"/>
        <v>0</v>
      </c>
      <c r="C217" s="95" t="str">
        <f t="shared" si="2"/>
        <v>福岡県ゴルフ協会月会費</v>
      </c>
      <c r="D217" s="95"/>
      <c r="E217" s="95"/>
      <c r="F217" s="95" t="s">
        <v>331</v>
      </c>
      <c r="G217" s="95">
        <v>0.0</v>
      </c>
      <c r="H217" s="95">
        <v>0.0</v>
      </c>
      <c r="I217" s="95">
        <v>0.0</v>
      </c>
      <c r="J217" s="95">
        <v>0.0</v>
      </c>
      <c r="K217" s="95">
        <v>0.0</v>
      </c>
      <c r="L217" s="95">
        <v>0.0</v>
      </c>
      <c r="M217" s="95">
        <v>0.0</v>
      </c>
      <c r="N217" s="95">
        <v>0.0</v>
      </c>
      <c r="O217" s="95">
        <v>0.0</v>
      </c>
      <c r="P217" s="95">
        <v>0.0</v>
      </c>
      <c r="Q217" s="95">
        <v>0.0</v>
      </c>
      <c r="R217" s="95">
        <v>0.0</v>
      </c>
      <c r="S217" s="95">
        <v>0.0</v>
      </c>
      <c r="T217" s="95">
        <v>0.0</v>
      </c>
      <c r="U217" s="95">
        <v>0.0</v>
      </c>
      <c r="V217" s="95">
        <v>0.0</v>
      </c>
      <c r="W217" s="95">
        <v>0.0</v>
      </c>
      <c r="X217" s="95">
        <v>0.0</v>
      </c>
      <c r="Y217" s="95">
        <v>0.0</v>
      </c>
      <c r="Z217" s="95">
        <v>0.0</v>
      </c>
      <c r="AA217" s="95">
        <v>0.0</v>
      </c>
      <c r="AB217" s="95">
        <v>0.0</v>
      </c>
      <c r="AC217" s="95">
        <v>0.0</v>
      </c>
      <c r="AD217" s="95">
        <v>0.0</v>
      </c>
      <c r="AE217" s="95">
        <v>0.0</v>
      </c>
      <c r="AF217" s="95"/>
      <c r="AG217" s="95"/>
      <c r="AH217" s="95"/>
      <c r="AI217" s="95"/>
      <c r="AJ217" s="95"/>
      <c r="AK217" s="95"/>
      <c r="AL217" s="95"/>
      <c r="AM217" s="95"/>
      <c r="AN217" s="95"/>
    </row>
    <row r="218" ht="14.25" customHeight="1">
      <c r="B218" s="507">
        <f t="shared" si="1"/>
        <v>0</v>
      </c>
      <c r="C218" s="95" t="str">
        <f t="shared" si="2"/>
        <v>補助科目なし</v>
      </c>
      <c r="D218" s="95"/>
      <c r="E218" s="95"/>
      <c r="F218" s="95" t="s">
        <v>199</v>
      </c>
      <c r="G218" s="95">
        <v>8000.0</v>
      </c>
      <c r="H218" s="95">
        <v>0.0</v>
      </c>
      <c r="I218" s="95">
        <v>0.0</v>
      </c>
      <c r="J218" s="95">
        <v>0.0</v>
      </c>
      <c r="K218" s="95">
        <v>0.0</v>
      </c>
      <c r="L218" s="95">
        <v>0.0</v>
      </c>
      <c r="M218" s="95">
        <v>8000.0</v>
      </c>
      <c r="N218" s="95">
        <v>0.0</v>
      </c>
      <c r="O218" s="95">
        <v>0.0</v>
      </c>
      <c r="P218" s="95">
        <v>0.0</v>
      </c>
      <c r="Q218" s="95">
        <v>0.0</v>
      </c>
      <c r="R218" s="95">
        <v>0.0</v>
      </c>
      <c r="S218" s="95">
        <v>0.0</v>
      </c>
      <c r="T218" s="95">
        <v>0.0</v>
      </c>
      <c r="U218" s="95">
        <v>0.0</v>
      </c>
      <c r="V218" s="95">
        <v>0.0</v>
      </c>
      <c r="W218" s="95">
        <v>0.0</v>
      </c>
      <c r="X218" s="95">
        <v>0.0</v>
      </c>
      <c r="Y218" s="95">
        <v>0.0</v>
      </c>
      <c r="Z218" s="95">
        <v>0.0</v>
      </c>
      <c r="AA218" s="95">
        <v>0.0</v>
      </c>
      <c r="AB218" s="95">
        <v>546.0</v>
      </c>
      <c r="AC218" s="95">
        <v>0.0</v>
      </c>
      <c r="AD218" s="95">
        <v>0.0</v>
      </c>
      <c r="AE218" s="95">
        <v>546.0</v>
      </c>
      <c r="AF218" s="95"/>
      <c r="AG218" s="95"/>
      <c r="AH218" s="95"/>
      <c r="AI218" s="95"/>
      <c r="AJ218" s="95"/>
      <c r="AK218" s="95"/>
      <c r="AL218" s="95"/>
      <c r="AM218" s="95"/>
      <c r="AN218" s="95"/>
    </row>
    <row r="219" ht="14.25" customHeight="1">
      <c r="B219" s="507">
        <f t="shared" si="1"/>
        <v>0</v>
      </c>
      <c r="C219" s="95" t="str">
        <f t="shared" si="2"/>
        <v>支払手数料</v>
      </c>
      <c r="D219" s="95"/>
      <c r="E219" s="95" t="s">
        <v>77</v>
      </c>
      <c r="F219" s="95"/>
      <c r="G219" s="95">
        <v>0.0</v>
      </c>
      <c r="H219" s="95">
        <v>0.0</v>
      </c>
      <c r="I219" s="95">
        <v>0.0</v>
      </c>
      <c r="J219" s="95">
        <v>0.0</v>
      </c>
      <c r="K219" s="95">
        <v>0.0</v>
      </c>
      <c r="L219" s="95">
        <v>0.0</v>
      </c>
      <c r="M219" s="95">
        <v>0.0</v>
      </c>
      <c r="N219" s="95">
        <v>0.0</v>
      </c>
      <c r="O219" s="95">
        <v>0.0</v>
      </c>
      <c r="P219" s="95">
        <v>0.0</v>
      </c>
      <c r="Q219" s="95">
        <v>0.0</v>
      </c>
      <c r="R219" s="95">
        <v>0.0</v>
      </c>
      <c r="S219" s="95">
        <v>0.0</v>
      </c>
      <c r="T219" s="95">
        <v>0.0</v>
      </c>
      <c r="U219" s="95">
        <v>0.0</v>
      </c>
      <c r="V219" s="95">
        <v>0.0</v>
      </c>
      <c r="W219" s="95">
        <v>0.0</v>
      </c>
      <c r="X219" s="95">
        <v>0.0</v>
      </c>
      <c r="Y219" s="95">
        <v>0.0</v>
      </c>
      <c r="Z219" s="95">
        <v>0.0</v>
      </c>
      <c r="AA219" s="95">
        <v>0.0</v>
      </c>
      <c r="AB219" s="95">
        <v>81178.0</v>
      </c>
      <c r="AC219" s="95">
        <v>0.0</v>
      </c>
      <c r="AD219" s="95">
        <v>0.0</v>
      </c>
      <c r="AE219" s="95">
        <v>81178.0</v>
      </c>
      <c r="AF219" s="95"/>
      <c r="AG219" s="95"/>
      <c r="AH219" s="95"/>
      <c r="AI219" s="95"/>
      <c r="AJ219" s="95"/>
      <c r="AK219" s="95"/>
      <c r="AL219" s="95"/>
      <c r="AM219" s="95"/>
      <c r="AN219" s="95"/>
    </row>
    <row r="220" ht="14.25" customHeight="1">
      <c r="B220" s="507">
        <f t="shared" si="1"/>
        <v>0</v>
      </c>
      <c r="C220" s="95" t="str">
        <f t="shared" si="2"/>
        <v>採用費</v>
      </c>
      <c r="D220" s="95"/>
      <c r="E220" s="95" t="s">
        <v>78</v>
      </c>
      <c r="F220" s="95"/>
      <c r="G220" s="95">
        <v>0.0</v>
      </c>
      <c r="H220" s="95">
        <v>0.0</v>
      </c>
      <c r="I220" s="95">
        <v>0.0</v>
      </c>
      <c r="J220" s="95">
        <v>0.0</v>
      </c>
      <c r="K220" s="95">
        <v>0.0</v>
      </c>
      <c r="L220" s="95">
        <v>0.0</v>
      </c>
      <c r="M220" s="95">
        <v>0.0</v>
      </c>
      <c r="N220" s="95">
        <v>0.0</v>
      </c>
      <c r="O220" s="95">
        <v>0.0</v>
      </c>
      <c r="P220" s="95">
        <v>0.0</v>
      </c>
      <c r="Q220" s="95">
        <v>0.0</v>
      </c>
      <c r="R220" s="95">
        <v>0.0</v>
      </c>
      <c r="S220" s="95">
        <v>0.0</v>
      </c>
      <c r="T220" s="95">
        <v>0.0</v>
      </c>
      <c r="U220" s="95">
        <v>0.0</v>
      </c>
      <c r="V220" s="95">
        <v>0.0</v>
      </c>
      <c r="W220" s="95">
        <v>0.0</v>
      </c>
      <c r="X220" s="95">
        <v>0.0</v>
      </c>
      <c r="Y220" s="95">
        <v>0.0</v>
      </c>
      <c r="Z220" s="95">
        <v>0.0</v>
      </c>
      <c r="AA220" s="95">
        <v>0.0</v>
      </c>
      <c r="AB220" s="95">
        <v>0.0</v>
      </c>
      <c r="AC220" s="95">
        <v>275000.0</v>
      </c>
      <c r="AD220" s="95">
        <v>0.0</v>
      </c>
      <c r="AE220" s="95">
        <v>275000.0</v>
      </c>
      <c r="AF220" s="95"/>
      <c r="AG220" s="95"/>
      <c r="AH220" s="95"/>
      <c r="AI220" s="95"/>
      <c r="AJ220" s="95"/>
      <c r="AK220" s="95"/>
      <c r="AL220" s="95"/>
      <c r="AM220" s="95"/>
      <c r="AN220" s="95"/>
    </row>
    <row r="221" ht="14.25" customHeight="1">
      <c r="B221" s="507">
        <f t="shared" si="1"/>
        <v>0</v>
      </c>
      <c r="C221" s="95" t="str">
        <f t="shared" si="2"/>
        <v>教育費</v>
      </c>
      <c r="D221" s="95"/>
      <c r="E221" s="95" t="s">
        <v>79</v>
      </c>
      <c r="F221" s="95"/>
      <c r="G221" s="95">
        <v>87820.0</v>
      </c>
      <c r="H221" s="95">
        <v>0.0</v>
      </c>
      <c r="I221" s="95">
        <v>0.0</v>
      </c>
      <c r="J221" s="95">
        <v>0.0</v>
      </c>
      <c r="K221" s="95">
        <v>0.0</v>
      </c>
      <c r="L221" s="95">
        <v>0.0</v>
      </c>
      <c r="M221" s="95">
        <v>87820.0</v>
      </c>
      <c r="N221" s="95">
        <v>0.0</v>
      </c>
      <c r="O221" s="95">
        <v>0.0</v>
      </c>
      <c r="P221" s="95">
        <v>0.0</v>
      </c>
      <c r="Q221" s="95">
        <v>0.0</v>
      </c>
      <c r="R221" s="95">
        <v>0.0</v>
      </c>
      <c r="S221" s="95">
        <v>0.0</v>
      </c>
      <c r="T221" s="95">
        <v>0.0</v>
      </c>
      <c r="U221" s="95">
        <v>0.0</v>
      </c>
      <c r="V221" s="95">
        <v>0.0</v>
      </c>
      <c r="W221" s="95">
        <v>0.0</v>
      </c>
      <c r="X221" s="95">
        <v>0.0</v>
      </c>
      <c r="Y221" s="95">
        <v>0.0</v>
      </c>
      <c r="Z221" s="95">
        <v>0.0</v>
      </c>
      <c r="AA221" s="95">
        <v>0.0</v>
      </c>
      <c r="AB221" s="95">
        <v>1725.0</v>
      </c>
      <c r="AC221" s="95">
        <v>3725.0</v>
      </c>
      <c r="AD221" s="95">
        <v>0.0</v>
      </c>
      <c r="AE221" s="95">
        <v>5450.0</v>
      </c>
      <c r="AF221" s="95"/>
      <c r="AG221" s="95"/>
      <c r="AH221" s="95"/>
      <c r="AI221" s="95"/>
      <c r="AJ221" s="95"/>
      <c r="AK221" s="95"/>
      <c r="AL221" s="95"/>
      <c r="AM221" s="95"/>
      <c r="AN221" s="95"/>
    </row>
    <row r="222" ht="14.25" customHeight="1">
      <c r="B222" s="507">
        <f t="shared" si="1"/>
        <v>0</v>
      </c>
      <c r="C222" s="95" t="str">
        <f t="shared" si="2"/>
        <v>クラブ費</v>
      </c>
      <c r="D222" s="95"/>
      <c r="E222" s="95" t="s">
        <v>332</v>
      </c>
      <c r="F222" s="95"/>
      <c r="G222" s="95">
        <v>0.0</v>
      </c>
      <c r="H222" s="95">
        <v>0.0</v>
      </c>
      <c r="I222" s="95">
        <v>0.0</v>
      </c>
      <c r="J222" s="95">
        <v>0.0</v>
      </c>
      <c r="K222" s="95">
        <v>0.0</v>
      </c>
      <c r="L222" s="95">
        <v>0.0</v>
      </c>
      <c r="M222" s="95">
        <v>0.0</v>
      </c>
      <c r="N222" s="95">
        <v>0.0</v>
      </c>
      <c r="O222" s="95">
        <v>0.0</v>
      </c>
      <c r="P222" s="95">
        <v>0.0</v>
      </c>
      <c r="Q222" s="95">
        <v>0.0</v>
      </c>
      <c r="R222" s="95">
        <v>0.0</v>
      </c>
      <c r="S222" s="95">
        <v>0.0</v>
      </c>
      <c r="T222" s="95">
        <v>0.0</v>
      </c>
      <c r="U222" s="95">
        <v>0.0</v>
      </c>
      <c r="V222" s="95">
        <v>0.0</v>
      </c>
      <c r="W222" s="95">
        <v>0.0</v>
      </c>
      <c r="X222" s="95">
        <v>0.0</v>
      </c>
      <c r="Y222" s="95">
        <v>0.0</v>
      </c>
      <c r="Z222" s="95">
        <v>0.0</v>
      </c>
      <c r="AA222" s="95">
        <v>0.0</v>
      </c>
      <c r="AB222" s="95">
        <v>0.0</v>
      </c>
      <c r="AC222" s="95">
        <v>0.0</v>
      </c>
      <c r="AD222" s="95">
        <v>0.0</v>
      </c>
      <c r="AE222" s="95">
        <v>0.0</v>
      </c>
      <c r="AF222" s="95"/>
      <c r="AG222" s="95"/>
      <c r="AH222" s="95"/>
      <c r="AI222" s="95"/>
      <c r="AJ222" s="95"/>
      <c r="AK222" s="95"/>
      <c r="AL222" s="95"/>
      <c r="AM222" s="95"/>
      <c r="AN222" s="95"/>
    </row>
    <row r="223" ht="14.25" customHeight="1">
      <c r="B223" s="507">
        <f t="shared" si="1"/>
        <v>0</v>
      </c>
      <c r="C223" s="95" t="str">
        <f t="shared" si="2"/>
        <v>綿谷プロ</v>
      </c>
      <c r="D223" s="95"/>
      <c r="E223" s="95"/>
      <c r="F223" s="95" t="s">
        <v>333</v>
      </c>
      <c r="G223" s="95">
        <v>0.0</v>
      </c>
      <c r="H223" s="95">
        <v>0.0</v>
      </c>
      <c r="I223" s="95">
        <v>0.0</v>
      </c>
      <c r="J223" s="95">
        <v>0.0</v>
      </c>
      <c r="K223" s="95">
        <v>0.0</v>
      </c>
      <c r="L223" s="95">
        <v>0.0</v>
      </c>
      <c r="M223" s="95">
        <v>0.0</v>
      </c>
      <c r="N223" s="95">
        <v>0.0</v>
      </c>
      <c r="O223" s="95">
        <v>0.0</v>
      </c>
      <c r="P223" s="95">
        <v>0.0</v>
      </c>
      <c r="Q223" s="95">
        <v>0.0</v>
      </c>
      <c r="R223" s="95">
        <v>0.0</v>
      </c>
      <c r="S223" s="95">
        <v>0.0</v>
      </c>
      <c r="T223" s="95">
        <v>0.0</v>
      </c>
      <c r="U223" s="95">
        <v>0.0</v>
      </c>
      <c r="V223" s="95">
        <v>0.0</v>
      </c>
      <c r="W223" s="95">
        <v>0.0</v>
      </c>
      <c r="X223" s="95">
        <v>0.0</v>
      </c>
      <c r="Y223" s="95">
        <v>0.0</v>
      </c>
      <c r="Z223" s="95">
        <v>0.0</v>
      </c>
      <c r="AA223" s="95">
        <v>0.0</v>
      </c>
      <c r="AB223" s="95">
        <v>0.0</v>
      </c>
      <c r="AC223" s="95">
        <v>0.0</v>
      </c>
      <c r="AD223" s="95">
        <v>0.0</v>
      </c>
      <c r="AE223" s="95">
        <v>0.0</v>
      </c>
      <c r="AF223" s="95"/>
      <c r="AG223" s="95"/>
      <c r="AH223" s="95"/>
      <c r="AI223" s="95"/>
      <c r="AJ223" s="95"/>
      <c r="AK223" s="95"/>
      <c r="AL223" s="95"/>
      <c r="AM223" s="95"/>
      <c r="AN223" s="95"/>
    </row>
    <row r="224" ht="14.25" customHeight="1">
      <c r="B224" s="507">
        <f t="shared" si="1"/>
        <v>0</v>
      </c>
      <c r="C224" s="95" t="str">
        <f t="shared" si="2"/>
        <v>若宮オープン</v>
      </c>
      <c r="D224" s="95"/>
      <c r="E224" s="95"/>
      <c r="F224" s="95" t="s">
        <v>334</v>
      </c>
      <c r="G224" s="95">
        <v>0.0</v>
      </c>
      <c r="H224" s="95">
        <v>0.0</v>
      </c>
      <c r="I224" s="95">
        <v>0.0</v>
      </c>
      <c r="J224" s="95">
        <v>0.0</v>
      </c>
      <c r="K224" s="95">
        <v>0.0</v>
      </c>
      <c r="L224" s="95">
        <v>0.0</v>
      </c>
      <c r="M224" s="95">
        <v>0.0</v>
      </c>
      <c r="N224" s="95">
        <v>0.0</v>
      </c>
      <c r="O224" s="95">
        <v>0.0</v>
      </c>
      <c r="P224" s="95">
        <v>0.0</v>
      </c>
      <c r="Q224" s="95">
        <v>0.0</v>
      </c>
      <c r="R224" s="95">
        <v>0.0</v>
      </c>
      <c r="S224" s="95">
        <v>0.0</v>
      </c>
      <c r="T224" s="95">
        <v>0.0</v>
      </c>
      <c r="U224" s="95">
        <v>0.0</v>
      </c>
      <c r="V224" s="95">
        <v>0.0</v>
      </c>
      <c r="W224" s="95">
        <v>0.0</v>
      </c>
      <c r="X224" s="95">
        <v>0.0</v>
      </c>
      <c r="Y224" s="95">
        <v>0.0</v>
      </c>
      <c r="Z224" s="95">
        <v>0.0</v>
      </c>
      <c r="AA224" s="95">
        <v>0.0</v>
      </c>
      <c r="AB224" s="95">
        <v>0.0</v>
      </c>
      <c r="AC224" s="95">
        <v>0.0</v>
      </c>
      <c r="AD224" s="95">
        <v>0.0</v>
      </c>
      <c r="AE224" s="95">
        <v>0.0</v>
      </c>
      <c r="AF224" s="95"/>
      <c r="AG224" s="95"/>
      <c r="AH224" s="95"/>
      <c r="AI224" s="95"/>
      <c r="AJ224" s="95"/>
      <c r="AK224" s="95"/>
      <c r="AL224" s="95"/>
      <c r="AM224" s="95"/>
      <c r="AN224" s="95"/>
    </row>
    <row r="225" ht="14.25" customHeight="1">
      <c r="B225" s="507">
        <f t="shared" si="1"/>
        <v>0</v>
      </c>
      <c r="C225" s="95" t="str">
        <f t="shared" si="2"/>
        <v>和牛カップ</v>
      </c>
      <c r="D225" s="95"/>
      <c r="E225" s="95"/>
      <c r="F225" s="95" t="s">
        <v>335</v>
      </c>
      <c r="G225" s="95">
        <v>0.0</v>
      </c>
      <c r="H225" s="95">
        <v>0.0</v>
      </c>
      <c r="I225" s="95">
        <v>0.0</v>
      </c>
      <c r="J225" s="95">
        <v>0.0</v>
      </c>
      <c r="K225" s="95">
        <v>0.0</v>
      </c>
      <c r="L225" s="95">
        <v>0.0</v>
      </c>
      <c r="M225" s="95">
        <v>0.0</v>
      </c>
      <c r="N225" s="95">
        <v>0.0</v>
      </c>
      <c r="O225" s="95">
        <v>0.0</v>
      </c>
      <c r="P225" s="95">
        <v>0.0</v>
      </c>
      <c r="Q225" s="95">
        <v>0.0</v>
      </c>
      <c r="R225" s="95">
        <v>0.0</v>
      </c>
      <c r="S225" s="95">
        <v>0.0</v>
      </c>
      <c r="T225" s="95">
        <v>0.0</v>
      </c>
      <c r="U225" s="95">
        <v>0.0</v>
      </c>
      <c r="V225" s="95">
        <v>0.0</v>
      </c>
      <c r="W225" s="95">
        <v>0.0</v>
      </c>
      <c r="X225" s="95">
        <v>0.0</v>
      </c>
      <c r="Y225" s="95">
        <v>0.0</v>
      </c>
      <c r="Z225" s="95">
        <v>0.0</v>
      </c>
      <c r="AA225" s="95">
        <v>0.0</v>
      </c>
      <c r="AB225" s="95">
        <v>0.0</v>
      </c>
      <c r="AC225" s="95">
        <v>0.0</v>
      </c>
      <c r="AD225" s="95">
        <v>0.0</v>
      </c>
      <c r="AE225" s="95">
        <v>0.0</v>
      </c>
      <c r="AF225" s="95"/>
      <c r="AG225" s="95"/>
      <c r="AH225" s="95"/>
      <c r="AI225" s="95"/>
      <c r="AJ225" s="95"/>
      <c r="AK225" s="95"/>
      <c r="AL225" s="95"/>
      <c r="AM225" s="95"/>
      <c r="AN225" s="95"/>
    </row>
    <row r="226" ht="14.25" customHeight="1">
      <c r="B226" s="507">
        <f t="shared" si="1"/>
        <v>0</v>
      </c>
      <c r="C226" s="95" t="str">
        <f t="shared" si="2"/>
        <v>開場記念杯</v>
      </c>
      <c r="D226" s="95"/>
      <c r="E226" s="95"/>
      <c r="F226" s="95" t="s">
        <v>336</v>
      </c>
      <c r="G226" s="95">
        <v>0.0</v>
      </c>
      <c r="H226" s="95">
        <v>0.0</v>
      </c>
      <c r="I226" s="95">
        <v>0.0</v>
      </c>
      <c r="J226" s="95">
        <v>0.0</v>
      </c>
      <c r="K226" s="95">
        <v>0.0</v>
      </c>
      <c r="L226" s="95">
        <v>0.0</v>
      </c>
      <c r="M226" s="95">
        <v>0.0</v>
      </c>
      <c r="N226" s="95">
        <v>0.0</v>
      </c>
      <c r="O226" s="95">
        <v>0.0</v>
      </c>
      <c r="P226" s="95">
        <v>0.0</v>
      </c>
      <c r="Q226" s="95">
        <v>0.0</v>
      </c>
      <c r="R226" s="95">
        <v>0.0</v>
      </c>
      <c r="S226" s="95">
        <v>0.0</v>
      </c>
      <c r="T226" s="95">
        <v>0.0</v>
      </c>
      <c r="U226" s="95">
        <v>0.0</v>
      </c>
      <c r="V226" s="95">
        <v>0.0</v>
      </c>
      <c r="W226" s="95">
        <v>0.0</v>
      </c>
      <c r="X226" s="95">
        <v>0.0</v>
      </c>
      <c r="Y226" s="95">
        <v>0.0</v>
      </c>
      <c r="Z226" s="95">
        <v>0.0</v>
      </c>
      <c r="AA226" s="95">
        <v>0.0</v>
      </c>
      <c r="AB226" s="95">
        <v>0.0</v>
      </c>
      <c r="AC226" s="95">
        <v>0.0</v>
      </c>
      <c r="AD226" s="95">
        <v>0.0</v>
      </c>
      <c r="AE226" s="95">
        <v>0.0</v>
      </c>
      <c r="AF226" s="95"/>
      <c r="AG226" s="95"/>
      <c r="AH226" s="95"/>
      <c r="AI226" s="95"/>
      <c r="AJ226" s="95"/>
      <c r="AK226" s="95"/>
      <c r="AL226" s="95"/>
      <c r="AM226" s="95"/>
      <c r="AN226" s="95"/>
    </row>
    <row r="227" ht="14.25" customHeight="1">
      <c r="B227" s="507">
        <f t="shared" si="1"/>
        <v>0</v>
      </c>
      <c r="C227" s="95" t="str">
        <f t="shared" si="2"/>
        <v>月例杯</v>
      </c>
      <c r="D227" s="95"/>
      <c r="E227" s="95"/>
      <c r="F227" s="95" t="s">
        <v>337</v>
      </c>
      <c r="G227" s="95">
        <v>0.0</v>
      </c>
      <c r="H227" s="95">
        <v>0.0</v>
      </c>
      <c r="I227" s="95">
        <v>0.0</v>
      </c>
      <c r="J227" s="95">
        <v>0.0</v>
      </c>
      <c r="K227" s="95">
        <v>0.0</v>
      </c>
      <c r="L227" s="95">
        <v>0.0</v>
      </c>
      <c r="M227" s="95">
        <v>0.0</v>
      </c>
      <c r="N227" s="95">
        <v>0.0</v>
      </c>
      <c r="O227" s="95">
        <v>0.0</v>
      </c>
      <c r="P227" s="95">
        <v>0.0</v>
      </c>
      <c r="Q227" s="95">
        <v>0.0</v>
      </c>
      <c r="R227" s="95">
        <v>0.0</v>
      </c>
      <c r="S227" s="95">
        <v>0.0</v>
      </c>
      <c r="T227" s="95">
        <v>0.0</v>
      </c>
      <c r="U227" s="95">
        <v>0.0</v>
      </c>
      <c r="V227" s="95">
        <v>0.0</v>
      </c>
      <c r="W227" s="95">
        <v>0.0</v>
      </c>
      <c r="X227" s="95">
        <v>0.0</v>
      </c>
      <c r="Y227" s="95">
        <v>0.0</v>
      </c>
      <c r="Z227" s="95">
        <v>0.0</v>
      </c>
      <c r="AA227" s="95">
        <v>0.0</v>
      </c>
      <c r="AB227" s="95">
        <v>0.0</v>
      </c>
      <c r="AC227" s="95">
        <v>0.0</v>
      </c>
      <c r="AD227" s="95">
        <v>0.0</v>
      </c>
      <c r="AE227" s="95">
        <v>0.0</v>
      </c>
      <c r="AF227" s="95"/>
      <c r="AG227" s="95"/>
      <c r="AH227" s="95"/>
      <c r="AI227" s="95"/>
      <c r="AJ227" s="95"/>
      <c r="AK227" s="95"/>
      <c r="AL227" s="95"/>
      <c r="AM227" s="95"/>
      <c r="AN227" s="95"/>
    </row>
    <row r="228" ht="14.25" customHeight="1">
      <c r="B228" s="507">
        <f t="shared" si="1"/>
        <v>0</v>
      </c>
      <c r="C228" s="95" t="str">
        <f t="shared" si="2"/>
        <v>その他</v>
      </c>
      <c r="D228" s="95"/>
      <c r="E228" s="95"/>
      <c r="F228" s="95" t="s">
        <v>209</v>
      </c>
      <c r="G228" s="95">
        <v>0.0</v>
      </c>
      <c r="H228" s="95">
        <v>0.0</v>
      </c>
      <c r="I228" s="95">
        <v>0.0</v>
      </c>
      <c r="J228" s="95">
        <v>0.0</v>
      </c>
      <c r="K228" s="95">
        <v>0.0</v>
      </c>
      <c r="L228" s="95">
        <v>0.0</v>
      </c>
      <c r="M228" s="95">
        <v>0.0</v>
      </c>
      <c r="N228" s="95">
        <v>0.0</v>
      </c>
      <c r="O228" s="95">
        <v>0.0</v>
      </c>
      <c r="P228" s="95">
        <v>0.0</v>
      </c>
      <c r="Q228" s="95">
        <v>0.0</v>
      </c>
      <c r="R228" s="95">
        <v>0.0</v>
      </c>
      <c r="S228" s="95">
        <v>0.0</v>
      </c>
      <c r="T228" s="95">
        <v>0.0</v>
      </c>
      <c r="U228" s="95">
        <v>0.0</v>
      </c>
      <c r="V228" s="95">
        <v>0.0</v>
      </c>
      <c r="W228" s="95">
        <v>0.0</v>
      </c>
      <c r="X228" s="95">
        <v>0.0</v>
      </c>
      <c r="Y228" s="95">
        <v>0.0</v>
      </c>
      <c r="Z228" s="95">
        <v>0.0</v>
      </c>
      <c r="AA228" s="95">
        <v>0.0</v>
      </c>
      <c r="AB228" s="95">
        <v>0.0</v>
      </c>
      <c r="AC228" s="95">
        <v>0.0</v>
      </c>
      <c r="AD228" s="95">
        <v>0.0</v>
      </c>
      <c r="AE228" s="95">
        <v>0.0</v>
      </c>
      <c r="AF228" s="95"/>
      <c r="AG228" s="95"/>
      <c r="AH228" s="95"/>
      <c r="AI228" s="95"/>
      <c r="AJ228" s="95"/>
      <c r="AK228" s="95"/>
      <c r="AL228" s="95"/>
      <c r="AM228" s="95"/>
      <c r="AN228" s="95"/>
    </row>
    <row r="229" ht="14.25" customHeight="1">
      <c r="B229" s="507">
        <f t="shared" si="1"/>
        <v>0</v>
      </c>
      <c r="C229" s="95" t="str">
        <f t="shared" si="2"/>
        <v>手嶋理事長</v>
      </c>
      <c r="D229" s="95"/>
      <c r="E229" s="95"/>
      <c r="F229" s="95" t="s">
        <v>338</v>
      </c>
      <c r="G229" s="95">
        <v>0.0</v>
      </c>
      <c r="H229" s="95">
        <v>0.0</v>
      </c>
      <c r="I229" s="95">
        <v>0.0</v>
      </c>
      <c r="J229" s="95">
        <v>0.0</v>
      </c>
      <c r="K229" s="95">
        <v>0.0</v>
      </c>
      <c r="L229" s="95">
        <v>0.0</v>
      </c>
      <c r="M229" s="95">
        <v>0.0</v>
      </c>
      <c r="N229" s="95">
        <v>0.0</v>
      </c>
      <c r="O229" s="95">
        <v>0.0</v>
      </c>
      <c r="P229" s="95">
        <v>0.0</v>
      </c>
      <c r="Q229" s="95">
        <v>0.0</v>
      </c>
      <c r="R229" s="95">
        <v>0.0</v>
      </c>
      <c r="S229" s="95">
        <v>0.0</v>
      </c>
      <c r="T229" s="95">
        <v>0.0</v>
      </c>
      <c r="U229" s="95">
        <v>0.0</v>
      </c>
      <c r="V229" s="95">
        <v>0.0</v>
      </c>
      <c r="W229" s="95">
        <v>0.0</v>
      </c>
      <c r="X229" s="95">
        <v>0.0</v>
      </c>
      <c r="Y229" s="95">
        <v>0.0</v>
      </c>
      <c r="Z229" s="95">
        <v>0.0</v>
      </c>
      <c r="AA229" s="95">
        <v>0.0</v>
      </c>
      <c r="AB229" s="95">
        <v>0.0</v>
      </c>
      <c r="AC229" s="95">
        <v>0.0</v>
      </c>
      <c r="AD229" s="95">
        <v>0.0</v>
      </c>
      <c r="AE229" s="95">
        <v>0.0</v>
      </c>
      <c r="AF229" s="95"/>
      <c r="AG229" s="95"/>
      <c r="AH229" s="95"/>
      <c r="AI229" s="95"/>
      <c r="AJ229" s="95"/>
      <c r="AK229" s="95"/>
      <c r="AL229" s="95"/>
      <c r="AM229" s="95"/>
      <c r="AN229" s="95"/>
    </row>
    <row r="230" ht="14.25" customHeight="1">
      <c r="B230" s="507">
        <f t="shared" si="1"/>
        <v>0</v>
      </c>
      <c r="C230" s="95" t="str">
        <f t="shared" si="2"/>
        <v>コース管理費</v>
      </c>
      <c r="D230" s="95"/>
      <c r="E230" s="95" t="s">
        <v>110</v>
      </c>
      <c r="F230" s="95"/>
      <c r="G230" s="95">
        <v>0.0</v>
      </c>
      <c r="H230" s="95">
        <v>0.0</v>
      </c>
      <c r="I230" s="95">
        <v>0.0</v>
      </c>
      <c r="J230" s="95">
        <v>0.0</v>
      </c>
      <c r="K230" s="95">
        <v>0.0</v>
      </c>
      <c r="L230" s="95">
        <v>0.0</v>
      </c>
      <c r="M230" s="95">
        <v>0.0</v>
      </c>
      <c r="N230" s="95">
        <v>0.0</v>
      </c>
      <c r="O230" s="95">
        <v>0.0</v>
      </c>
      <c r="P230" s="95">
        <v>0.0</v>
      </c>
      <c r="Q230" s="95">
        <v>0.0</v>
      </c>
      <c r="R230" s="95">
        <v>0.0</v>
      </c>
      <c r="S230" s="95">
        <v>0.0</v>
      </c>
      <c r="T230" s="95">
        <v>0.0</v>
      </c>
      <c r="U230" s="95">
        <v>0.0</v>
      </c>
      <c r="V230" s="95">
        <v>0.0</v>
      </c>
      <c r="W230" s="95">
        <v>0.0</v>
      </c>
      <c r="X230" s="95">
        <v>0.0</v>
      </c>
      <c r="Y230" s="95">
        <v>0.0</v>
      </c>
      <c r="Z230" s="95">
        <v>0.0</v>
      </c>
      <c r="AA230" s="95">
        <v>0.0</v>
      </c>
      <c r="AB230" s="95">
        <v>0.0</v>
      </c>
      <c r="AC230" s="95">
        <v>0.0</v>
      </c>
      <c r="AD230" s="95">
        <v>0.0</v>
      </c>
      <c r="AE230" s="95">
        <v>0.0</v>
      </c>
      <c r="AF230" s="95"/>
      <c r="AG230" s="95"/>
      <c r="AH230" s="95"/>
      <c r="AI230" s="95"/>
      <c r="AJ230" s="95"/>
      <c r="AK230" s="95"/>
      <c r="AL230" s="95"/>
      <c r="AM230" s="95"/>
      <c r="AN230" s="95"/>
    </row>
    <row r="231" ht="14.25" customHeight="1">
      <c r="B231" s="507">
        <f t="shared" si="1"/>
        <v>0</v>
      </c>
      <c r="C231" s="95" t="str">
        <f t="shared" si="2"/>
        <v>コース管理外注費</v>
      </c>
      <c r="D231" s="95"/>
      <c r="E231" s="95"/>
      <c r="F231" s="95" t="s">
        <v>339</v>
      </c>
      <c r="G231" s="95">
        <v>0.0</v>
      </c>
      <c r="H231" s="95">
        <v>0.0</v>
      </c>
      <c r="I231" s="95">
        <v>0.0</v>
      </c>
      <c r="J231" s="95">
        <v>0.0</v>
      </c>
      <c r="K231" s="95">
        <v>0.0</v>
      </c>
      <c r="L231" s="95">
        <v>0.0</v>
      </c>
      <c r="M231" s="95">
        <v>0.0</v>
      </c>
      <c r="N231" s="95">
        <v>0.0</v>
      </c>
      <c r="O231" s="95">
        <v>0.0</v>
      </c>
      <c r="P231" s="95">
        <v>0.0</v>
      </c>
      <c r="Q231" s="95">
        <v>0.0</v>
      </c>
      <c r="R231" s="95">
        <v>0.0</v>
      </c>
      <c r="S231" s="95">
        <v>0.0</v>
      </c>
      <c r="T231" s="95">
        <v>0.0</v>
      </c>
      <c r="U231" s="95">
        <v>0.0</v>
      </c>
      <c r="V231" s="95">
        <v>0.0</v>
      </c>
      <c r="W231" s="95">
        <v>0.0</v>
      </c>
      <c r="X231" s="95">
        <v>0.0</v>
      </c>
      <c r="Y231" s="95">
        <v>0.0</v>
      </c>
      <c r="Z231" s="95">
        <v>0.0</v>
      </c>
      <c r="AA231" s="95">
        <v>0.0</v>
      </c>
      <c r="AB231" s="95">
        <v>0.0</v>
      </c>
      <c r="AC231" s="95">
        <v>0.0</v>
      </c>
      <c r="AD231" s="95">
        <v>0.0</v>
      </c>
      <c r="AE231" s="95">
        <v>0.0</v>
      </c>
      <c r="AF231" s="95"/>
      <c r="AG231" s="95"/>
      <c r="AH231" s="95"/>
      <c r="AI231" s="95"/>
      <c r="AJ231" s="95"/>
      <c r="AK231" s="95"/>
      <c r="AL231" s="95"/>
      <c r="AM231" s="95"/>
      <c r="AN231" s="95"/>
    </row>
    <row r="232" ht="14.25" customHeight="1">
      <c r="B232" s="507">
        <f t="shared" si="1"/>
        <v>0</v>
      </c>
      <c r="C232" s="95" t="str">
        <f t="shared" si="2"/>
        <v>コース管理リース料</v>
      </c>
      <c r="D232" s="95"/>
      <c r="E232" s="95"/>
      <c r="F232" s="95" t="s">
        <v>340</v>
      </c>
      <c r="G232" s="95">
        <v>0.0</v>
      </c>
      <c r="H232" s="95">
        <v>0.0</v>
      </c>
      <c r="I232" s="95">
        <v>0.0</v>
      </c>
      <c r="J232" s="95">
        <v>0.0</v>
      </c>
      <c r="K232" s="95">
        <v>0.0</v>
      </c>
      <c r="L232" s="95">
        <v>0.0</v>
      </c>
      <c r="M232" s="95">
        <v>0.0</v>
      </c>
      <c r="N232" s="95">
        <v>0.0</v>
      </c>
      <c r="O232" s="95">
        <v>0.0</v>
      </c>
      <c r="P232" s="95">
        <v>0.0</v>
      </c>
      <c r="Q232" s="95">
        <v>0.0</v>
      </c>
      <c r="R232" s="95">
        <v>0.0</v>
      </c>
      <c r="S232" s="95">
        <v>0.0</v>
      </c>
      <c r="T232" s="95">
        <v>0.0</v>
      </c>
      <c r="U232" s="95">
        <v>0.0</v>
      </c>
      <c r="V232" s="95">
        <v>0.0</v>
      </c>
      <c r="W232" s="95">
        <v>0.0</v>
      </c>
      <c r="X232" s="95">
        <v>0.0</v>
      </c>
      <c r="Y232" s="95">
        <v>0.0</v>
      </c>
      <c r="Z232" s="95">
        <v>0.0</v>
      </c>
      <c r="AA232" s="95">
        <v>0.0</v>
      </c>
      <c r="AB232" s="95">
        <v>0.0</v>
      </c>
      <c r="AC232" s="95">
        <v>0.0</v>
      </c>
      <c r="AD232" s="95">
        <v>0.0</v>
      </c>
      <c r="AE232" s="95">
        <v>0.0</v>
      </c>
      <c r="AF232" s="95"/>
      <c r="AG232" s="95"/>
      <c r="AH232" s="95"/>
      <c r="AI232" s="95"/>
      <c r="AJ232" s="95"/>
      <c r="AK232" s="95"/>
      <c r="AL232" s="95"/>
      <c r="AM232" s="95"/>
      <c r="AN232" s="95"/>
    </row>
    <row r="233" ht="14.25" customHeight="1">
      <c r="B233" s="507">
        <f t="shared" si="1"/>
        <v>0</v>
      </c>
      <c r="C233" s="95" t="str">
        <f t="shared" si="2"/>
        <v>コース管理その他資材等</v>
      </c>
      <c r="D233" s="95"/>
      <c r="E233" s="95"/>
      <c r="F233" s="95" t="s">
        <v>341</v>
      </c>
      <c r="G233" s="95">
        <v>0.0</v>
      </c>
      <c r="H233" s="95">
        <v>0.0</v>
      </c>
      <c r="I233" s="95">
        <v>0.0</v>
      </c>
      <c r="J233" s="95">
        <v>0.0</v>
      </c>
      <c r="K233" s="95">
        <v>0.0</v>
      </c>
      <c r="L233" s="95">
        <v>0.0</v>
      </c>
      <c r="M233" s="95">
        <v>0.0</v>
      </c>
      <c r="N233" s="95">
        <v>0.0</v>
      </c>
      <c r="O233" s="95">
        <v>0.0</v>
      </c>
      <c r="P233" s="95">
        <v>0.0</v>
      </c>
      <c r="Q233" s="95">
        <v>0.0</v>
      </c>
      <c r="R233" s="95">
        <v>0.0</v>
      </c>
      <c r="S233" s="95">
        <v>0.0</v>
      </c>
      <c r="T233" s="95">
        <v>0.0</v>
      </c>
      <c r="U233" s="95">
        <v>0.0</v>
      </c>
      <c r="V233" s="95">
        <v>0.0</v>
      </c>
      <c r="W233" s="95">
        <v>0.0</v>
      </c>
      <c r="X233" s="95">
        <v>0.0</v>
      </c>
      <c r="Y233" s="95">
        <v>0.0</v>
      </c>
      <c r="Z233" s="95">
        <v>0.0</v>
      </c>
      <c r="AA233" s="95">
        <v>0.0</v>
      </c>
      <c r="AB233" s="95">
        <v>0.0</v>
      </c>
      <c r="AC233" s="95">
        <v>0.0</v>
      </c>
      <c r="AD233" s="95">
        <v>0.0</v>
      </c>
      <c r="AE233" s="95">
        <v>0.0</v>
      </c>
      <c r="AF233" s="95"/>
      <c r="AG233" s="95"/>
      <c r="AH233" s="95"/>
      <c r="AI233" s="95"/>
      <c r="AJ233" s="95"/>
      <c r="AK233" s="95"/>
      <c r="AL233" s="95"/>
      <c r="AM233" s="95"/>
      <c r="AN233" s="95"/>
    </row>
    <row r="234" ht="14.25" customHeight="1">
      <c r="B234" s="507">
        <f t="shared" si="1"/>
        <v>0</v>
      </c>
      <c r="C234" s="95" t="str">
        <f t="shared" si="2"/>
        <v>補助科目なし</v>
      </c>
      <c r="D234" s="95"/>
      <c r="E234" s="95"/>
      <c r="F234" s="95" t="s">
        <v>199</v>
      </c>
      <c r="G234" s="95">
        <v>0.0</v>
      </c>
      <c r="H234" s="95">
        <v>0.0</v>
      </c>
      <c r="I234" s="95">
        <v>0.0</v>
      </c>
      <c r="J234" s="95">
        <v>0.0</v>
      </c>
      <c r="K234" s="95">
        <v>0.0</v>
      </c>
      <c r="L234" s="95">
        <v>0.0</v>
      </c>
      <c r="M234" s="95">
        <v>0.0</v>
      </c>
      <c r="N234" s="95">
        <v>0.0</v>
      </c>
      <c r="O234" s="95">
        <v>0.0</v>
      </c>
      <c r="P234" s="95">
        <v>0.0</v>
      </c>
      <c r="Q234" s="95">
        <v>0.0</v>
      </c>
      <c r="R234" s="95">
        <v>0.0</v>
      </c>
      <c r="S234" s="95">
        <v>0.0</v>
      </c>
      <c r="T234" s="95">
        <v>0.0</v>
      </c>
      <c r="U234" s="95">
        <v>0.0</v>
      </c>
      <c r="V234" s="95">
        <v>0.0</v>
      </c>
      <c r="W234" s="95">
        <v>0.0</v>
      </c>
      <c r="X234" s="95">
        <v>0.0</v>
      </c>
      <c r="Y234" s="95">
        <v>0.0</v>
      </c>
      <c r="Z234" s="95">
        <v>0.0</v>
      </c>
      <c r="AA234" s="95">
        <v>0.0</v>
      </c>
      <c r="AB234" s="95">
        <v>0.0</v>
      </c>
      <c r="AC234" s="95">
        <v>0.0</v>
      </c>
      <c r="AD234" s="95">
        <v>0.0</v>
      </c>
      <c r="AE234" s="95">
        <v>0.0</v>
      </c>
      <c r="AF234" s="95"/>
      <c r="AG234" s="95"/>
      <c r="AH234" s="95"/>
      <c r="AI234" s="95"/>
      <c r="AJ234" s="95"/>
      <c r="AK234" s="95"/>
      <c r="AL234" s="95"/>
      <c r="AM234" s="95"/>
      <c r="AN234" s="95"/>
    </row>
    <row r="235" ht="14.25" customHeight="1">
      <c r="B235" s="507">
        <f t="shared" si="1"/>
        <v>0</v>
      </c>
      <c r="C235" s="95" t="str">
        <f t="shared" si="2"/>
        <v>カート管理費</v>
      </c>
      <c r="D235" s="95"/>
      <c r="E235" s="95" t="s">
        <v>111</v>
      </c>
      <c r="F235" s="95"/>
      <c r="G235" s="95">
        <v>0.0</v>
      </c>
      <c r="H235" s="95">
        <v>0.0</v>
      </c>
      <c r="I235" s="95">
        <v>0.0</v>
      </c>
      <c r="J235" s="95">
        <v>0.0</v>
      </c>
      <c r="K235" s="95">
        <v>0.0</v>
      </c>
      <c r="L235" s="95">
        <v>0.0</v>
      </c>
      <c r="M235" s="95">
        <v>0.0</v>
      </c>
      <c r="N235" s="95">
        <v>0.0</v>
      </c>
      <c r="O235" s="95">
        <v>0.0</v>
      </c>
      <c r="P235" s="95">
        <v>0.0</v>
      </c>
      <c r="Q235" s="95">
        <v>0.0</v>
      </c>
      <c r="R235" s="95">
        <v>0.0</v>
      </c>
      <c r="S235" s="95">
        <v>0.0</v>
      </c>
      <c r="T235" s="95">
        <v>0.0</v>
      </c>
      <c r="U235" s="95">
        <v>0.0</v>
      </c>
      <c r="V235" s="95">
        <v>0.0</v>
      </c>
      <c r="W235" s="95">
        <v>0.0</v>
      </c>
      <c r="X235" s="95">
        <v>0.0</v>
      </c>
      <c r="Y235" s="95">
        <v>0.0</v>
      </c>
      <c r="Z235" s="95">
        <v>0.0</v>
      </c>
      <c r="AA235" s="95">
        <v>0.0</v>
      </c>
      <c r="AB235" s="95">
        <v>0.0</v>
      </c>
      <c r="AC235" s="95">
        <v>0.0</v>
      </c>
      <c r="AD235" s="95">
        <v>0.0</v>
      </c>
      <c r="AE235" s="95">
        <v>0.0</v>
      </c>
      <c r="AF235" s="95"/>
      <c r="AG235" s="95"/>
      <c r="AH235" s="95"/>
      <c r="AI235" s="95"/>
      <c r="AJ235" s="95"/>
      <c r="AK235" s="95"/>
      <c r="AL235" s="95"/>
      <c r="AM235" s="95"/>
      <c r="AN235" s="95"/>
    </row>
    <row r="236" ht="14.25" customHeight="1">
      <c r="B236" s="507">
        <f t="shared" si="1"/>
        <v>0</v>
      </c>
      <c r="C236" s="95" t="str">
        <f t="shared" si="2"/>
        <v>建物減価償却費</v>
      </c>
      <c r="D236" s="95"/>
      <c r="E236" s="95" t="s">
        <v>342</v>
      </c>
      <c r="F236" s="95"/>
      <c r="G236" s="95">
        <v>26069.0</v>
      </c>
      <c r="H236" s="95">
        <v>0.0</v>
      </c>
      <c r="I236" s="95">
        <v>628254.0</v>
      </c>
      <c r="J236" s="95">
        <v>2869.0</v>
      </c>
      <c r="K236" s="95">
        <v>0.0</v>
      </c>
      <c r="L236" s="95">
        <v>0.0</v>
      </c>
      <c r="M236" s="95">
        <v>657192.0</v>
      </c>
      <c r="N236" s="95">
        <v>474675.0</v>
      </c>
      <c r="O236" s="95">
        <v>257237.0</v>
      </c>
      <c r="P236" s="95">
        <v>0.0</v>
      </c>
      <c r="Q236" s="95">
        <v>0.0</v>
      </c>
      <c r="R236" s="95">
        <v>0.0</v>
      </c>
      <c r="S236" s="95">
        <v>0.0</v>
      </c>
      <c r="T236" s="95">
        <v>731912.0</v>
      </c>
      <c r="U236" s="95">
        <v>322348.0</v>
      </c>
      <c r="V236" s="95">
        <v>2356873.0</v>
      </c>
      <c r="W236" s="95">
        <v>0.0</v>
      </c>
      <c r="X236" s="95">
        <v>0.0</v>
      </c>
      <c r="Y236" s="95">
        <v>0.0</v>
      </c>
      <c r="Z236" s="95">
        <v>0.0</v>
      </c>
      <c r="AA236" s="95">
        <v>2679221.0</v>
      </c>
      <c r="AB236" s="95">
        <v>768518.0</v>
      </c>
      <c r="AC236" s="95">
        <v>0.0</v>
      </c>
      <c r="AD236" s="95">
        <v>0.0</v>
      </c>
      <c r="AE236" s="95">
        <v>768518.0</v>
      </c>
      <c r="AF236" s="95"/>
      <c r="AG236" s="95"/>
      <c r="AH236" s="95"/>
      <c r="AI236" s="95"/>
      <c r="AJ236" s="95"/>
      <c r="AK236" s="95"/>
      <c r="AL236" s="95"/>
      <c r="AM236" s="95"/>
      <c r="AN236" s="95"/>
    </row>
    <row r="237" ht="14.25" customHeight="1">
      <c r="B237" s="507">
        <f t="shared" si="1"/>
        <v>0</v>
      </c>
      <c r="C237" s="95" t="str">
        <f t="shared" si="2"/>
        <v>ゴルフ</v>
      </c>
      <c r="D237" s="95"/>
      <c r="E237" s="95"/>
      <c r="F237" s="95" t="s">
        <v>138</v>
      </c>
      <c r="G237" s="95">
        <v>0.0</v>
      </c>
      <c r="H237" s="95">
        <v>0.0</v>
      </c>
      <c r="I237" s="95">
        <v>0.0</v>
      </c>
      <c r="J237" s="95">
        <v>0.0</v>
      </c>
      <c r="K237" s="95">
        <v>0.0</v>
      </c>
      <c r="L237" s="95">
        <v>0.0</v>
      </c>
      <c r="M237" s="95">
        <v>0.0</v>
      </c>
      <c r="N237" s="95">
        <v>0.0</v>
      </c>
      <c r="O237" s="95">
        <v>0.0</v>
      </c>
      <c r="P237" s="95">
        <v>0.0</v>
      </c>
      <c r="Q237" s="95">
        <v>0.0</v>
      </c>
      <c r="R237" s="95">
        <v>0.0</v>
      </c>
      <c r="S237" s="95">
        <v>0.0</v>
      </c>
      <c r="T237" s="95">
        <v>0.0</v>
      </c>
      <c r="U237" s="95">
        <v>0.0</v>
      </c>
      <c r="V237" s="95">
        <v>0.0</v>
      </c>
      <c r="W237" s="95">
        <v>0.0</v>
      </c>
      <c r="X237" s="95">
        <v>0.0</v>
      </c>
      <c r="Y237" s="95">
        <v>0.0</v>
      </c>
      <c r="Z237" s="95">
        <v>0.0</v>
      </c>
      <c r="AA237" s="95">
        <v>0.0</v>
      </c>
      <c r="AB237" s="95">
        <v>0.0</v>
      </c>
      <c r="AC237" s="95">
        <v>0.0</v>
      </c>
      <c r="AD237" s="95">
        <v>0.0</v>
      </c>
      <c r="AE237" s="95">
        <v>0.0</v>
      </c>
      <c r="AF237" s="95"/>
      <c r="AG237" s="95"/>
      <c r="AH237" s="95"/>
      <c r="AI237" s="95"/>
      <c r="AJ237" s="95"/>
      <c r="AK237" s="95"/>
      <c r="AL237" s="95"/>
      <c r="AM237" s="95"/>
      <c r="AN237" s="95"/>
    </row>
    <row r="238" ht="14.25" customHeight="1">
      <c r="B238" s="507">
        <f t="shared" si="1"/>
        <v>0</v>
      </c>
      <c r="C238" s="95" t="str">
        <f t="shared" si="2"/>
        <v>旅館</v>
      </c>
      <c r="D238" s="95"/>
      <c r="E238" s="95"/>
      <c r="F238" s="95" t="s">
        <v>343</v>
      </c>
      <c r="G238" s="95">
        <v>26069.0</v>
      </c>
      <c r="H238" s="95">
        <v>0.0</v>
      </c>
      <c r="I238" s="95">
        <v>628254.0</v>
      </c>
      <c r="J238" s="95">
        <v>2869.0</v>
      </c>
      <c r="K238" s="95">
        <v>0.0</v>
      </c>
      <c r="L238" s="95">
        <v>0.0</v>
      </c>
      <c r="M238" s="95">
        <v>657192.0</v>
      </c>
      <c r="N238" s="95">
        <v>474675.0</v>
      </c>
      <c r="O238" s="95">
        <v>257237.0</v>
      </c>
      <c r="P238" s="95">
        <v>0.0</v>
      </c>
      <c r="Q238" s="95">
        <v>0.0</v>
      </c>
      <c r="R238" s="95">
        <v>0.0</v>
      </c>
      <c r="S238" s="95">
        <v>0.0</v>
      </c>
      <c r="T238" s="95">
        <v>731912.0</v>
      </c>
      <c r="U238" s="95">
        <v>322348.0</v>
      </c>
      <c r="V238" s="95">
        <v>2356873.0</v>
      </c>
      <c r="W238" s="95">
        <v>0.0</v>
      </c>
      <c r="X238" s="95">
        <v>0.0</v>
      </c>
      <c r="Y238" s="95">
        <v>0.0</v>
      </c>
      <c r="Z238" s="95">
        <v>0.0</v>
      </c>
      <c r="AA238" s="95">
        <v>2679221.0</v>
      </c>
      <c r="AB238" s="95">
        <v>768518.0</v>
      </c>
      <c r="AC238" s="95">
        <v>0.0</v>
      </c>
      <c r="AD238" s="95">
        <v>0.0</v>
      </c>
      <c r="AE238" s="95">
        <v>768518.0</v>
      </c>
      <c r="AF238" s="95"/>
      <c r="AG238" s="95"/>
      <c r="AH238" s="95"/>
      <c r="AI238" s="95"/>
      <c r="AJ238" s="95"/>
      <c r="AK238" s="95"/>
      <c r="AL238" s="95"/>
      <c r="AM238" s="95"/>
      <c r="AN238" s="95"/>
    </row>
    <row r="239" ht="14.25" customHeight="1">
      <c r="B239" s="507">
        <f t="shared" si="1"/>
        <v>0</v>
      </c>
      <c r="C239" s="95" t="str">
        <f t="shared" si="2"/>
        <v>建物付属設備減価償却費</v>
      </c>
      <c r="D239" s="95"/>
      <c r="E239" s="95" t="s">
        <v>344</v>
      </c>
      <c r="F239" s="95"/>
      <c r="G239" s="95">
        <v>6471.0</v>
      </c>
      <c r="H239" s="95">
        <v>0.0</v>
      </c>
      <c r="I239" s="95">
        <v>107232.0</v>
      </c>
      <c r="J239" s="95">
        <v>60333.0</v>
      </c>
      <c r="K239" s="95">
        <v>0.0</v>
      </c>
      <c r="L239" s="95">
        <v>0.0</v>
      </c>
      <c r="M239" s="95">
        <v>174036.0</v>
      </c>
      <c r="N239" s="95">
        <v>258273.0</v>
      </c>
      <c r="O239" s="95">
        <v>6317.0</v>
      </c>
      <c r="P239" s="95">
        <v>0.0</v>
      </c>
      <c r="Q239" s="95">
        <v>0.0</v>
      </c>
      <c r="R239" s="95">
        <v>0.0</v>
      </c>
      <c r="S239" s="95">
        <v>0.0</v>
      </c>
      <c r="T239" s="95">
        <v>264590.0</v>
      </c>
      <c r="U239" s="95">
        <v>250159.0</v>
      </c>
      <c r="V239" s="95">
        <v>2530717.0</v>
      </c>
      <c r="W239" s="95">
        <v>34336.0</v>
      </c>
      <c r="X239" s="95">
        <v>0.0</v>
      </c>
      <c r="Y239" s="95">
        <v>0.0</v>
      </c>
      <c r="Z239" s="95">
        <v>0.0</v>
      </c>
      <c r="AA239" s="95">
        <v>2815212.0</v>
      </c>
      <c r="AB239" s="95">
        <v>575128.0</v>
      </c>
      <c r="AC239" s="95">
        <v>0.0</v>
      </c>
      <c r="AD239" s="95">
        <v>0.0</v>
      </c>
      <c r="AE239" s="95">
        <v>575128.0</v>
      </c>
      <c r="AF239" s="95"/>
      <c r="AG239" s="95"/>
      <c r="AH239" s="95"/>
      <c r="AI239" s="95"/>
      <c r="AJ239" s="95"/>
      <c r="AK239" s="95"/>
      <c r="AL239" s="95"/>
      <c r="AM239" s="95"/>
      <c r="AN239" s="95"/>
    </row>
    <row r="240" ht="14.25" customHeight="1">
      <c r="B240" s="507">
        <f t="shared" si="1"/>
        <v>0</v>
      </c>
      <c r="C240" s="95" t="str">
        <f t="shared" si="2"/>
        <v>ゴルフ</v>
      </c>
      <c r="D240" s="95"/>
      <c r="E240" s="95"/>
      <c r="F240" s="95" t="s">
        <v>138</v>
      </c>
      <c r="G240" s="95">
        <v>0.0</v>
      </c>
      <c r="H240" s="95">
        <v>0.0</v>
      </c>
      <c r="I240" s="95">
        <v>0.0</v>
      </c>
      <c r="J240" s="95">
        <v>0.0</v>
      </c>
      <c r="K240" s="95">
        <v>0.0</v>
      </c>
      <c r="L240" s="95">
        <v>0.0</v>
      </c>
      <c r="M240" s="95">
        <v>0.0</v>
      </c>
      <c r="N240" s="95">
        <v>0.0</v>
      </c>
      <c r="O240" s="95">
        <v>0.0</v>
      </c>
      <c r="P240" s="95">
        <v>0.0</v>
      </c>
      <c r="Q240" s="95">
        <v>0.0</v>
      </c>
      <c r="R240" s="95">
        <v>0.0</v>
      </c>
      <c r="S240" s="95">
        <v>0.0</v>
      </c>
      <c r="T240" s="95">
        <v>0.0</v>
      </c>
      <c r="U240" s="95">
        <v>0.0</v>
      </c>
      <c r="V240" s="95">
        <v>0.0</v>
      </c>
      <c r="W240" s="95">
        <v>0.0</v>
      </c>
      <c r="X240" s="95">
        <v>0.0</v>
      </c>
      <c r="Y240" s="95">
        <v>0.0</v>
      </c>
      <c r="Z240" s="95">
        <v>0.0</v>
      </c>
      <c r="AA240" s="95">
        <v>0.0</v>
      </c>
      <c r="AB240" s="95">
        <v>0.0</v>
      </c>
      <c r="AC240" s="95">
        <v>0.0</v>
      </c>
      <c r="AD240" s="95">
        <v>0.0</v>
      </c>
      <c r="AE240" s="95">
        <v>0.0</v>
      </c>
      <c r="AF240" s="95"/>
      <c r="AG240" s="95"/>
      <c r="AH240" s="95"/>
      <c r="AI240" s="95"/>
      <c r="AJ240" s="95"/>
      <c r="AK240" s="95"/>
      <c r="AL240" s="95"/>
      <c r="AM240" s="95"/>
      <c r="AN240" s="95"/>
    </row>
    <row r="241" ht="14.25" customHeight="1">
      <c r="B241" s="507">
        <f t="shared" si="1"/>
        <v>0</v>
      </c>
      <c r="C241" s="95" t="str">
        <f t="shared" si="2"/>
        <v>旅館</v>
      </c>
      <c r="D241" s="95"/>
      <c r="E241" s="95"/>
      <c r="F241" s="95" t="s">
        <v>343</v>
      </c>
      <c r="G241" s="95">
        <v>6471.0</v>
      </c>
      <c r="H241" s="95">
        <v>0.0</v>
      </c>
      <c r="I241" s="95">
        <v>107232.0</v>
      </c>
      <c r="J241" s="95">
        <v>60333.0</v>
      </c>
      <c r="K241" s="95">
        <v>0.0</v>
      </c>
      <c r="L241" s="95">
        <v>0.0</v>
      </c>
      <c r="M241" s="95">
        <v>174036.0</v>
      </c>
      <c r="N241" s="95">
        <v>258273.0</v>
      </c>
      <c r="O241" s="95">
        <v>6317.0</v>
      </c>
      <c r="P241" s="95">
        <v>0.0</v>
      </c>
      <c r="Q241" s="95">
        <v>0.0</v>
      </c>
      <c r="R241" s="95">
        <v>0.0</v>
      </c>
      <c r="S241" s="95">
        <v>0.0</v>
      </c>
      <c r="T241" s="95">
        <v>264590.0</v>
      </c>
      <c r="U241" s="95">
        <v>250159.0</v>
      </c>
      <c r="V241" s="95">
        <v>2530717.0</v>
      </c>
      <c r="W241" s="95">
        <v>34336.0</v>
      </c>
      <c r="X241" s="95">
        <v>0.0</v>
      </c>
      <c r="Y241" s="95">
        <v>0.0</v>
      </c>
      <c r="Z241" s="95">
        <v>0.0</v>
      </c>
      <c r="AA241" s="95">
        <v>2815212.0</v>
      </c>
      <c r="AB241" s="95">
        <v>575128.0</v>
      </c>
      <c r="AC241" s="95">
        <v>0.0</v>
      </c>
      <c r="AD241" s="95">
        <v>0.0</v>
      </c>
      <c r="AE241" s="95">
        <v>575128.0</v>
      </c>
      <c r="AF241" s="95"/>
      <c r="AG241" s="95"/>
      <c r="AH241" s="95"/>
      <c r="AI241" s="95"/>
      <c r="AJ241" s="95"/>
      <c r="AK241" s="95"/>
      <c r="AL241" s="95"/>
      <c r="AM241" s="95"/>
      <c r="AN241" s="95"/>
    </row>
    <row r="242" ht="14.25" customHeight="1">
      <c r="B242" s="507">
        <f t="shared" si="1"/>
        <v>0</v>
      </c>
      <c r="C242" s="95" t="str">
        <f t="shared" si="2"/>
        <v>構築物減価償却費</v>
      </c>
      <c r="D242" s="95"/>
      <c r="E242" s="95" t="s">
        <v>345</v>
      </c>
      <c r="F242" s="95"/>
      <c r="G242" s="95">
        <v>121940.0</v>
      </c>
      <c r="H242" s="95">
        <v>0.0</v>
      </c>
      <c r="I242" s="95">
        <v>341198.0</v>
      </c>
      <c r="J242" s="95">
        <v>22204.0</v>
      </c>
      <c r="K242" s="95">
        <v>0.0</v>
      </c>
      <c r="L242" s="95">
        <v>0.0</v>
      </c>
      <c r="M242" s="95">
        <v>485342.0</v>
      </c>
      <c r="N242" s="95">
        <v>3566.0</v>
      </c>
      <c r="O242" s="95">
        <v>470.0</v>
      </c>
      <c r="P242" s="95">
        <v>0.0</v>
      </c>
      <c r="Q242" s="95">
        <v>0.0</v>
      </c>
      <c r="R242" s="95">
        <v>0.0</v>
      </c>
      <c r="S242" s="95">
        <v>0.0</v>
      </c>
      <c r="T242" s="95">
        <v>4036.0</v>
      </c>
      <c r="U242" s="95">
        <v>91671.0</v>
      </c>
      <c r="V242" s="95">
        <v>428378.0</v>
      </c>
      <c r="W242" s="95">
        <v>0.0</v>
      </c>
      <c r="X242" s="95">
        <v>0.0</v>
      </c>
      <c r="Y242" s="95">
        <v>0.0</v>
      </c>
      <c r="Z242" s="95">
        <v>0.0</v>
      </c>
      <c r="AA242" s="95">
        <v>520049.0</v>
      </c>
      <c r="AB242" s="95">
        <v>129368.0</v>
      </c>
      <c r="AC242" s="95">
        <v>0.0</v>
      </c>
      <c r="AD242" s="95">
        <v>0.0</v>
      </c>
      <c r="AE242" s="95">
        <v>129368.0</v>
      </c>
      <c r="AF242" s="95"/>
      <c r="AG242" s="95"/>
      <c r="AH242" s="95"/>
      <c r="AI242" s="95"/>
      <c r="AJ242" s="95"/>
      <c r="AK242" s="95"/>
      <c r="AL242" s="95"/>
      <c r="AM242" s="95"/>
      <c r="AN242" s="95"/>
    </row>
    <row r="243" ht="14.25" customHeight="1">
      <c r="B243" s="507">
        <f t="shared" si="1"/>
        <v>0</v>
      </c>
      <c r="C243" s="95" t="str">
        <f t="shared" si="2"/>
        <v>ゴルフ</v>
      </c>
      <c r="D243" s="95"/>
      <c r="E243" s="95"/>
      <c r="F243" s="95" t="s">
        <v>138</v>
      </c>
      <c r="G243" s="95">
        <v>0.0</v>
      </c>
      <c r="H243" s="95">
        <v>0.0</v>
      </c>
      <c r="I243" s="95">
        <v>0.0</v>
      </c>
      <c r="J243" s="95">
        <v>0.0</v>
      </c>
      <c r="K243" s="95">
        <v>0.0</v>
      </c>
      <c r="L243" s="95">
        <v>0.0</v>
      </c>
      <c r="M243" s="95">
        <v>0.0</v>
      </c>
      <c r="N243" s="95">
        <v>0.0</v>
      </c>
      <c r="O243" s="95">
        <v>0.0</v>
      </c>
      <c r="P243" s="95">
        <v>0.0</v>
      </c>
      <c r="Q243" s="95">
        <v>0.0</v>
      </c>
      <c r="R243" s="95">
        <v>0.0</v>
      </c>
      <c r="S243" s="95">
        <v>0.0</v>
      </c>
      <c r="T243" s="95">
        <v>0.0</v>
      </c>
      <c r="U243" s="95">
        <v>0.0</v>
      </c>
      <c r="V243" s="95">
        <v>0.0</v>
      </c>
      <c r="W243" s="95">
        <v>0.0</v>
      </c>
      <c r="X243" s="95">
        <v>0.0</v>
      </c>
      <c r="Y243" s="95">
        <v>0.0</v>
      </c>
      <c r="Z243" s="95">
        <v>0.0</v>
      </c>
      <c r="AA243" s="95">
        <v>0.0</v>
      </c>
      <c r="AB243" s="95">
        <v>0.0</v>
      </c>
      <c r="AC243" s="95">
        <v>0.0</v>
      </c>
      <c r="AD243" s="95">
        <v>0.0</v>
      </c>
      <c r="AE243" s="95">
        <v>0.0</v>
      </c>
      <c r="AF243" s="95"/>
      <c r="AG243" s="95"/>
      <c r="AH243" s="95"/>
      <c r="AI243" s="95"/>
      <c r="AJ243" s="95"/>
      <c r="AK243" s="95"/>
      <c r="AL243" s="95"/>
      <c r="AM243" s="95"/>
      <c r="AN243" s="95"/>
    </row>
    <row r="244" ht="14.25" customHeight="1">
      <c r="B244" s="507">
        <f t="shared" si="1"/>
        <v>0</v>
      </c>
      <c r="C244" s="95" t="str">
        <f t="shared" si="2"/>
        <v>旅館</v>
      </c>
      <c r="D244" s="95"/>
      <c r="E244" s="95"/>
      <c r="F244" s="95" t="s">
        <v>343</v>
      </c>
      <c r="G244" s="95">
        <v>121940.0</v>
      </c>
      <c r="H244" s="95">
        <v>0.0</v>
      </c>
      <c r="I244" s="95">
        <v>341198.0</v>
      </c>
      <c r="J244" s="95">
        <v>22204.0</v>
      </c>
      <c r="K244" s="95">
        <v>0.0</v>
      </c>
      <c r="L244" s="95">
        <v>0.0</v>
      </c>
      <c r="M244" s="95">
        <v>485342.0</v>
      </c>
      <c r="N244" s="95">
        <v>3566.0</v>
      </c>
      <c r="O244" s="95">
        <v>470.0</v>
      </c>
      <c r="P244" s="95">
        <v>0.0</v>
      </c>
      <c r="Q244" s="95">
        <v>0.0</v>
      </c>
      <c r="R244" s="95">
        <v>0.0</v>
      </c>
      <c r="S244" s="95">
        <v>0.0</v>
      </c>
      <c r="T244" s="95">
        <v>4036.0</v>
      </c>
      <c r="U244" s="95">
        <v>91671.0</v>
      </c>
      <c r="V244" s="95">
        <v>428378.0</v>
      </c>
      <c r="W244" s="95">
        <v>0.0</v>
      </c>
      <c r="X244" s="95">
        <v>0.0</v>
      </c>
      <c r="Y244" s="95">
        <v>0.0</v>
      </c>
      <c r="Z244" s="95">
        <v>0.0</v>
      </c>
      <c r="AA244" s="95">
        <v>520049.0</v>
      </c>
      <c r="AB244" s="95">
        <v>129368.0</v>
      </c>
      <c r="AC244" s="95">
        <v>0.0</v>
      </c>
      <c r="AD244" s="95">
        <v>0.0</v>
      </c>
      <c r="AE244" s="95">
        <v>129368.0</v>
      </c>
      <c r="AF244" s="95"/>
      <c r="AG244" s="95"/>
      <c r="AH244" s="95"/>
      <c r="AI244" s="95"/>
      <c r="AJ244" s="95"/>
      <c r="AK244" s="95"/>
      <c r="AL244" s="95"/>
      <c r="AM244" s="95"/>
      <c r="AN244" s="95"/>
    </row>
    <row r="245" ht="14.25" customHeight="1">
      <c r="B245" s="507">
        <f t="shared" si="1"/>
        <v>0</v>
      </c>
      <c r="C245" s="95" t="str">
        <f t="shared" si="2"/>
        <v>機械装置減価償却費</v>
      </c>
      <c r="D245" s="95"/>
      <c r="E245" s="95" t="s">
        <v>346</v>
      </c>
      <c r="F245" s="95"/>
      <c r="G245" s="95">
        <v>111112.0</v>
      </c>
      <c r="H245" s="95">
        <v>0.0</v>
      </c>
      <c r="I245" s="95">
        <v>61342.0</v>
      </c>
      <c r="J245" s="95">
        <v>20484.0</v>
      </c>
      <c r="K245" s="95">
        <v>0.0</v>
      </c>
      <c r="L245" s="95">
        <v>0.0</v>
      </c>
      <c r="M245" s="95">
        <v>192938.0</v>
      </c>
      <c r="N245" s="95">
        <v>2335.0</v>
      </c>
      <c r="O245" s="95">
        <v>650.0</v>
      </c>
      <c r="P245" s="95">
        <v>0.0</v>
      </c>
      <c r="Q245" s="95">
        <v>0.0</v>
      </c>
      <c r="R245" s="95">
        <v>0.0</v>
      </c>
      <c r="S245" s="95">
        <v>0.0</v>
      </c>
      <c r="T245" s="95">
        <v>2985.0</v>
      </c>
      <c r="U245" s="95">
        <v>0.0</v>
      </c>
      <c r="V245" s="95">
        <v>11273.0</v>
      </c>
      <c r="W245" s="95">
        <v>55842.0</v>
      </c>
      <c r="X245" s="95">
        <v>0.0</v>
      </c>
      <c r="Y245" s="95">
        <v>0.0</v>
      </c>
      <c r="Z245" s="95">
        <v>0.0</v>
      </c>
      <c r="AA245" s="95">
        <v>67115.0</v>
      </c>
      <c r="AB245" s="95">
        <v>0.0</v>
      </c>
      <c r="AC245" s="95">
        <v>0.0</v>
      </c>
      <c r="AD245" s="95">
        <v>0.0</v>
      </c>
      <c r="AE245" s="95">
        <v>0.0</v>
      </c>
      <c r="AF245" s="95"/>
      <c r="AG245" s="95"/>
      <c r="AH245" s="95"/>
      <c r="AI245" s="95"/>
      <c r="AJ245" s="95"/>
      <c r="AK245" s="95"/>
      <c r="AL245" s="95"/>
      <c r="AM245" s="95"/>
      <c r="AN245" s="95"/>
    </row>
    <row r="246" ht="14.25" customHeight="1">
      <c r="B246" s="507">
        <f t="shared" si="1"/>
        <v>0</v>
      </c>
      <c r="C246" s="95" t="str">
        <f t="shared" si="2"/>
        <v>ゴルフ</v>
      </c>
      <c r="D246" s="95"/>
      <c r="E246" s="95"/>
      <c r="F246" s="95" t="s">
        <v>138</v>
      </c>
      <c r="G246" s="95">
        <v>0.0</v>
      </c>
      <c r="H246" s="95">
        <v>0.0</v>
      </c>
      <c r="I246" s="95">
        <v>0.0</v>
      </c>
      <c r="J246" s="95">
        <v>0.0</v>
      </c>
      <c r="K246" s="95">
        <v>0.0</v>
      </c>
      <c r="L246" s="95">
        <v>0.0</v>
      </c>
      <c r="M246" s="95">
        <v>0.0</v>
      </c>
      <c r="N246" s="95">
        <v>0.0</v>
      </c>
      <c r="O246" s="95">
        <v>0.0</v>
      </c>
      <c r="P246" s="95">
        <v>0.0</v>
      </c>
      <c r="Q246" s="95">
        <v>0.0</v>
      </c>
      <c r="R246" s="95">
        <v>0.0</v>
      </c>
      <c r="S246" s="95">
        <v>0.0</v>
      </c>
      <c r="T246" s="95">
        <v>0.0</v>
      </c>
      <c r="U246" s="95">
        <v>0.0</v>
      </c>
      <c r="V246" s="95">
        <v>0.0</v>
      </c>
      <c r="W246" s="95">
        <v>0.0</v>
      </c>
      <c r="X246" s="95">
        <v>0.0</v>
      </c>
      <c r="Y246" s="95">
        <v>0.0</v>
      </c>
      <c r="Z246" s="95">
        <v>0.0</v>
      </c>
      <c r="AA246" s="95">
        <v>0.0</v>
      </c>
      <c r="AB246" s="95">
        <v>0.0</v>
      </c>
      <c r="AC246" s="95">
        <v>0.0</v>
      </c>
      <c r="AD246" s="95">
        <v>0.0</v>
      </c>
      <c r="AE246" s="95">
        <v>0.0</v>
      </c>
      <c r="AF246" s="95"/>
      <c r="AG246" s="95"/>
      <c r="AH246" s="95"/>
      <c r="AI246" s="95"/>
      <c r="AJ246" s="95"/>
      <c r="AK246" s="95"/>
      <c r="AL246" s="95"/>
      <c r="AM246" s="95"/>
      <c r="AN246" s="95"/>
    </row>
    <row r="247" ht="14.25" customHeight="1">
      <c r="B247" s="507">
        <f t="shared" si="1"/>
        <v>0</v>
      </c>
      <c r="C247" s="95" t="str">
        <f t="shared" si="2"/>
        <v>旅館</v>
      </c>
      <c r="D247" s="95"/>
      <c r="E247" s="95"/>
      <c r="F247" s="95" t="s">
        <v>343</v>
      </c>
      <c r="G247" s="95">
        <v>111112.0</v>
      </c>
      <c r="H247" s="95">
        <v>0.0</v>
      </c>
      <c r="I247" s="95">
        <v>61342.0</v>
      </c>
      <c r="J247" s="95">
        <v>20484.0</v>
      </c>
      <c r="K247" s="95">
        <v>0.0</v>
      </c>
      <c r="L247" s="95">
        <v>0.0</v>
      </c>
      <c r="M247" s="95">
        <v>192938.0</v>
      </c>
      <c r="N247" s="95">
        <v>2335.0</v>
      </c>
      <c r="O247" s="95">
        <v>650.0</v>
      </c>
      <c r="P247" s="95">
        <v>0.0</v>
      </c>
      <c r="Q247" s="95">
        <v>0.0</v>
      </c>
      <c r="R247" s="95">
        <v>0.0</v>
      </c>
      <c r="S247" s="95">
        <v>0.0</v>
      </c>
      <c r="T247" s="95">
        <v>2985.0</v>
      </c>
      <c r="U247" s="95">
        <v>0.0</v>
      </c>
      <c r="V247" s="95">
        <v>11273.0</v>
      </c>
      <c r="W247" s="95">
        <v>55842.0</v>
      </c>
      <c r="X247" s="95">
        <v>0.0</v>
      </c>
      <c r="Y247" s="95">
        <v>0.0</v>
      </c>
      <c r="Z247" s="95">
        <v>0.0</v>
      </c>
      <c r="AA247" s="95">
        <v>67115.0</v>
      </c>
      <c r="AB247" s="95">
        <v>0.0</v>
      </c>
      <c r="AC247" s="95">
        <v>0.0</v>
      </c>
      <c r="AD247" s="95">
        <v>0.0</v>
      </c>
      <c r="AE247" s="95">
        <v>0.0</v>
      </c>
      <c r="AF247" s="95"/>
      <c r="AG247" s="95"/>
      <c r="AH247" s="95"/>
      <c r="AI247" s="95"/>
      <c r="AJ247" s="95"/>
      <c r="AK247" s="95"/>
      <c r="AL247" s="95"/>
      <c r="AM247" s="95"/>
      <c r="AN247" s="95"/>
    </row>
    <row r="248" ht="14.25" customHeight="1">
      <c r="B248" s="507">
        <f t="shared" si="1"/>
        <v>0</v>
      </c>
      <c r="C248" s="95" t="str">
        <f t="shared" si="2"/>
        <v>車両運搬具減価償却費</v>
      </c>
      <c r="D248" s="95"/>
      <c r="E248" s="95" t="s">
        <v>347</v>
      </c>
      <c r="F248" s="95"/>
      <c r="G248" s="95">
        <v>0.0</v>
      </c>
      <c r="H248" s="95">
        <v>0.0</v>
      </c>
      <c r="I248" s="95">
        <v>0.0</v>
      </c>
      <c r="J248" s="95">
        <v>0.0</v>
      </c>
      <c r="K248" s="95">
        <v>0.0</v>
      </c>
      <c r="L248" s="95">
        <v>0.0</v>
      </c>
      <c r="M248" s="95">
        <v>0.0</v>
      </c>
      <c r="N248" s="95">
        <v>0.0</v>
      </c>
      <c r="O248" s="95">
        <v>0.0</v>
      </c>
      <c r="P248" s="95">
        <v>0.0</v>
      </c>
      <c r="Q248" s="95">
        <v>0.0</v>
      </c>
      <c r="R248" s="95">
        <v>0.0</v>
      </c>
      <c r="S248" s="95">
        <v>0.0</v>
      </c>
      <c r="T248" s="95">
        <v>0.0</v>
      </c>
      <c r="U248" s="95">
        <v>0.0</v>
      </c>
      <c r="V248" s="95">
        <v>0.0</v>
      </c>
      <c r="W248" s="95">
        <v>0.0</v>
      </c>
      <c r="X248" s="95">
        <v>0.0</v>
      </c>
      <c r="Y248" s="95">
        <v>0.0</v>
      </c>
      <c r="Z248" s="95">
        <v>0.0</v>
      </c>
      <c r="AA248" s="95">
        <v>0.0</v>
      </c>
      <c r="AB248" s="95">
        <v>122289.0</v>
      </c>
      <c r="AC248" s="95">
        <v>0.0</v>
      </c>
      <c r="AD248" s="95">
        <v>0.0</v>
      </c>
      <c r="AE248" s="95">
        <v>122289.0</v>
      </c>
      <c r="AF248" s="95"/>
      <c r="AG248" s="95"/>
      <c r="AH248" s="95"/>
      <c r="AI248" s="95"/>
      <c r="AJ248" s="95"/>
      <c r="AK248" s="95"/>
      <c r="AL248" s="95"/>
      <c r="AM248" s="95"/>
      <c r="AN248" s="95"/>
    </row>
    <row r="249" ht="14.25" customHeight="1">
      <c r="B249" s="507">
        <f t="shared" si="1"/>
        <v>0</v>
      </c>
      <c r="C249" s="95" t="str">
        <f t="shared" si="2"/>
        <v>ゴルフ</v>
      </c>
      <c r="D249" s="95"/>
      <c r="E249" s="95"/>
      <c r="F249" s="95" t="s">
        <v>138</v>
      </c>
      <c r="G249" s="95">
        <v>0.0</v>
      </c>
      <c r="H249" s="95">
        <v>0.0</v>
      </c>
      <c r="I249" s="95">
        <v>0.0</v>
      </c>
      <c r="J249" s="95">
        <v>0.0</v>
      </c>
      <c r="K249" s="95">
        <v>0.0</v>
      </c>
      <c r="L249" s="95">
        <v>0.0</v>
      </c>
      <c r="M249" s="95">
        <v>0.0</v>
      </c>
      <c r="N249" s="95">
        <v>0.0</v>
      </c>
      <c r="O249" s="95">
        <v>0.0</v>
      </c>
      <c r="P249" s="95">
        <v>0.0</v>
      </c>
      <c r="Q249" s="95">
        <v>0.0</v>
      </c>
      <c r="R249" s="95">
        <v>0.0</v>
      </c>
      <c r="S249" s="95">
        <v>0.0</v>
      </c>
      <c r="T249" s="95">
        <v>0.0</v>
      </c>
      <c r="U249" s="95">
        <v>0.0</v>
      </c>
      <c r="V249" s="95">
        <v>0.0</v>
      </c>
      <c r="W249" s="95">
        <v>0.0</v>
      </c>
      <c r="X249" s="95">
        <v>0.0</v>
      </c>
      <c r="Y249" s="95">
        <v>0.0</v>
      </c>
      <c r="Z249" s="95">
        <v>0.0</v>
      </c>
      <c r="AA249" s="95">
        <v>0.0</v>
      </c>
      <c r="AB249" s="95">
        <v>0.0</v>
      </c>
      <c r="AC249" s="95">
        <v>0.0</v>
      </c>
      <c r="AD249" s="95">
        <v>0.0</v>
      </c>
      <c r="AE249" s="95">
        <v>0.0</v>
      </c>
      <c r="AF249" s="95"/>
      <c r="AG249" s="95"/>
      <c r="AH249" s="95"/>
      <c r="AI249" s="95"/>
      <c r="AJ249" s="95"/>
      <c r="AK249" s="95"/>
      <c r="AL249" s="95"/>
      <c r="AM249" s="95"/>
      <c r="AN249" s="95"/>
    </row>
    <row r="250" ht="14.25" customHeight="1">
      <c r="B250" s="507">
        <f t="shared" si="1"/>
        <v>0</v>
      </c>
      <c r="C250" s="95" t="str">
        <f t="shared" si="2"/>
        <v>補助科目なし</v>
      </c>
      <c r="D250" s="95"/>
      <c r="E250" s="95"/>
      <c r="F250" s="95" t="s">
        <v>199</v>
      </c>
      <c r="G250" s="95">
        <v>0.0</v>
      </c>
      <c r="H250" s="95">
        <v>0.0</v>
      </c>
      <c r="I250" s="95">
        <v>0.0</v>
      </c>
      <c r="J250" s="95">
        <v>0.0</v>
      </c>
      <c r="K250" s="95">
        <v>0.0</v>
      </c>
      <c r="L250" s="95">
        <v>0.0</v>
      </c>
      <c r="M250" s="95">
        <v>0.0</v>
      </c>
      <c r="N250" s="95">
        <v>0.0</v>
      </c>
      <c r="O250" s="95">
        <v>0.0</v>
      </c>
      <c r="P250" s="95">
        <v>0.0</v>
      </c>
      <c r="Q250" s="95">
        <v>0.0</v>
      </c>
      <c r="R250" s="95">
        <v>0.0</v>
      </c>
      <c r="S250" s="95">
        <v>0.0</v>
      </c>
      <c r="T250" s="95">
        <v>0.0</v>
      </c>
      <c r="U250" s="95">
        <v>0.0</v>
      </c>
      <c r="V250" s="95">
        <v>0.0</v>
      </c>
      <c r="W250" s="95">
        <v>0.0</v>
      </c>
      <c r="X250" s="95">
        <v>0.0</v>
      </c>
      <c r="Y250" s="95">
        <v>0.0</v>
      </c>
      <c r="Z250" s="95">
        <v>0.0</v>
      </c>
      <c r="AA250" s="95">
        <v>0.0</v>
      </c>
      <c r="AB250" s="95">
        <v>122289.0</v>
      </c>
      <c r="AC250" s="95">
        <v>0.0</v>
      </c>
      <c r="AD250" s="95">
        <v>0.0</v>
      </c>
      <c r="AE250" s="95">
        <v>122289.0</v>
      </c>
      <c r="AF250" s="95"/>
      <c r="AG250" s="95"/>
      <c r="AH250" s="95"/>
      <c r="AI250" s="95"/>
      <c r="AJ250" s="95"/>
      <c r="AK250" s="95"/>
      <c r="AL250" s="95"/>
      <c r="AM250" s="95"/>
      <c r="AN250" s="95"/>
    </row>
    <row r="251" ht="14.25" customHeight="1">
      <c r="B251" s="507">
        <f t="shared" si="1"/>
        <v>0</v>
      </c>
      <c r="C251" s="95" t="str">
        <f t="shared" si="2"/>
        <v>工具器具備品減価償却費</v>
      </c>
      <c r="D251" s="95"/>
      <c r="E251" s="95" t="s">
        <v>348</v>
      </c>
      <c r="F251" s="95"/>
      <c r="G251" s="95">
        <v>0.0</v>
      </c>
      <c r="H251" s="95">
        <v>10200.0</v>
      </c>
      <c r="I251" s="95">
        <v>9394.0</v>
      </c>
      <c r="J251" s="95">
        <v>10400.0</v>
      </c>
      <c r="K251" s="95">
        <v>0.0</v>
      </c>
      <c r="L251" s="95">
        <v>0.0</v>
      </c>
      <c r="M251" s="95">
        <v>29994.0</v>
      </c>
      <c r="N251" s="95">
        <v>0.0</v>
      </c>
      <c r="O251" s="95">
        <v>2932.0</v>
      </c>
      <c r="P251" s="95">
        <v>0.0</v>
      </c>
      <c r="Q251" s="95">
        <v>0.0</v>
      </c>
      <c r="R251" s="95">
        <v>0.0</v>
      </c>
      <c r="S251" s="95">
        <v>0.0</v>
      </c>
      <c r="T251" s="95">
        <v>2932.0</v>
      </c>
      <c r="U251" s="95">
        <v>15088.0</v>
      </c>
      <c r="V251" s="95">
        <v>39917.0</v>
      </c>
      <c r="W251" s="95">
        <v>3919.0</v>
      </c>
      <c r="X251" s="95">
        <v>0.0</v>
      </c>
      <c r="Y251" s="95">
        <v>0.0</v>
      </c>
      <c r="Z251" s="95">
        <v>0.0</v>
      </c>
      <c r="AA251" s="95">
        <v>58924.0</v>
      </c>
      <c r="AB251" s="95">
        <v>2088.0</v>
      </c>
      <c r="AC251" s="95">
        <v>0.0</v>
      </c>
      <c r="AD251" s="95">
        <v>0.0</v>
      </c>
      <c r="AE251" s="95">
        <v>2088.0</v>
      </c>
      <c r="AF251" s="95"/>
      <c r="AG251" s="95"/>
      <c r="AH251" s="95"/>
      <c r="AI251" s="95"/>
      <c r="AJ251" s="95"/>
      <c r="AK251" s="95"/>
      <c r="AL251" s="95"/>
      <c r="AM251" s="95"/>
      <c r="AN251" s="95"/>
    </row>
    <row r="252" ht="14.25" customHeight="1">
      <c r="B252" s="507">
        <f t="shared" si="1"/>
        <v>0</v>
      </c>
      <c r="C252" s="95" t="str">
        <f t="shared" si="2"/>
        <v>ゴルフ</v>
      </c>
      <c r="D252" s="95"/>
      <c r="E252" s="95"/>
      <c r="F252" s="95" t="s">
        <v>138</v>
      </c>
      <c r="G252" s="95">
        <v>0.0</v>
      </c>
      <c r="H252" s="95">
        <v>0.0</v>
      </c>
      <c r="I252" s="95">
        <v>0.0</v>
      </c>
      <c r="J252" s="95">
        <v>0.0</v>
      </c>
      <c r="K252" s="95">
        <v>0.0</v>
      </c>
      <c r="L252" s="95">
        <v>0.0</v>
      </c>
      <c r="M252" s="95">
        <v>0.0</v>
      </c>
      <c r="N252" s="95">
        <v>0.0</v>
      </c>
      <c r="O252" s="95">
        <v>0.0</v>
      </c>
      <c r="P252" s="95">
        <v>0.0</v>
      </c>
      <c r="Q252" s="95">
        <v>0.0</v>
      </c>
      <c r="R252" s="95">
        <v>0.0</v>
      </c>
      <c r="S252" s="95">
        <v>0.0</v>
      </c>
      <c r="T252" s="95">
        <v>0.0</v>
      </c>
      <c r="U252" s="95">
        <v>0.0</v>
      </c>
      <c r="V252" s="95">
        <v>0.0</v>
      </c>
      <c r="W252" s="95">
        <v>0.0</v>
      </c>
      <c r="X252" s="95">
        <v>0.0</v>
      </c>
      <c r="Y252" s="95">
        <v>0.0</v>
      </c>
      <c r="Z252" s="95">
        <v>0.0</v>
      </c>
      <c r="AA252" s="95">
        <v>0.0</v>
      </c>
      <c r="AB252" s="95">
        <v>0.0</v>
      </c>
      <c r="AC252" s="95">
        <v>0.0</v>
      </c>
      <c r="AD252" s="95">
        <v>0.0</v>
      </c>
      <c r="AE252" s="95">
        <v>0.0</v>
      </c>
      <c r="AF252" s="95"/>
      <c r="AG252" s="95"/>
      <c r="AH252" s="95"/>
      <c r="AI252" s="95"/>
      <c r="AJ252" s="95"/>
      <c r="AK252" s="95"/>
      <c r="AL252" s="95"/>
      <c r="AM252" s="95"/>
      <c r="AN252" s="95"/>
    </row>
    <row r="253" ht="14.25" customHeight="1">
      <c r="B253" s="507">
        <f t="shared" si="1"/>
        <v>0</v>
      </c>
      <c r="C253" s="95" t="str">
        <f t="shared" si="2"/>
        <v>旅館</v>
      </c>
      <c r="D253" s="95"/>
      <c r="E253" s="95"/>
      <c r="F253" s="95" t="s">
        <v>343</v>
      </c>
      <c r="G253" s="95">
        <v>0.0</v>
      </c>
      <c r="H253" s="95">
        <v>10200.0</v>
      </c>
      <c r="I253" s="95">
        <v>9394.0</v>
      </c>
      <c r="J253" s="95">
        <v>10400.0</v>
      </c>
      <c r="K253" s="95">
        <v>0.0</v>
      </c>
      <c r="L253" s="95">
        <v>0.0</v>
      </c>
      <c r="M253" s="95">
        <v>29994.0</v>
      </c>
      <c r="N253" s="95">
        <v>0.0</v>
      </c>
      <c r="O253" s="95">
        <v>2932.0</v>
      </c>
      <c r="P253" s="95">
        <v>0.0</v>
      </c>
      <c r="Q253" s="95">
        <v>0.0</v>
      </c>
      <c r="R253" s="95">
        <v>0.0</v>
      </c>
      <c r="S253" s="95">
        <v>0.0</v>
      </c>
      <c r="T253" s="95">
        <v>2932.0</v>
      </c>
      <c r="U253" s="95">
        <v>15088.0</v>
      </c>
      <c r="V253" s="95">
        <v>39917.0</v>
      </c>
      <c r="W253" s="95">
        <v>3919.0</v>
      </c>
      <c r="X253" s="95">
        <v>0.0</v>
      </c>
      <c r="Y253" s="95">
        <v>0.0</v>
      </c>
      <c r="Z253" s="95">
        <v>0.0</v>
      </c>
      <c r="AA253" s="95">
        <v>58924.0</v>
      </c>
      <c r="AB253" s="95">
        <v>2088.0</v>
      </c>
      <c r="AC253" s="95">
        <v>0.0</v>
      </c>
      <c r="AD253" s="95">
        <v>0.0</v>
      </c>
      <c r="AE253" s="95">
        <v>2088.0</v>
      </c>
      <c r="AF253" s="95"/>
      <c r="AG253" s="95"/>
      <c r="AH253" s="95"/>
      <c r="AI253" s="95"/>
      <c r="AJ253" s="95"/>
      <c r="AK253" s="95"/>
      <c r="AL253" s="95"/>
      <c r="AM253" s="95"/>
      <c r="AN253" s="95"/>
    </row>
    <row r="254" ht="14.25" customHeight="1">
      <c r="B254" s="507">
        <f t="shared" si="1"/>
        <v>0</v>
      </c>
      <c r="C254" s="95" t="str">
        <f t="shared" si="2"/>
        <v>一括償却資産減価償却費</v>
      </c>
      <c r="D254" s="95"/>
      <c r="E254" s="95" t="s">
        <v>349</v>
      </c>
      <c r="F254" s="95"/>
      <c r="G254" s="95">
        <v>4666.0</v>
      </c>
      <c r="H254" s="95">
        <v>0.0</v>
      </c>
      <c r="I254" s="95">
        <v>9604.0</v>
      </c>
      <c r="J254" s="95">
        <v>0.0</v>
      </c>
      <c r="K254" s="95">
        <v>0.0</v>
      </c>
      <c r="L254" s="95">
        <v>0.0</v>
      </c>
      <c r="M254" s="95">
        <v>14270.0</v>
      </c>
      <c r="N254" s="95">
        <v>0.0</v>
      </c>
      <c r="O254" s="95">
        <v>0.0</v>
      </c>
      <c r="P254" s="95">
        <v>0.0</v>
      </c>
      <c r="Q254" s="95">
        <v>0.0</v>
      </c>
      <c r="R254" s="95">
        <v>0.0</v>
      </c>
      <c r="S254" s="95">
        <v>0.0</v>
      </c>
      <c r="T254" s="95">
        <v>0.0</v>
      </c>
      <c r="U254" s="95">
        <v>0.0</v>
      </c>
      <c r="V254" s="95">
        <v>5834.0</v>
      </c>
      <c r="W254" s="95">
        <v>16191.0</v>
      </c>
      <c r="X254" s="95">
        <v>0.0</v>
      </c>
      <c r="Y254" s="95">
        <v>0.0</v>
      </c>
      <c r="Z254" s="95">
        <v>0.0</v>
      </c>
      <c r="AA254" s="95">
        <v>22025.0</v>
      </c>
      <c r="AB254" s="95">
        <v>0.0</v>
      </c>
      <c r="AC254" s="95">
        <v>0.0</v>
      </c>
      <c r="AD254" s="95">
        <v>0.0</v>
      </c>
      <c r="AE254" s="95">
        <v>0.0</v>
      </c>
      <c r="AF254" s="95"/>
      <c r="AG254" s="95"/>
      <c r="AH254" s="95"/>
      <c r="AI254" s="95"/>
      <c r="AJ254" s="95"/>
      <c r="AK254" s="95"/>
      <c r="AL254" s="95"/>
      <c r="AM254" s="95"/>
      <c r="AN254" s="95"/>
    </row>
    <row r="255" ht="14.25" customHeight="1">
      <c r="B255" s="507">
        <f t="shared" si="1"/>
        <v>0</v>
      </c>
      <c r="C255" s="95" t="str">
        <f t="shared" si="2"/>
        <v>旅館</v>
      </c>
      <c r="D255" s="95"/>
      <c r="E255" s="95"/>
      <c r="F255" s="95" t="s">
        <v>343</v>
      </c>
      <c r="G255" s="95">
        <v>4666.0</v>
      </c>
      <c r="H255" s="95">
        <v>0.0</v>
      </c>
      <c r="I255" s="95">
        <v>9604.0</v>
      </c>
      <c r="J255" s="95">
        <v>0.0</v>
      </c>
      <c r="K255" s="95">
        <v>0.0</v>
      </c>
      <c r="L255" s="95">
        <v>0.0</v>
      </c>
      <c r="M255" s="95">
        <v>14270.0</v>
      </c>
      <c r="N255" s="95">
        <v>0.0</v>
      </c>
      <c r="O255" s="95">
        <v>0.0</v>
      </c>
      <c r="P255" s="95">
        <v>0.0</v>
      </c>
      <c r="Q255" s="95">
        <v>0.0</v>
      </c>
      <c r="R255" s="95">
        <v>0.0</v>
      </c>
      <c r="S255" s="95">
        <v>0.0</v>
      </c>
      <c r="T255" s="95">
        <v>0.0</v>
      </c>
      <c r="U255" s="95">
        <v>0.0</v>
      </c>
      <c r="V255" s="95">
        <v>5834.0</v>
      </c>
      <c r="W255" s="95">
        <v>16191.0</v>
      </c>
      <c r="X255" s="95">
        <v>0.0</v>
      </c>
      <c r="Y255" s="95">
        <v>0.0</v>
      </c>
      <c r="Z255" s="95">
        <v>0.0</v>
      </c>
      <c r="AA255" s="95">
        <v>22025.0</v>
      </c>
      <c r="AB255" s="95">
        <v>0.0</v>
      </c>
      <c r="AC255" s="95">
        <v>0.0</v>
      </c>
      <c r="AD255" s="95">
        <v>0.0</v>
      </c>
      <c r="AE255" s="95">
        <v>0.0</v>
      </c>
      <c r="AF255" s="95"/>
      <c r="AG255" s="95"/>
      <c r="AH255" s="95"/>
      <c r="AI255" s="95"/>
      <c r="AJ255" s="95"/>
      <c r="AK255" s="95"/>
      <c r="AL255" s="95"/>
      <c r="AM255" s="95"/>
      <c r="AN255" s="95"/>
    </row>
    <row r="256" ht="14.25" customHeight="1">
      <c r="B256" s="507">
        <f t="shared" si="1"/>
        <v>0</v>
      </c>
      <c r="C256" s="95" t="str">
        <f t="shared" si="2"/>
        <v>ソフトウェア減価償却費</v>
      </c>
      <c r="D256" s="95"/>
      <c r="E256" s="95" t="s">
        <v>350</v>
      </c>
      <c r="F256" s="95"/>
      <c r="G256" s="95">
        <v>0.0</v>
      </c>
      <c r="H256" s="95">
        <v>0.0</v>
      </c>
      <c r="I256" s="95">
        <v>0.0</v>
      </c>
      <c r="J256" s="95">
        <v>0.0</v>
      </c>
      <c r="K256" s="95">
        <v>0.0</v>
      </c>
      <c r="L256" s="95">
        <v>0.0</v>
      </c>
      <c r="M256" s="95">
        <v>0.0</v>
      </c>
      <c r="N256" s="95">
        <v>0.0</v>
      </c>
      <c r="O256" s="95">
        <v>0.0</v>
      </c>
      <c r="P256" s="95">
        <v>0.0</v>
      </c>
      <c r="Q256" s="95">
        <v>0.0</v>
      </c>
      <c r="R256" s="95">
        <v>0.0</v>
      </c>
      <c r="S256" s="95">
        <v>0.0</v>
      </c>
      <c r="T256" s="95">
        <v>0.0</v>
      </c>
      <c r="U256" s="95">
        <v>0.0</v>
      </c>
      <c r="V256" s="95">
        <v>49529.0</v>
      </c>
      <c r="W256" s="95">
        <v>0.0</v>
      </c>
      <c r="X256" s="95">
        <v>0.0</v>
      </c>
      <c r="Y256" s="95">
        <v>0.0</v>
      </c>
      <c r="Z256" s="95">
        <v>0.0</v>
      </c>
      <c r="AA256" s="95">
        <v>49529.0</v>
      </c>
      <c r="AB256" s="95">
        <v>0.0</v>
      </c>
      <c r="AC256" s="95">
        <v>0.0</v>
      </c>
      <c r="AD256" s="95">
        <v>0.0</v>
      </c>
      <c r="AE256" s="95">
        <v>0.0</v>
      </c>
      <c r="AF256" s="95"/>
      <c r="AG256" s="95"/>
      <c r="AH256" s="95"/>
      <c r="AI256" s="95"/>
      <c r="AJ256" s="95"/>
      <c r="AK256" s="95"/>
      <c r="AL256" s="95"/>
      <c r="AM256" s="95"/>
      <c r="AN256" s="95"/>
    </row>
    <row r="257" ht="14.25" customHeight="1">
      <c r="B257" s="507">
        <f t="shared" si="1"/>
        <v>0</v>
      </c>
      <c r="C257" s="95" t="str">
        <f t="shared" si="2"/>
        <v>旅館</v>
      </c>
      <c r="D257" s="95"/>
      <c r="E257" s="95"/>
      <c r="F257" s="95" t="s">
        <v>343</v>
      </c>
      <c r="G257" s="95">
        <v>0.0</v>
      </c>
      <c r="H257" s="95">
        <v>0.0</v>
      </c>
      <c r="I257" s="95">
        <v>0.0</v>
      </c>
      <c r="J257" s="95">
        <v>0.0</v>
      </c>
      <c r="K257" s="95">
        <v>0.0</v>
      </c>
      <c r="L257" s="95">
        <v>0.0</v>
      </c>
      <c r="M257" s="95">
        <v>0.0</v>
      </c>
      <c r="N257" s="95">
        <v>0.0</v>
      </c>
      <c r="O257" s="95">
        <v>0.0</v>
      </c>
      <c r="P257" s="95">
        <v>0.0</v>
      </c>
      <c r="Q257" s="95">
        <v>0.0</v>
      </c>
      <c r="R257" s="95">
        <v>0.0</v>
      </c>
      <c r="S257" s="95">
        <v>0.0</v>
      </c>
      <c r="T257" s="95">
        <v>0.0</v>
      </c>
      <c r="U257" s="95">
        <v>0.0</v>
      </c>
      <c r="V257" s="95">
        <v>49529.0</v>
      </c>
      <c r="W257" s="95">
        <v>0.0</v>
      </c>
      <c r="X257" s="95">
        <v>0.0</v>
      </c>
      <c r="Y257" s="95">
        <v>0.0</v>
      </c>
      <c r="Z257" s="95">
        <v>0.0</v>
      </c>
      <c r="AA257" s="95">
        <v>49529.0</v>
      </c>
      <c r="AB257" s="95">
        <v>0.0</v>
      </c>
      <c r="AC257" s="95">
        <v>0.0</v>
      </c>
      <c r="AD257" s="95">
        <v>0.0</v>
      </c>
      <c r="AE257" s="95">
        <v>0.0</v>
      </c>
      <c r="AF257" s="95"/>
      <c r="AG257" s="95"/>
      <c r="AH257" s="95"/>
      <c r="AI257" s="95"/>
      <c r="AJ257" s="95"/>
      <c r="AK257" s="95"/>
      <c r="AL257" s="95"/>
      <c r="AM257" s="95"/>
      <c r="AN257" s="95"/>
    </row>
    <row r="258" ht="14.25" customHeight="1">
      <c r="B258" s="507">
        <f t="shared" si="1"/>
        <v>0</v>
      </c>
      <c r="C258" s="95" t="str">
        <f t="shared" si="2"/>
        <v>水道施設利用権減価償却費</v>
      </c>
      <c r="D258" s="95"/>
      <c r="E258" s="95" t="s">
        <v>351</v>
      </c>
      <c r="F258" s="95"/>
      <c r="G258" s="95">
        <v>0.0</v>
      </c>
      <c r="H258" s="95">
        <v>0.0</v>
      </c>
      <c r="I258" s="95">
        <v>0.0</v>
      </c>
      <c r="J258" s="95">
        <v>0.0</v>
      </c>
      <c r="K258" s="95">
        <v>0.0</v>
      </c>
      <c r="L258" s="95">
        <v>0.0</v>
      </c>
      <c r="M258" s="95">
        <v>0.0</v>
      </c>
      <c r="N258" s="95">
        <v>52129.0</v>
      </c>
      <c r="O258" s="95">
        <v>0.0</v>
      </c>
      <c r="P258" s="95">
        <v>0.0</v>
      </c>
      <c r="Q258" s="95">
        <v>0.0</v>
      </c>
      <c r="R258" s="95">
        <v>0.0</v>
      </c>
      <c r="S258" s="95">
        <v>0.0</v>
      </c>
      <c r="T258" s="95">
        <v>52129.0</v>
      </c>
      <c r="U258" s="95">
        <v>0.0</v>
      </c>
      <c r="V258" s="95">
        <v>0.0</v>
      </c>
      <c r="W258" s="95">
        <v>0.0</v>
      </c>
      <c r="X258" s="95">
        <v>0.0</v>
      </c>
      <c r="Y258" s="95">
        <v>0.0</v>
      </c>
      <c r="Z258" s="95">
        <v>0.0</v>
      </c>
      <c r="AA258" s="95">
        <v>0.0</v>
      </c>
      <c r="AB258" s="95">
        <v>0.0</v>
      </c>
      <c r="AC258" s="95">
        <v>0.0</v>
      </c>
      <c r="AD258" s="95">
        <v>0.0</v>
      </c>
      <c r="AE258" s="95">
        <v>0.0</v>
      </c>
      <c r="AF258" s="95"/>
      <c r="AG258" s="95"/>
      <c r="AH258" s="95"/>
      <c r="AI258" s="95"/>
      <c r="AJ258" s="95"/>
      <c r="AK258" s="95"/>
      <c r="AL258" s="95"/>
      <c r="AM258" s="95"/>
      <c r="AN258" s="95"/>
    </row>
    <row r="259" ht="14.25" customHeight="1">
      <c r="B259" s="507">
        <f t="shared" si="1"/>
        <v>0</v>
      </c>
      <c r="C259" s="95" t="str">
        <f t="shared" si="2"/>
        <v>旅館</v>
      </c>
      <c r="D259" s="95"/>
      <c r="E259" s="95"/>
      <c r="F259" s="95" t="s">
        <v>343</v>
      </c>
      <c r="G259" s="95">
        <v>0.0</v>
      </c>
      <c r="H259" s="95">
        <v>0.0</v>
      </c>
      <c r="I259" s="95">
        <v>0.0</v>
      </c>
      <c r="J259" s="95">
        <v>0.0</v>
      </c>
      <c r="K259" s="95">
        <v>0.0</v>
      </c>
      <c r="L259" s="95">
        <v>0.0</v>
      </c>
      <c r="M259" s="95">
        <v>0.0</v>
      </c>
      <c r="N259" s="95">
        <v>52129.0</v>
      </c>
      <c r="O259" s="95">
        <v>0.0</v>
      </c>
      <c r="P259" s="95">
        <v>0.0</v>
      </c>
      <c r="Q259" s="95">
        <v>0.0</v>
      </c>
      <c r="R259" s="95">
        <v>0.0</v>
      </c>
      <c r="S259" s="95">
        <v>0.0</v>
      </c>
      <c r="T259" s="95">
        <v>52129.0</v>
      </c>
      <c r="U259" s="95">
        <v>0.0</v>
      </c>
      <c r="V259" s="95">
        <v>0.0</v>
      </c>
      <c r="W259" s="95">
        <v>0.0</v>
      </c>
      <c r="X259" s="95">
        <v>0.0</v>
      </c>
      <c r="Y259" s="95">
        <v>0.0</v>
      </c>
      <c r="Z259" s="95">
        <v>0.0</v>
      </c>
      <c r="AA259" s="95">
        <v>0.0</v>
      </c>
      <c r="AB259" s="95">
        <v>0.0</v>
      </c>
      <c r="AC259" s="95">
        <v>0.0</v>
      </c>
      <c r="AD259" s="95">
        <v>0.0</v>
      </c>
      <c r="AE259" s="95">
        <v>0.0</v>
      </c>
      <c r="AF259" s="95"/>
      <c r="AG259" s="95"/>
      <c r="AH259" s="95"/>
      <c r="AI259" s="95"/>
      <c r="AJ259" s="95"/>
      <c r="AK259" s="95"/>
      <c r="AL259" s="95"/>
      <c r="AM259" s="95"/>
      <c r="AN259" s="95"/>
    </row>
    <row r="260" ht="14.25" customHeight="1">
      <c r="B260" s="507">
        <f t="shared" si="1"/>
        <v>0</v>
      </c>
      <c r="C260" s="95" t="str">
        <f t="shared" si="2"/>
        <v>商標権減価償却費</v>
      </c>
      <c r="D260" s="95"/>
      <c r="E260" s="95" t="s">
        <v>352</v>
      </c>
      <c r="F260" s="95"/>
      <c r="G260" s="95">
        <v>0.0</v>
      </c>
      <c r="H260" s="95">
        <v>0.0</v>
      </c>
      <c r="I260" s="95">
        <v>0.0</v>
      </c>
      <c r="J260" s="95">
        <v>0.0</v>
      </c>
      <c r="K260" s="95">
        <v>0.0</v>
      </c>
      <c r="L260" s="95">
        <v>0.0</v>
      </c>
      <c r="M260" s="95">
        <v>0.0</v>
      </c>
      <c r="N260" s="95">
        <v>0.0</v>
      </c>
      <c r="O260" s="95">
        <v>0.0</v>
      </c>
      <c r="P260" s="95">
        <v>0.0</v>
      </c>
      <c r="Q260" s="95">
        <v>0.0</v>
      </c>
      <c r="R260" s="95">
        <v>0.0</v>
      </c>
      <c r="S260" s="95">
        <v>0.0</v>
      </c>
      <c r="T260" s="95">
        <v>0.0</v>
      </c>
      <c r="U260" s="95">
        <v>0.0</v>
      </c>
      <c r="V260" s="95">
        <v>7500.0</v>
      </c>
      <c r="W260" s="95">
        <v>0.0</v>
      </c>
      <c r="X260" s="95">
        <v>0.0</v>
      </c>
      <c r="Y260" s="95">
        <v>0.0</v>
      </c>
      <c r="Z260" s="95">
        <v>0.0</v>
      </c>
      <c r="AA260" s="95">
        <v>7500.0</v>
      </c>
      <c r="AB260" s="95">
        <v>0.0</v>
      </c>
      <c r="AC260" s="95">
        <v>0.0</v>
      </c>
      <c r="AD260" s="95">
        <v>0.0</v>
      </c>
      <c r="AE260" s="95">
        <v>0.0</v>
      </c>
      <c r="AF260" s="95"/>
      <c r="AG260" s="95"/>
      <c r="AH260" s="95"/>
      <c r="AI260" s="95"/>
      <c r="AJ260" s="95"/>
      <c r="AK260" s="95"/>
      <c r="AL260" s="95"/>
      <c r="AM260" s="95"/>
      <c r="AN260" s="95"/>
    </row>
    <row r="261" ht="14.25" customHeight="1">
      <c r="B261" s="507">
        <f t="shared" si="1"/>
        <v>0</v>
      </c>
      <c r="C261" s="95" t="str">
        <f t="shared" si="2"/>
        <v>旅館</v>
      </c>
      <c r="D261" s="95"/>
      <c r="E261" s="95"/>
      <c r="F261" s="95" t="s">
        <v>343</v>
      </c>
      <c r="G261" s="95">
        <v>0.0</v>
      </c>
      <c r="H261" s="95">
        <v>0.0</v>
      </c>
      <c r="I261" s="95">
        <v>0.0</v>
      </c>
      <c r="J261" s="95">
        <v>0.0</v>
      </c>
      <c r="K261" s="95">
        <v>0.0</v>
      </c>
      <c r="L261" s="95">
        <v>0.0</v>
      </c>
      <c r="M261" s="95">
        <v>0.0</v>
      </c>
      <c r="N261" s="95">
        <v>0.0</v>
      </c>
      <c r="O261" s="95">
        <v>0.0</v>
      </c>
      <c r="P261" s="95">
        <v>0.0</v>
      </c>
      <c r="Q261" s="95">
        <v>0.0</v>
      </c>
      <c r="R261" s="95">
        <v>0.0</v>
      </c>
      <c r="S261" s="95">
        <v>0.0</v>
      </c>
      <c r="T261" s="95">
        <v>0.0</v>
      </c>
      <c r="U261" s="95">
        <v>0.0</v>
      </c>
      <c r="V261" s="95">
        <v>7500.0</v>
      </c>
      <c r="W261" s="95">
        <v>0.0</v>
      </c>
      <c r="X261" s="95">
        <v>0.0</v>
      </c>
      <c r="Y261" s="95">
        <v>0.0</v>
      </c>
      <c r="Z261" s="95">
        <v>0.0</v>
      </c>
      <c r="AA261" s="95">
        <v>7500.0</v>
      </c>
      <c r="AB261" s="95">
        <v>0.0</v>
      </c>
      <c r="AC261" s="95">
        <v>0.0</v>
      </c>
      <c r="AD261" s="95">
        <v>0.0</v>
      </c>
      <c r="AE261" s="95">
        <v>0.0</v>
      </c>
      <c r="AF261" s="95"/>
      <c r="AG261" s="95"/>
      <c r="AH261" s="95"/>
      <c r="AI261" s="95"/>
      <c r="AJ261" s="95"/>
      <c r="AK261" s="95"/>
      <c r="AL261" s="95"/>
      <c r="AM261" s="95"/>
      <c r="AN261" s="95"/>
    </row>
    <row r="262" ht="14.25" customHeight="1">
      <c r="B262" s="507">
        <f t="shared" si="1"/>
        <v>0</v>
      </c>
      <c r="C262" s="95" t="str">
        <f t="shared" si="2"/>
        <v>販売費及び一般管理費合計</v>
      </c>
      <c r="D262" s="95" t="s">
        <v>353</v>
      </c>
      <c r="E262" s="95"/>
      <c r="F262" s="95"/>
      <c r="G262" s="95">
        <v>9529906.0</v>
      </c>
      <c r="H262" s="95">
        <v>1207036.0</v>
      </c>
      <c r="I262" s="95">
        <v>1.0192741E7</v>
      </c>
      <c r="J262" s="95">
        <v>133977.0</v>
      </c>
      <c r="K262" s="95">
        <v>0.0</v>
      </c>
      <c r="L262" s="95">
        <v>0.0</v>
      </c>
      <c r="M262" s="95">
        <v>2.106366E7</v>
      </c>
      <c r="N262" s="95">
        <v>7684404.0</v>
      </c>
      <c r="O262" s="95">
        <v>5220866.0</v>
      </c>
      <c r="P262" s="95">
        <v>2695.0</v>
      </c>
      <c r="Q262" s="95">
        <v>18674.0</v>
      </c>
      <c r="R262" s="95">
        <v>0.0</v>
      </c>
      <c r="S262" s="95">
        <v>0.0</v>
      </c>
      <c r="T262" s="95">
        <v>1.2926639E7</v>
      </c>
      <c r="U262" s="95">
        <v>3997018.0</v>
      </c>
      <c r="V262" s="95">
        <v>3.0904543E7</v>
      </c>
      <c r="W262" s="95">
        <v>957870.0</v>
      </c>
      <c r="X262" s="95">
        <v>6717077.0</v>
      </c>
      <c r="Y262" s="95">
        <v>0.0</v>
      </c>
      <c r="Z262" s="95">
        <v>0.0</v>
      </c>
      <c r="AA262" s="95">
        <v>4.2576508E7</v>
      </c>
      <c r="AB262" s="95">
        <v>1.200382E7</v>
      </c>
      <c r="AC262" s="95">
        <v>1.0884473E7</v>
      </c>
      <c r="AD262" s="95">
        <v>0.0</v>
      </c>
      <c r="AE262" s="95">
        <v>2.2888293E7</v>
      </c>
      <c r="AF262" s="95"/>
      <c r="AG262" s="95"/>
      <c r="AH262" s="95"/>
      <c r="AI262" s="95"/>
      <c r="AJ262" s="95"/>
      <c r="AK262" s="95"/>
      <c r="AL262" s="95"/>
      <c r="AM262" s="95"/>
      <c r="AN262" s="95"/>
    </row>
    <row r="263" ht="14.25" customHeight="1">
      <c r="B263" s="507">
        <f t="shared" si="1"/>
        <v>0</v>
      </c>
      <c r="C263" s="95" t="str">
        <f t="shared" si="2"/>
        <v>営業利益</v>
      </c>
      <c r="D263" s="95" t="s">
        <v>33</v>
      </c>
      <c r="E263" s="95"/>
      <c r="F263" s="95"/>
      <c r="G263" s="95">
        <v>-3296196.0</v>
      </c>
      <c r="H263" s="95">
        <v>4165526.0</v>
      </c>
      <c r="I263" s="95">
        <v>1490970.0</v>
      </c>
      <c r="J263" s="95">
        <v>2268636.0</v>
      </c>
      <c r="K263" s="95">
        <v>0.0</v>
      </c>
      <c r="L263" s="95">
        <v>0.0</v>
      </c>
      <c r="M263" s="95">
        <v>4628936.0</v>
      </c>
      <c r="N263" s="95">
        <v>-1375521.0</v>
      </c>
      <c r="O263" s="95">
        <v>-1289068.0</v>
      </c>
      <c r="P263" s="95">
        <v>1088659.0</v>
      </c>
      <c r="Q263" s="95">
        <v>572483.0</v>
      </c>
      <c r="R263" s="95">
        <v>0.0</v>
      </c>
      <c r="S263" s="95">
        <v>0.0</v>
      </c>
      <c r="T263" s="95">
        <v>-1003447.0</v>
      </c>
      <c r="U263" s="95">
        <v>1850430.0</v>
      </c>
      <c r="V263" s="95">
        <v>946866.0</v>
      </c>
      <c r="W263" s="95">
        <v>7250161.0</v>
      </c>
      <c r="X263" s="95">
        <v>3037859.0</v>
      </c>
      <c r="Y263" s="95">
        <v>112000.0</v>
      </c>
      <c r="Z263" s="95">
        <v>0.0</v>
      </c>
      <c r="AA263" s="95">
        <v>1.3197316E7</v>
      </c>
      <c r="AB263" s="95">
        <v>-1.200382E7</v>
      </c>
      <c r="AC263" s="95">
        <v>-1.0884473E7</v>
      </c>
      <c r="AD263" s="95">
        <v>0.0</v>
      </c>
      <c r="AE263" s="95">
        <v>-2.2888293E7</v>
      </c>
      <c r="AF263" s="95"/>
      <c r="AG263" s="95"/>
      <c r="AH263" s="95"/>
      <c r="AI263" s="95"/>
      <c r="AJ263" s="95"/>
      <c r="AK263" s="95"/>
      <c r="AL263" s="95"/>
      <c r="AM263" s="95"/>
      <c r="AN263" s="95"/>
    </row>
    <row r="264" ht="14.25" customHeight="1">
      <c r="B264" s="507">
        <f t="shared" si="1"/>
        <v>0</v>
      </c>
      <c r="C264" s="95" t="str">
        <f t="shared" si="2"/>
        <v>営業外収益</v>
      </c>
      <c r="D264" s="95" t="s">
        <v>354</v>
      </c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</row>
    <row r="265" ht="14.25" customHeight="1">
      <c r="B265" s="507">
        <f t="shared" si="1"/>
        <v>0</v>
      </c>
      <c r="C265" s="95" t="str">
        <f t="shared" si="2"/>
        <v>雑収入</v>
      </c>
      <c r="D265" s="95"/>
      <c r="E265" s="95" t="s">
        <v>355</v>
      </c>
      <c r="F265" s="95"/>
      <c r="G265" s="95">
        <v>20904.0</v>
      </c>
      <c r="H265" s="95">
        <v>0.0</v>
      </c>
      <c r="I265" s="95">
        <v>47967.0</v>
      </c>
      <c r="J265" s="95">
        <v>0.0</v>
      </c>
      <c r="K265" s="95">
        <v>0.0</v>
      </c>
      <c r="L265" s="95">
        <v>0.0</v>
      </c>
      <c r="M265" s="95">
        <v>68871.0</v>
      </c>
      <c r="N265" s="95">
        <v>0.0</v>
      </c>
      <c r="O265" s="95">
        <v>0.0</v>
      </c>
      <c r="P265" s="95">
        <v>0.0</v>
      </c>
      <c r="Q265" s="95">
        <v>0.0</v>
      </c>
      <c r="R265" s="95">
        <v>0.0</v>
      </c>
      <c r="S265" s="95">
        <v>0.0</v>
      </c>
      <c r="T265" s="95">
        <v>0.0</v>
      </c>
      <c r="U265" s="95">
        <v>0.0</v>
      </c>
      <c r="V265" s="95">
        <v>66484.0</v>
      </c>
      <c r="W265" s="95">
        <v>0.0</v>
      </c>
      <c r="X265" s="95">
        <v>33936.0</v>
      </c>
      <c r="Y265" s="95">
        <v>17600.0</v>
      </c>
      <c r="Z265" s="95">
        <v>0.0</v>
      </c>
      <c r="AA265" s="95">
        <v>118020.0</v>
      </c>
      <c r="AB265" s="95">
        <v>105566.0</v>
      </c>
      <c r="AC265" s="95">
        <v>0.0</v>
      </c>
      <c r="AD265" s="95">
        <v>0.0</v>
      </c>
      <c r="AE265" s="95">
        <v>105566.0</v>
      </c>
      <c r="AF265" s="95"/>
      <c r="AG265" s="95"/>
      <c r="AH265" s="95"/>
      <c r="AI265" s="95"/>
      <c r="AJ265" s="95"/>
      <c r="AK265" s="95"/>
      <c r="AL265" s="95"/>
      <c r="AM265" s="95"/>
      <c r="AN265" s="95"/>
    </row>
    <row r="266" ht="14.25" customHeight="1">
      <c r="B266" s="507">
        <f t="shared" si="1"/>
        <v>0</v>
      </c>
      <c r="C266" s="95" t="str">
        <f t="shared" si="2"/>
        <v>受取諸手数料</v>
      </c>
      <c r="D266" s="95"/>
      <c r="E266" s="95" t="s">
        <v>356</v>
      </c>
      <c r="F266" s="95"/>
      <c r="G266" s="95">
        <v>0.0</v>
      </c>
      <c r="H266" s="95">
        <v>0.0</v>
      </c>
      <c r="I266" s="95">
        <v>21487.0</v>
      </c>
      <c r="J266" s="95">
        <v>0.0</v>
      </c>
      <c r="K266" s="95">
        <v>0.0</v>
      </c>
      <c r="L266" s="95">
        <v>0.0</v>
      </c>
      <c r="M266" s="95">
        <v>21487.0</v>
      </c>
      <c r="N266" s="95">
        <v>0.0</v>
      </c>
      <c r="O266" s="95">
        <v>0.0</v>
      </c>
      <c r="P266" s="95">
        <v>0.0</v>
      </c>
      <c r="Q266" s="95">
        <v>0.0</v>
      </c>
      <c r="R266" s="95">
        <v>0.0</v>
      </c>
      <c r="S266" s="95">
        <v>0.0</v>
      </c>
      <c r="T266" s="95">
        <v>0.0</v>
      </c>
      <c r="U266" s="95">
        <v>0.0</v>
      </c>
      <c r="V266" s="95">
        <v>7469.0</v>
      </c>
      <c r="W266" s="95">
        <v>0.0</v>
      </c>
      <c r="X266" s="95">
        <v>70566.0</v>
      </c>
      <c r="Y266" s="95">
        <v>0.0</v>
      </c>
      <c r="Z266" s="95">
        <v>0.0</v>
      </c>
      <c r="AA266" s="95">
        <v>78035.0</v>
      </c>
      <c r="AB266" s="95">
        <v>0.0</v>
      </c>
      <c r="AC266" s="95">
        <v>0.0</v>
      </c>
      <c r="AD266" s="95">
        <v>0.0</v>
      </c>
      <c r="AE266" s="95">
        <v>0.0</v>
      </c>
      <c r="AF266" s="95"/>
      <c r="AG266" s="95"/>
      <c r="AH266" s="95"/>
      <c r="AI266" s="95"/>
      <c r="AJ266" s="95"/>
      <c r="AK266" s="95"/>
      <c r="AL266" s="95"/>
      <c r="AM266" s="95"/>
      <c r="AN266" s="95"/>
    </row>
    <row r="267" ht="14.25" customHeight="1" outlineLevel="1">
      <c r="B267" s="507">
        <f t="shared" si="1"/>
        <v>0</v>
      </c>
      <c r="C267" s="95" t="str">
        <f t="shared" si="2"/>
        <v>名義書換料等</v>
      </c>
      <c r="D267" s="95"/>
      <c r="E267" s="95" t="s">
        <v>357</v>
      </c>
      <c r="F267" s="95"/>
      <c r="G267" s="95">
        <v>0.0</v>
      </c>
      <c r="H267" s="95">
        <v>0.0</v>
      </c>
      <c r="I267" s="95">
        <v>0.0</v>
      </c>
      <c r="J267" s="95">
        <v>0.0</v>
      </c>
      <c r="K267" s="95">
        <v>0.0</v>
      </c>
      <c r="L267" s="95">
        <v>0.0</v>
      </c>
      <c r="M267" s="95">
        <v>0.0</v>
      </c>
      <c r="N267" s="95">
        <v>0.0</v>
      </c>
      <c r="O267" s="95">
        <v>0.0</v>
      </c>
      <c r="P267" s="95">
        <v>0.0</v>
      </c>
      <c r="Q267" s="95">
        <v>0.0</v>
      </c>
      <c r="R267" s="95">
        <v>0.0</v>
      </c>
      <c r="S267" s="95">
        <v>0.0</v>
      </c>
      <c r="T267" s="95">
        <v>0.0</v>
      </c>
      <c r="U267" s="95">
        <v>0.0</v>
      </c>
      <c r="V267" s="95">
        <v>0.0</v>
      </c>
      <c r="W267" s="95">
        <v>0.0</v>
      </c>
      <c r="X267" s="95">
        <v>0.0</v>
      </c>
      <c r="Y267" s="95">
        <v>0.0</v>
      </c>
      <c r="Z267" s="95">
        <v>0.0</v>
      </c>
      <c r="AA267" s="95">
        <v>0.0</v>
      </c>
      <c r="AB267" s="95">
        <v>0.0</v>
      </c>
      <c r="AC267" s="95">
        <v>0.0</v>
      </c>
      <c r="AD267" s="95">
        <v>0.0</v>
      </c>
      <c r="AE267" s="95">
        <v>0.0</v>
      </c>
      <c r="AF267" s="95"/>
      <c r="AG267" s="95"/>
      <c r="AH267" s="95"/>
      <c r="AI267" s="95"/>
      <c r="AJ267" s="95"/>
      <c r="AK267" s="95"/>
      <c r="AL267" s="95"/>
      <c r="AM267" s="95"/>
      <c r="AN267" s="95"/>
    </row>
    <row r="268" ht="14.25" customHeight="1" outlineLevel="1">
      <c r="B268" s="507">
        <f t="shared" si="1"/>
        <v>0</v>
      </c>
      <c r="C268" s="95" t="str">
        <f t="shared" si="2"/>
        <v>受取家賃</v>
      </c>
      <c r="D268" s="95"/>
      <c r="E268" s="95" t="s">
        <v>358</v>
      </c>
      <c r="F268" s="95"/>
      <c r="G268" s="95">
        <v>0.0</v>
      </c>
      <c r="H268" s="95">
        <v>0.0</v>
      </c>
      <c r="I268" s="95">
        <v>0.0</v>
      </c>
      <c r="J268" s="95">
        <v>0.0</v>
      </c>
      <c r="K268" s="95">
        <v>0.0</v>
      </c>
      <c r="L268" s="95">
        <v>0.0</v>
      </c>
      <c r="M268" s="95">
        <v>0.0</v>
      </c>
      <c r="N268" s="95">
        <v>0.0</v>
      </c>
      <c r="O268" s="95">
        <v>0.0</v>
      </c>
      <c r="P268" s="95">
        <v>0.0</v>
      </c>
      <c r="Q268" s="95">
        <v>0.0</v>
      </c>
      <c r="R268" s="95">
        <v>0.0</v>
      </c>
      <c r="S268" s="95">
        <v>0.0</v>
      </c>
      <c r="T268" s="95">
        <v>0.0</v>
      </c>
      <c r="U268" s="95">
        <v>0.0</v>
      </c>
      <c r="V268" s="95">
        <v>0.0</v>
      </c>
      <c r="W268" s="95">
        <v>0.0</v>
      </c>
      <c r="X268" s="95">
        <v>0.0</v>
      </c>
      <c r="Y268" s="95">
        <v>0.0</v>
      </c>
      <c r="Z268" s="95">
        <v>0.0</v>
      </c>
      <c r="AA268" s="95">
        <v>0.0</v>
      </c>
      <c r="AB268" s="95">
        <v>1792000.0</v>
      </c>
      <c r="AC268" s="95">
        <v>0.0</v>
      </c>
      <c r="AD268" s="95">
        <v>0.0</v>
      </c>
      <c r="AE268" s="95">
        <v>1792000.0</v>
      </c>
      <c r="AF268" s="95"/>
      <c r="AG268" s="95"/>
      <c r="AH268" s="95"/>
      <c r="AI268" s="95"/>
      <c r="AJ268" s="95"/>
      <c r="AK268" s="95"/>
      <c r="AL268" s="95"/>
      <c r="AM268" s="95"/>
      <c r="AN268" s="95"/>
    </row>
    <row r="269" ht="14.25" customHeight="1" outlineLevel="1">
      <c r="B269" s="507">
        <f t="shared" si="1"/>
        <v>0</v>
      </c>
      <c r="C269" s="95" t="str">
        <f t="shared" si="2"/>
        <v>年会費収入</v>
      </c>
      <c r="D269" s="95"/>
      <c r="E269" s="95" t="s">
        <v>359</v>
      </c>
      <c r="F269" s="95"/>
      <c r="G269" s="95">
        <v>0.0</v>
      </c>
      <c r="H269" s="95">
        <v>0.0</v>
      </c>
      <c r="I269" s="95">
        <v>0.0</v>
      </c>
      <c r="J269" s="95">
        <v>0.0</v>
      </c>
      <c r="K269" s="95">
        <v>0.0</v>
      </c>
      <c r="L269" s="95">
        <v>0.0</v>
      </c>
      <c r="M269" s="95">
        <v>0.0</v>
      </c>
      <c r="N269" s="95">
        <v>0.0</v>
      </c>
      <c r="O269" s="95">
        <v>0.0</v>
      </c>
      <c r="P269" s="95">
        <v>0.0</v>
      </c>
      <c r="Q269" s="95">
        <v>0.0</v>
      </c>
      <c r="R269" s="95">
        <v>0.0</v>
      </c>
      <c r="S269" s="95">
        <v>0.0</v>
      </c>
      <c r="T269" s="95">
        <v>0.0</v>
      </c>
      <c r="U269" s="95">
        <v>0.0</v>
      </c>
      <c r="V269" s="95">
        <v>0.0</v>
      </c>
      <c r="W269" s="95">
        <v>0.0</v>
      </c>
      <c r="X269" s="95">
        <v>0.0</v>
      </c>
      <c r="Y269" s="95">
        <v>0.0</v>
      </c>
      <c r="Z269" s="95">
        <v>0.0</v>
      </c>
      <c r="AA269" s="95">
        <v>0.0</v>
      </c>
      <c r="AB269" s="95">
        <v>0.0</v>
      </c>
      <c r="AC269" s="95">
        <v>0.0</v>
      </c>
      <c r="AD269" s="95">
        <v>0.0</v>
      </c>
      <c r="AE269" s="95">
        <v>0.0</v>
      </c>
      <c r="AF269" s="95"/>
      <c r="AG269" s="95"/>
      <c r="AH269" s="95"/>
      <c r="AI269" s="95"/>
      <c r="AJ269" s="95"/>
      <c r="AK269" s="95"/>
      <c r="AL269" s="95"/>
      <c r="AM269" s="95"/>
      <c r="AN269" s="95"/>
    </row>
    <row r="270" ht="14.25" customHeight="1" outlineLevel="1">
      <c r="B270" s="507">
        <f t="shared" si="1"/>
        <v>0</v>
      </c>
      <c r="C270" s="95" t="str">
        <f t="shared" si="2"/>
        <v>営業外収益合計</v>
      </c>
      <c r="D270" s="95" t="s">
        <v>360</v>
      </c>
      <c r="E270" s="95"/>
      <c r="F270" s="95"/>
      <c r="G270" s="95">
        <v>20904.0</v>
      </c>
      <c r="H270" s="95">
        <v>0.0</v>
      </c>
      <c r="I270" s="95">
        <v>69454.0</v>
      </c>
      <c r="J270" s="95">
        <v>0.0</v>
      </c>
      <c r="K270" s="95">
        <v>0.0</v>
      </c>
      <c r="L270" s="95">
        <v>0.0</v>
      </c>
      <c r="M270" s="95">
        <v>90358.0</v>
      </c>
      <c r="N270" s="95">
        <v>0.0</v>
      </c>
      <c r="O270" s="95">
        <v>0.0</v>
      </c>
      <c r="P270" s="95">
        <v>0.0</v>
      </c>
      <c r="Q270" s="95">
        <v>0.0</v>
      </c>
      <c r="R270" s="95">
        <v>0.0</v>
      </c>
      <c r="S270" s="95">
        <v>0.0</v>
      </c>
      <c r="T270" s="95">
        <v>0.0</v>
      </c>
      <c r="U270" s="95">
        <v>0.0</v>
      </c>
      <c r="V270" s="95">
        <v>73953.0</v>
      </c>
      <c r="W270" s="95">
        <v>0.0</v>
      </c>
      <c r="X270" s="95">
        <v>104502.0</v>
      </c>
      <c r="Y270" s="95">
        <v>17600.0</v>
      </c>
      <c r="Z270" s="95">
        <v>0.0</v>
      </c>
      <c r="AA270" s="95">
        <v>196055.0</v>
      </c>
      <c r="AB270" s="95">
        <v>1897566.0</v>
      </c>
      <c r="AC270" s="95">
        <v>0.0</v>
      </c>
      <c r="AD270" s="95">
        <v>0.0</v>
      </c>
      <c r="AE270" s="95">
        <v>1897566.0</v>
      </c>
      <c r="AF270" s="95"/>
      <c r="AG270" s="95"/>
      <c r="AH270" s="95"/>
      <c r="AI270" s="95"/>
      <c r="AJ270" s="95"/>
      <c r="AK270" s="95"/>
      <c r="AL270" s="95"/>
      <c r="AM270" s="95"/>
      <c r="AN270" s="95"/>
    </row>
    <row r="271" ht="14.25" customHeight="1" outlineLevel="1">
      <c r="B271" s="507">
        <f t="shared" si="1"/>
        <v>0</v>
      </c>
      <c r="C271" s="95" t="str">
        <f t="shared" si="2"/>
        <v>営業外費用</v>
      </c>
      <c r="D271" s="95" t="s">
        <v>361</v>
      </c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</row>
    <row r="272" ht="14.25" customHeight="1" outlineLevel="1">
      <c r="B272" s="507">
        <f t="shared" si="1"/>
        <v>0</v>
      </c>
      <c r="C272" s="95" t="str">
        <f t="shared" si="2"/>
        <v>支払利息</v>
      </c>
      <c r="D272" s="95"/>
      <c r="E272" s="95" t="s">
        <v>362</v>
      </c>
      <c r="F272" s="95"/>
      <c r="G272" s="95">
        <v>0.0</v>
      </c>
      <c r="H272" s="95">
        <v>0.0</v>
      </c>
      <c r="I272" s="95">
        <v>0.0</v>
      </c>
      <c r="J272" s="95">
        <v>0.0</v>
      </c>
      <c r="K272" s="95">
        <v>0.0</v>
      </c>
      <c r="L272" s="95">
        <v>0.0</v>
      </c>
      <c r="M272" s="95">
        <v>0.0</v>
      </c>
      <c r="N272" s="95">
        <v>0.0</v>
      </c>
      <c r="O272" s="95">
        <v>0.0</v>
      </c>
      <c r="P272" s="95">
        <v>0.0</v>
      </c>
      <c r="Q272" s="95">
        <v>0.0</v>
      </c>
      <c r="R272" s="95">
        <v>0.0</v>
      </c>
      <c r="S272" s="95">
        <v>0.0</v>
      </c>
      <c r="T272" s="95">
        <v>0.0</v>
      </c>
      <c r="U272" s="95">
        <v>0.0</v>
      </c>
      <c r="V272" s="95">
        <v>0.0</v>
      </c>
      <c r="W272" s="95">
        <v>0.0</v>
      </c>
      <c r="X272" s="95">
        <v>0.0</v>
      </c>
      <c r="Y272" s="95">
        <v>0.0</v>
      </c>
      <c r="Z272" s="95">
        <v>0.0</v>
      </c>
      <c r="AA272" s="95">
        <v>0.0</v>
      </c>
      <c r="AB272" s="95">
        <v>1523146.0</v>
      </c>
      <c r="AC272" s="95">
        <v>65880.0</v>
      </c>
      <c r="AD272" s="95">
        <v>0.0</v>
      </c>
      <c r="AE272" s="95">
        <v>1589026.0</v>
      </c>
      <c r="AF272" s="95"/>
      <c r="AG272" s="95"/>
      <c r="AH272" s="95"/>
      <c r="AI272" s="95"/>
      <c r="AJ272" s="95"/>
      <c r="AK272" s="95"/>
      <c r="AL272" s="95"/>
      <c r="AM272" s="95"/>
      <c r="AN272" s="95"/>
    </row>
    <row r="273" ht="14.25" customHeight="1" outlineLevel="1">
      <c r="B273" s="507">
        <f t="shared" si="1"/>
        <v>0</v>
      </c>
      <c r="C273" s="95" t="str">
        <f t="shared" si="2"/>
        <v>肥後銀行コロナ</v>
      </c>
      <c r="D273" s="95"/>
      <c r="E273" s="95"/>
      <c r="F273" s="95" t="s">
        <v>363</v>
      </c>
      <c r="G273" s="95">
        <v>0.0</v>
      </c>
      <c r="H273" s="95">
        <v>0.0</v>
      </c>
      <c r="I273" s="95">
        <v>0.0</v>
      </c>
      <c r="J273" s="95">
        <v>0.0</v>
      </c>
      <c r="K273" s="95">
        <v>0.0</v>
      </c>
      <c r="L273" s="95">
        <v>0.0</v>
      </c>
      <c r="M273" s="95">
        <v>0.0</v>
      </c>
      <c r="N273" s="95">
        <v>0.0</v>
      </c>
      <c r="O273" s="95">
        <v>0.0</v>
      </c>
      <c r="P273" s="95">
        <v>0.0</v>
      </c>
      <c r="Q273" s="95">
        <v>0.0</v>
      </c>
      <c r="R273" s="95">
        <v>0.0</v>
      </c>
      <c r="S273" s="95">
        <v>0.0</v>
      </c>
      <c r="T273" s="95">
        <v>0.0</v>
      </c>
      <c r="U273" s="95">
        <v>0.0</v>
      </c>
      <c r="V273" s="95">
        <v>0.0</v>
      </c>
      <c r="W273" s="95">
        <v>0.0</v>
      </c>
      <c r="X273" s="95">
        <v>0.0</v>
      </c>
      <c r="Y273" s="95">
        <v>0.0</v>
      </c>
      <c r="Z273" s="95">
        <v>0.0</v>
      </c>
      <c r="AA273" s="95">
        <v>0.0</v>
      </c>
      <c r="AB273" s="95">
        <v>58060.0</v>
      </c>
      <c r="AC273" s="95">
        <v>0.0</v>
      </c>
      <c r="AD273" s="95">
        <v>0.0</v>
      </c>
      <c r="AE273" s="95">
        <v>58060.0</v>
      </c>
      <c r="AF273" s="95"/>
      <c r="AG273" s="95"/>
      <c r="AH273" s="95"/>
      <c r="AI273" s="95"/>
      <c r="AJ273" s="95"/>
      <c r="AK273" s="95"/>
      <c r="AL273" s="95"/>
      <c r="AM273" s="95"/>
      <c r="AN273" s="95"/>
    </row>
    <row r="274" ht="14.25" customHeight="1" outlineLevel="1">
      <c r="B274" s="507">
        <f t="shared" si="1"/>
        <v>0</v>
      </c>
      <c r="C274" s="95" t="str">
        <f t="shared" si="2"/>
        <v>トライアルホールディングス</v>
      </c>
      <c r="D274" s="95"/>
      <c r="E274" s="95"/>
      <c r="F274" s="95" t="s">
        <v>234</v>
      </c>
      <c r="G274" s="95">
        <v>0.0</v>
      </c>
      <c r="H274" s="95">
        <v>0.0</v>
      </c>
      <c r="I274" s="95">
        <v>0.0</v>
      </c>
      <c r="J274" s="95">
        <v>0.0</v>
      </c>
      <c r="K274" s="95">
        <v>0.0</v>
      </c>
      <c r="L274" s="95">
        <v>0.0</v>
      </c>
      <c r="M274" s="95">
        <v>0.0</v>
      </c>
      <c r="N274" s="95">
        <v>0.0</v>
      </c>
      <c r="O274" s="95">
        <v>0.0</v>
      </c>
      <c r="P274" s="95">
        <v>0.0</v>
      </c>
      <c r="Q274" s="95">
        <v>0.0</v>
      </c>
      <c r="R274" s="95">
        <v>0.0</v>
      </c>
      <c r="S274" s="95">
        <v>0.0</v>
      </c>
      <c r="T274" s="95">
        <v>0.0</v>
      </c>
      <c r="U274" s="95">
        <v>0.0</v>
      </c>
      <c r="V274" s="95">
        <v>0.0</v>
      </c>
      <c r="W274" s="95">
        <v>0.0</v>
      </c>
      <c r="X274" s="95">
        <v>0.0</v>
      </c>
      <c r="Y274" s="95">
        <v>0.0</v>
      </c>
      <c r="Z274" s="95">
        <v>0.0</v>
      </c>
      <c r="AA274" s="95">
        <v>0.0</v>
      </c>
      <c r="AB274" s="95">
        <v>916332.0</v>
      </c>
      <c r="AC274" s="95">
        <v>0.0</v>
      </c>
      <c r="AD274" s="95">
        <v>0.0</v>
      </c>
      <c r="AE274" s="95">
        <v>916332.0</v>
      </c>
      <c r="AF274" s="95"/>
      <c r="AG274" s="95"/>
      <c r="AH274" s="95"/>
      <c r="AI274" s="95"/>
      <c r="AJ274" s="95"/>
      <c r="AK274" s="95"/>
      <c r="AL274" s="95"/>
      <c r="AM274" s="95"/>
      <c r="AN274" s="95"/>
    </row>
    <row r="275" ht="14.25" customHeight="1" outlineLevel="1">
      <c r="B275" s="507">
        <f t="shared" si="1"/>
        <v>0</v>
      </c>
      <c r="C275" s="95" t="str">
        <f t="shared" si="2"/>
        <v>みずほ（ゴルフ）</v>
      </c>
      <c r="D275" s="95"/>
      <c r="E275" s="95"/>
      <c r="F275" s="95" t="s">
        <v>364</v>
      </c>
      <c r="G275" s="95">
        <v>0.0</v>
      </c>
      <c r="H275" s="95">
        <v>0.0</v>
      </c>
      <c r="I275" s="95">
        <v>0.0</v>
      </c>
      <c r="J275" s="95">
        <v>0.0</v>
      </c>
      <c r="K275" s="95">
        <v>0.0</v>
      </c>
      <c r="L275" s="95">
        <v>0.0</v>
      </c>
      <c r="M275" s="95">
        <v>0.0</v>
      </c>
      <c r="N275" s="95">
        <v>0.0</v>
      </c>
      <c r="O275" s="95">
        <v>0.0</v>
      </c>
      <c r="P275" s="95">
        <v>0.0</v>
      </c>
      <c r="Q275" s="95">
        <v>0.0</v>
      </c>
      <c r="R275" s="95">
        <v>0.0</v>
      </c>
      <c r="S275" s="95">
        <v>0.0</v>
      </c>
      <c r="T275" s="95">
        <v>0.0</v>
      </c>
      <c r="U275" s="95">
        <v>0.0</v>
      </c>
      <c r="V275" s="95">
        <v>0.0</v>
      </c>
      <c r="W275" s="95">
        <v>0.0</v>
      </c>
      <c r="X275" s="95">
        <v>0.0</v>
      </c>
      <c r="Y275" s="95">
        <v>0.0</v>
      </c>
      <c r="Z275" s="95">
        <v>0.0</v>
      </c>
      <c r="AA275" s="95">
        <v>0.0</v>
      </c>
      <c r="AB275" s="95">
        <v>0.0</v>
      </c>
      <c r="AC275" s="95">
        <v>65880.0</v>
      </c>
      <c r="AD275" s="95">
        <v>0.0</v>
      </c>
      <c r="AE275" s="95">
        <v>65880.0</v>
      </c>
      <c r="AF275" s="95"/>
      <c r="AG275" s="95"/>
      <c r="AH275" s="95"/>
      <c r="AI275" s="95"/>
      <c r="AJ275" s="95"/>
      <c r="AK275" s="95"/>
      <c r="AL275" s="95"/>
      <c r="AM275" s="95"/>
      <c r="AN275" s="95"/>
    </row>
    <row r="276" ht="14.25" customHeight="1" outlineLevel="1">
      <c r="B276" s="507">
        <f t="shared" si="1"/>
        <v>0</v>
      </c>
      <c r="C276" s="95" t="str">
        <f t="shared" si="2"/>
        <v>補助科目なし</v>
      </c>
      <c r="D276" s="95"/>
      <c r="E276" s="95"/>
      <c r="F276" s="95" t="s">
        <v>199</v>
      </c>
      <c r="G276" s="95">
        <v>0.0</v>
      </c>
      <c r="H276" s="95">
        <v>0.0</v>
      </c>
      <c r="I276" s="95">
        <v>0.0</v>
      </c>
      <c r="J276" s="95">
        <v>0.0</v>
      </c>
      <c r="K276" s="95">
        <v>0.0</v>
      </c>
      <c r="L276" s="95">
        <v>0.0</v>
      </c>
      <c r="M276" s="95">
        <v>0.0</v>
      </c>
      <c r="N276" s="95">
        <v>0.0</v>
      </c>
      <c r="O276" s="95">
        <v>0.0</v>
      </c>
      <c r="P276" s="95">
        <v>0.0</v>
      </c>
      <c r="Q276" s="95">
        <v>0.0</v>
      </c>
      <c r="R276" s="95">
        <v>0.0</v>
      </c>
      <c r="S276" s="95">
        <v>0.0</v>
      </c>
      <c r="T276" s="95">
        <v>0.0</v>
      </c>
      <c r="U276" s="95">
        <v>0.0</v>
      </c>
      <c r="V276" s="95">
        <v>0.0</v>
      </c>
      <c r="W276" s="95">
        <v>0.0</v>
      </c>
      <c r="X276" s="95">
        <v>0.0</v>
      </c>
      <c r="Y276" s="95">
        <v>0.0</v>
      </c>
      <c r="Z276" s="95">
        <v>0.0</v>
      </c>
      <c r="AA276" s="95">
        <v>0.0</v>
      </c>
      <c r="AB276" s="95">
        <v>548754.0</v>
      </c>
      <c r="AC276" s="95">
        <v>0.0</v>
      </c>
      <c r="AD276" s="95">
        <v>0.0</v>
      </c>
      <c r="AE276" s="95">
        <v>548754.0</v>
      </c>
      <c r="AF276" s="95"/>
      <c r="AG276" s="95"/>
      <c r="AH276" s="95"/>
      <c r="AI276" s="95"/>
      <c r="AJ276" s="95"/>
      <c r="AK276" s="95"/>
      <c r="AL276" s="95"/>
      <c r="AM276" s="95"/>
      <c r="AN276" s="95"/>
    </row>
    <row r="277" ht="14.25" customHeight="1" outlineLevel="1">
      <c r="B277" s="507">
        <f t="shared" si="1"/>
        <v>0</v>
      </c>
      <c r="C277" s="95" t="str">
        <f t="shared" si="2"/>
        <v>雑損失</v>
      </c>
      <c r="D277" s="95"/>
      <c r="E277" s="95" t="s">
        <v>365</v>
      </c>
      <c r="F277" s="95"/>
      <c r="G277" s="95">
        <v>0.0</v>
      </c>
      <c r="H277" s="95">
        <v>0.0</v>
      </c>
      <c r="I277" s="95">
        <v>0.0</v>
      </c>
      <c r="J277" s="95">
        <v>0.0</v>
      </c>
      <c r="K277" s="95">
        <v>0.0</v>
      </c>
      <c r="L277" s="95">
        <v>0.0</v>
      </c>
      <c r="M277" s="95">
        <v>0.0</v>
      </c>
      <c r="N277" s="95">
        <v>0.0</v>
      </c>
      <c r="O277" s="95">
        <v>0.0</v>
      </c>
      <c r="P277" s="95">
        <v>0.0</v>
      </c>
      <c r="Q277" s="95">
        <v>0.0</v>
      </c>
      <c r="R277" s="95">
        <v>0.0</v>
      </c>
      <c r="S277" s="95">
        <v>0.0</v>
      </c>
      <c r="T277" s="95">
        <v>0.0</v>
      </c>
      <c r="U277" s="95">
        <v>0.0</v>
      </c>
      <c r="V277" s="95">
        <v>270.0</v>
      </c>
      <c r="W277" s="95">
        <v>0.0</v>
      </c>
      <c r="X277" s="95">
        <v>0.0</v>
      </c>
      <c r="Y277" s="95">
        <v>0.0</v>
      </c>
      <c r="Z277" s="95">
        <v>0.0</v>
      </c>
      <c r="AA277" s="95">
        <v>270.0</v>
      </c>
      <c r="AB277" s="95">
        <v>0.0</v>
      </c>
      <c r="AC277" s="95">
        <v>0.0</v>
      </c>
      <c r="AD277" s="95">
        <v>0.0</v>
      </c>
      <c r="AE277" s="95">
        <v>0.0</v>
      </c>
      <c r="AF277" s="95"/>
      <c r="AG277" s="95"/>
      <c r="AH277" s="95"/>
      <c r="AI277" s="95"/>
      <c r="AJ277" s="95"/>
      <c r="AK277" s="95"/>
      <c r="AL277" s="95"/>
      <c r="AM277" s="95"/>
      <c r="AN277" s="95"/>
    </row>
    <row r="278" ht="14.25" customHeight="1" outlineLevel="1">
      <c r="B278" s="507">
        <f t="shared" si="1"/>
        <v>0</v>
      </c>
      <c r="C278" s="95" t="str">
        <f t="shared" si="2"/>
        <v>営業外費用合計</v>
      </c>
      <c r="D278" s="95" t="s">
        <v>366</v>
      </c>
      <c r="E278" s="95"/>
      <c r="F278" s="95"/>
      <c r="G278" s="95">
        <v>0.0</v>
      </c>
      <c r="H278" s="95">
        <v>0.0</v>
      </c>
      <c r="I278" s="95">
        <v>0.0</v>
      </c>
      <c r="J278" s="95">
        <v>0.0</v>
      </c>
      <c r="K278" s="95">
        <v>0.0</v>
      </c>
      <c r="L278" s="95">
        <v>0.0</v>
      </c>
      <c r="M278" s="95">
        <v>0.0</v>
      </c>
      <c r="N278" s="95">
        <v>0.0</v>
      </c>
      <c r="O278" s="95">
        <v>0.0</v>
      </c>
      <c r="P278" s="95">
        <v>0.0</v>
      </c>
      <c r="Q278" s="95">
        <v>0.0</v>
      </c>
      <c r="R278" s="95">
        <v>0.0</v>
      </c>
      <c r="S278" s="95">
        <v>0.0</v>
      </c>
      <c r="T278" s="95">
        <v>0.0</v>
      </c>
      <c r="U278" s="95">
        <v>0.0</v>
      </c>
      <c r="V278" s="95">
        <v>270.0</v>
      </c>
      <c r="W278" s="95">
        <v>0.0</v>
      </c>
      <c r="X278" s="95">
        <v>0.0</v>
      </c>
      <c r="Y278" s="95">
        <v>0.0</v>
      </c>
      <c r="Z278" s="95">
        <v>0.0</v>
      </c>
      <c r="AA278" s="95">
        <v>270.0</v>
      </c>
      <c r="AB278" s="95">
        <v>1523146.0</v>
      </c>
      <c r="AC278" s="95">
        <v>65880.0</v>
      </c>
      <c r="AD278" s="95">
        <v>0.0</v>
      </c>
      <c r="AE278" s="95">
        <v>1589026.0</v>
      </c>
      <c r="AF278" s="95"/>
      <c r="AG278" s="95"/>
      <c r="AH278" s="95"/>
      <c r="AI278" s="95"/>
      <c r="AJ278" s="95"/>
      <c r="AK278" s="95"/>
      <c r="AL278" s="95"/>
      <c r="AM278" s="95"/>
      <c r="AN278" s="95"/>
    </row>
    <row r="279" ht="14.25" customHeight="1" outlineLevel="1">
      <c r="B279" s="507">
        <f t="shared" si="1"/>
        <v>0</v>
      </c>
      <c r="C279" s="95" t="str">
        <f t="shared" si="2"/>
        <v>経常利益</v>
      </c>
      <c r="D279" s="95" t="s">
        <v>367</v>
      </c>
      <c r="E279" s="95"/>
      <c r="F279" s="95"/>
      <c r="G279" s="95">
        <v>-3275292.0</v>
      </c>
      <c r="H279" s="95">
        <v>4165526.0</v>
      </c>
      <c r="I279" s="95">
        <v>1560424.0</v>
      </c>
      <c r="J279" s="95">
        <v>2268636.0</v>
      </c>
      <c r="K279" s="95">
        <v>0.0</v>
      </c>
      <c r="L279" s="95">
        <v>0.0</v>
      </c>
      <c r="M279" s="95">
        <v>4719294.0</v>
      </c>
      <c r="N279" s="95">
        <v>-1375521.0</v>
      </c>
      <c r="O279" s="95">
        <v>-1289068.0</v>
      </c>
      <c r="P279" s="95">
        <v>1088659.0</v>
      </c>
      <c r="Q279" s="95">
        <v>572483.0</v>
      </c>
      <c r="R279" s="95">
        <v>0.0</v>
      </c>
      <c r="S279" s="95">
        <v>0.0</v>
      </c>
      <c r="T279" s="95">
        <v>-1003447.0</v>
      </c>
      <c r="U279" s="95">
        <v>1850430.0</v>
      </c>
      <c r="V279" s="95">
        <v>1020549.0</v>
      </c>
      <c r="W279" s="95">
        <v>7250161.0</v>
      </c>
      <c r="X279" s="95">
        <v>3142361.0</v>
      </c>
      <c r="Y279" s="95">
        <v>129600.0</v>
      </c>
      <c r="Z279" s="95">
        <v>0.0</v>
      </c>
      <c r="AA279" s="95">
        <v>1.3393101E7</v>
      </c>
      <c r="AB279" s="95">
        <v>-1.16294E7</v>
      </c>
      <c r="AC279" s="95">
        <v>-1.0950353E7</v>
      </c>
      <c r="AD279" s="95">
        <v>0.0</v>
      </c>
      <c r="AE279" s="95">
        <v>-2.2579753E7</v>
      </c>
      <c r="AF279" s="95"/>
      <c r="AG279" s="95"/>
      <c r="AH279" s="95"/>
      <c r="AI279" s="95"/>
      <c r="AJ279" s="95"/>
      <c r="AK279" s="95"/>
      <c r="AL279" s="95"/>
      <c r="AM279" s="95"/>
      <c r="AN279" s="95"/>
    </row>
    <row r="280" ht="14.25" customHeight="1" outlineLevel="1">
      <c r="B280" s="507">
        <f t="shared" si="1"/>
        <v>0</v>
      </c>
      <c r="C280" s="95" t="str">
        <f t="shared" si="2"/>
        <v>特別利益</v>
      </c>
      <c r="D280" s="95" t="s">
        <v>368</v>
      </c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</row>
    <row r="281" ht="14.25" customHeight="1" outlineLevel="1">
      <c r="B281" s="507">
        <f t="shared" si="1"/>
        <v>0</v>
      </c>
      <c r="C281" s="95" t="str">
        <f t="shared" si="2"/>
        <v>特別利益合計</v>
      </c>
      <c r="D281" s="95" t="s">
        <v>369</v>
      </c>
      <c r="E281" s="95"/>
      <c r="F281" s="95"/>
      <c r="G281" s="95">
        <v>0.0</v>
      </c>
      <c r="H281" s="95">
        <v>0.0</v>
      </c>
      <c r="I281" s="95">
        <v>0.0</v>
      </c>
      <c r="J281" s="95">
        <v>0.0</v>
      </c>
      <c r="K281" s="95">
        <v>0.0</v>
      </c>
      <c r="L281" s="95">
        <v>0.0</v>
      </c>
      <c r="M281" s="95">
        <v>0.0</v>
      </c>
      <c r="N281" s="95">
        <v>0.0</v>
      </c>
      <c r="O281" s="95">
        <v>0.0</v>
      </c>
      <c r="P281" s="95">
        <v>0.0</v>
      </c>
      <c r="Q281" s="95">
        <v>0.0</v>
      </c>
      <c r="R281" s="95">
        <v>0.0</v>
      </c>
      <c r="S281" s="95">
        <v>0.0</v>
      </c>
      <c r="T281" s="95">
        <v>0.0</v>
      </c>
      <c r="U281" s="95">
        <v>0.0</v>
      </c>
      <c r="V281" s="95">
        <v>0.0</v>
      </c>
      <c r="W281" s="95">
        <v>0.0</v>
      </c>
      <c r="X281" s="95">
        <v>0.0</v>
      </c>
      <c r="Y281" s="95">
        <v>0.0</v>
      </c>
      <c r="Z281" s="95">
        <v>0.0</v>
      </c>
      <c r="AA281" s="95">
        <v>0.0</v>
      </c>
      <c r="AB281" s="95">
        <v>0.0</v>
      </c>
      <c r="AC281" s="95">
        <v>0.0</v>
      </c>
      <c r="AD281" s="95">
        <v>0.0</v>
      </c>
      <c r="AE281" s="95">
        <v>0.0</v>
      </c>
      <c r="AF281" s="95"/>
      <c r="AG281" s="95"/>
      <c r="AH281" s="95"/>
      <c r="AI281" s="95"/>
      <c r="AJ281" s="95"/>
      <c r="AK281" s="95"/>
      <c r="AL281" s="95"/>
      <c r="AM281" s="95"/>
      <c r="AN281" s="95"/>
    </row>
    <row r="282" ht="14.25" customHeight="1" outlineLevel="1">
      <c r="B282" s="507">
        <f t="shared" si="1"/>
        <v>0</v>
      </c>
      <c r="C282" s="95" t="str">
        <f t="shared" si="2"/>
        <v>特別損失</v>
      </c>
      <c r="D282" s="95" t="s">
        <v>370</v>
      </c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</row>
    <row r="283" ht="14.25" customHeight="1" outlineLevel="1">
      <c r="B283" s="507">
        <f t="shared" si="1"/>
        <v>0</v>
      </c>
      <c r="C283" s="95" t="str">
        <f t="shared" si="2"/>
        <v>特別損失合計</v>
      </c>
      <c r="D283" s="95" t="s">
        <v>371</v>
      </c>
      <c r="E283" s="95"/>
      <c r="F283" s="95"/>
      <c r="G283" s="95">
        <v>0.0</v>
      </c>
      <c r="H283" s="95">
        <v>0.0</v>
      </c>
      <c r="I283" s="95">
        <v>0.0</v>
      </c>
      <c r="J283" s="95">
        <v>0.0</v>
      </c>
      <c r="K283" s="95">
        <v>0.0</v>
      </c>
      <c r="L283" s="95">
        <v>0.0</v>
      </c>
      <c r="M283" s="95">
        <v>0.0</v>
      </c>
      <c r="N283" s="95">
        <v>0.0</v>
      </c>
      <c r="O283" s="95">
        <v>0.0</v>
      </c>
      <c r="P283" s="95">
        <v>0.0</v>
      </c>
      <c r="Q283" s="95">
        <v>0.0</v>
      </c>
      <c r="R283" s="95">
        <v>0.0</v>
      </c>
      <c r="S283" s="95">
        <v>0.0</v>
      </c>
      <c r="T283" s="95">
        <v>0.0</v>
      </c>
      <c r="U283" s="95">
        <v>0.0</v>
      </c>
      <c r="V283" s="95">
        <v>0.0</v>
      </c>
      <c r="W283" s="95">
        <v>0.0</v>
      </c>
      <c r="X283" s="95">
        <v>0.0</v>
      </c>
      <c r="Y283" s="95">
        <v>0.0</v>
      </c>
      <c r="Z283" s="95">
        <v>0.0</v>
      </c>
      <c r="AA283" s="95">
        <v>0.0</v>
      </c>
      <c r="AB283" s="95">
        <v>0.0</v>
      </c>
      <c r="AC283" s="95">
        <v>0.0</v>
      </c>
      <c r="AD283" s="95">
        <v>0.0</v>
      </c>
      <c r="AE283" s="95">
        <v>0.0</v>
      </c>
      <c r="AF283" s="95"/>
      <c r="AG283" s="95"/>
      <c r="AH283" s="95"/>
      <c r="AI283" s="95"/>
      <c r="AJ283" s="95"/>
      <c r="AK283" s="95"/>
      <c r="AL283" s="95"/>
      <c r="AM283" s="95"/>
      <c r="AN283" s="95"/>
    </row>
    <row r="284" ht="14.25" customHeight="1" outlineLevel="1">
      <c r="B284" s="507">
        <f t="shared" si="1"/>
        <v>0</v>
      </c>
      <c r="C284" s="95" t="str">
        <f t="shared" si="2"/>
        <v>当期純損益</v>
      </c>
      <c r="D284" s="95" t="s">
        <v>372</v>
      </c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</row>
    <row r="285" ht="14.25" customHeight="1" outlineLevel="1">
      <c r="B285" s="507">
        <f t="shared" si="1"/>
        <v>0</v>
      </c>
      <c r="C285" s="95" t="str">
        <f t="shared" si="2"/>
        <v>税引前当期純利益</v>
      </c>
      <c r="D285" s="95" t="s">
        <v>373</v>
      </c>
      <c r="E285" s="95"/>
      <c r="F285" s="95"/>
      <c r="G285" s="95">
        <v>-3275292.0</v>
      </c>
      <c r="H285" s="95">
        <v>4165526.0</v>
      </c>
      <c r="I285" s="95">
        <v>1560424.0</v>
      </c>
      <c r="J285" s="95">
        <v>2268636.0</v>
      </c>
      <c r="K285" s="95">
        <v>0.0</v>
      </c>
      <c r="L285" s="95">
        <v>0.0</v>
      </c>
      <c r="M285" s="95">
        <v>4719294.0</v>
      </c>
      <c r="N285" s="95">
        <v>-1375521.0</v>
      </c>
      <c r="O285" s="95">
        <v>-1289068.0</v>
      </c>
      <c r="P285" s="95">
        <v>1088659.0</v>
      </c>
      <c r="Q285" s="95">
        <v>572483.0</v>
      </c>
      <c r="R285" s="95">
        <v>0.0</v>
      </c>
      <c r="S285" s="95">
        <v>0.0</v>
      </c>
      <c r="T285" s="95">
        <v>-1003447.0</v>
      </c>
      <c r="U285" s="95">
        <v>1850430.0</v>
      </c>
      <c r="V285" s="95">
        <v>1020549.0</v>
      </c>
      <c r="W285" s="95">
        <v>7250161.0</v>
      </c>
      <c r="X285" s="95">
        <v>3142361.0</v>
      </c>
      <c r="Y285" s="95">
        <v>129600.0</v>
      </c>
      <c r="Z285" s="95">
        <v>0.0</v>
      </c>
      <c r="AA285" s="95">
        <v>1.3393101E7</v>
      </c>
      <c r="AB285" s="95">
        <v>-1.16294E7</v>
      </c>
      <c r="AC285" s="95">
        <v>-1.0950353E7</v>
      </c>
      <c r="AD285" s="95">
        <v>0.0</v>
      </c>
      <c r="AE285" s="95">
        <v>-2.2579753E7</v>
      </c>
      <c r="AF285" s="95"/>
      <c r="AG285" s="95"/>
      <c r="AH285" s="95"/>
      <c r="AI285" s="95"/>
      <c r="AJ285" s="95"/>
      <c r="AK285" s="95"/>
      <c r="AL285" s="95"/>
      <c r="AM285" s="95"/>
      <c r="AN285" s="95"/>
    </row>
    <row r="286" ht="14.25" customHeight="1" outlineLevel="1">
      <c r="B286" s="507">
        <f t="shared" si="1"/>
        <v>0</v>
      </c>
      <c r="C286" s="95" t="str">
        <f t="shared" si="2"/>
        <v>当期純利益</v>
      </c>
      <c r="D286" s="95" t="s">
        <v>374</v>
      </c>
      <c r="E286" s="95"/>
      <c r="F286" s="95"/>
      <c r="G286" s="95">
        <v>-3275292.0</v>
      </c>
      <c r="H286" s="95">
        <v>4165526.0</v>
      </c>
      <c r="I286" s="95">
        <v>1560424.0</v>
      </c>
      <c r="J286" s="95">
        <v>2268636.0</v>
      </c>
      <c r="K286" s="95">
        <v>0.0</v>
      </c>
      <c r="L286" s="95">
        <v>0.0</v>
      </c>
      <c r="M286" s="95">
        <v>4719294.0</v>
      </c>
      <c r="N286" s="95">
        <v>-1375521.0</v>
      </c>
      <c r="O286" s="95">
        <v>-1289068.0</v>
      </c>
      <c r="P286" s="95">
        <v>1088659.0</v>
      </c>
      <c r="Q286" s="95">
        <v>572483.0</v>
      </c>
      <c r="R286" s="95">
        <v>0.0</v>
      </c>
      <c r="S286" s="95">
        <v>0.0</v>
      </c>
      <c r="T286" s="95">
        <v>-1003447.0</v>
      </c>
      <c r="U286" s="95">
        <v>1850430.0</v>
      </c>
      <c r="V286" s="95">
        <v>1020549.0</v>
      </c>
      <c r="W286" s="95">
        <v>7250161.0</v>
      </c>
      <c r="X286" s="95">
        <v>3142361.0</v>
      </c>
      <c r="Y286" s="95">
        <v>129600.0</v>
      </c>
      <c r="Z286" s="95">
        <v>0.0</v>
      </c>
      <c r="AA286" s="95">
        <v>1.3393101E7</v>
      </c>
      <c r="AB286" s="95">
        <v>-1.16294E7</v>
      </c>
      <c r="AC286" s="95">
        <v>-1.0950353E7</v>
      </c>
      <c r="AD286" s="95">
        <v>0.0</v>
      </c>
      <c r="AE286" s="95">
        <v>-2.2579753E7</v>
      </c>
      <c r="AF286" s="95"/>
      <c r="AG286" s="95"/>
      <c r="AH286" s="95"/>
      <c r="AI286" s="95"/>
      <c r="AJ286" s="95"/>
      <c r="AK286" s="95"/>
      <c r="AL286" s="95"/>
      <c r="AM286" s="95"/>
      <c r="AN286" s="95"/>
    </row>
    <row r="287" ht="14.25" customHeight="1" outlineLevel="1">
      <c r="B287" s="507">
        <f t="shared" si="1"/>
        <v>0</v>
      </c>
      <c r="C287" s="95" t="str">
        <f t="shared" si="2"/>
        <v/>
      </c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</row>
    <row r="288" ht="14.25" customHeight="1" outlineLevel="1">
      <c r="B288" s="507">
        <f t="shared" si="1"/>
        <v>0</v>
      </c>
      <c r="C288" s="95" t="str">
        <f t="shared" si="2"/>
        <v/>
      </c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</row>
    <row r="289" ht="14.25" customHeight="1" outlineLevel="1">
      <c r="B289" s="507">
        <f t="shared" si="1"/>
        <v>0</v>
      </c>
      <c r="C289" s="95" t="str">
        <f t="shared" si="2"/>
        <v/>
      </c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</row>
    <row r="290" ht="14.25" customHeight="1" outlineLevel="1">
      <c r="B290" s="507">
        <f t="shared" si="1"/>
        <v>0</v>
      </c>
      <c r="C290" s="95" t="str">
        <f t="shared" si="2"/>
        <v/>
      </c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</row>
    <row r="291" ht="14.25" customHeight="1" outlineLevel="1">
      <c r="B291" s="507">
        <f t="shared" si="1"/>
        <v>0</v>
      </c>
      <c r="C291" s="95" t="str">
        <f t="shared" si="2"/>
        <v/>
      </c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</row>
    <row r="292" ht="14.25" customHeight="1" outlineLevel="1">
      <c r="B292" s="507">
        <f t="shared" si="1"/>
        <v>0</v>
      </c>
      <c r="C292" s="95" t="str">
        <f t="shared" si="2"/>
        <v/>
      </c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</row>
    <row r="293" ht="14.25" customHeight="1" outlineLevel="1">
      <c r="B293" s="507">
        <f t="shared" si="1"/>
        <v>0</v>
      </c>
      <c r="C293" s="95" t="str">
        <f t="shared" si="2"/>
        <v/>
      </c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</row>
    <row r="294" ht="14.25" customHeight="1" outlineLevel="1">
      <c r="B294" s="507">
        <f t="shared" si="1"/>
        <v>0</v>
      </c>
      <c r="C294" s="95" t="str">
        <f t="shared" si="2"/>
        <v/>
      </c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</row>
    <row r="295" ht="14.25" customHeight="1" outlineLevel="1">
      <c r="B295" s="507">
        <f t="shared" si="1"/>
        <v>0</v>
      </c>
      <c r="C295" s="95" t="str">
        <f t="shared" si="2"/>
        <v/>
      </c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</row>
    <row r="296" ht="14.25" customHeight="1" outlineLevel="1">
      <c r="B296" s="507">
        <f t="shared" si="1"/>
        <v>0</v>
      </c>
      <c r="C296" s="95" t="str">
        <f t="shared" si="2"/>
        <v/>
      </c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</row>
    <row r="297" ht="14.25" customHeight="1" outlineLevel="1">
      <c r="B297" s="507">
        <f t="shared" si="1"/>
        <v>0</v>
      </c>
      <c r="C297" s="95" t="str">
        <f t="shared" si="2"/>
        <v/>
      </c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</row>
    <row r="298" ht="14.25" customHeight="1" outlineLevel="1">
      <c r="B298" s="507">
        <f t="shared" si="1"/>
        <v>0</v>
      </c>
      <c r="C298" s="95" t="str">
        <f t="shared" si="2"/>
        <v/>
      </c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</row>
    <row r="299" ht="14.25" customHeight="1" outlineLevel="1">
      <c r="B299" s="507">
        <f t="shared" si="1"/>
        <v>0</v>
      </c>
      <c r="C299" s="95" t="str">
        <f t="shared" si="2"/>
        <v/>
      </c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</row>
    <row r="300" ht="14.25" customHeight="1" outlineLevel="1">
      <c r="B300" s="507">
        <f t="shared" si="1"/>
        <v>0</v>
      </c>
      <c r="C300" s="95" t="str">
        <f t="shared" si="2"/>
        <v/>
      </c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</row>
    <row r="301" ht="14.25" customHeight="1" outlineLevel="1">
      <c r="B301" s="507">
        <f t="shared" si="1"/>
        <v>0</v>
      </c>
      <c r="C301" s="95" t="str">
        <f t="shared" si="2"/>
        <v/>
      </c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</row>
    <row r="302" ht="14.25" customHeight="1" outlineLevel="1">
      <c r="B302" s="507">
        <f t="shared" si="1"/>
        <v>0</v>
      </c>
      <c r="C302" s="95" t="str">
        <f t="shared" si="2"/>
        <v/>
      </c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</row>
    <row r="303" ht="14.25" customHeight="1" outlineLevel="1">
      <c r="B303" s="507">
        <f t="shared" si="1"/>
        <v>0</v>
      </c>
      <c r="C303" s="95" t="str">
        <f t="shared" si="2"/>
        <v/>
      </c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</row>
    <row r="304" ht="14.25" customHeight="1" outlineLevel="1">
      <c r="B304" s="507">
        <f t="shared" si="1"/>
        <v>0</v>
      </c>
      <c r="C304" s="95" t="str">
        <f t="shared" si="2"/>
        <v/>
      </c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</row>
    <row r="305" ht="14.25" customHeight="1" outlineLevel="1">
      <c r="B305" s="507">
        <f t="shared" si="1"/>
        <v>0</v>
      </c>
      <c r="C305" s="95" t="str">
        <f t="shared" si="2"/>
        <v/>
      </c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</row>
    <row r="306" ht="14.25" customHeight="1" outlineLevel="1">
      <c r="B306" s="507">
        <f t="shared" si="1"/>
        <v>0</v>
      </c>
      <c r="C306" s="95" t="str">
        <f t="shared" si="2"/>
        <v/>
      </c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</row>
    <row r="307" ht="14.25" customHeight="1" outlineLevel="1">
      <c r="B307" s="507">
        <f t="shared" si="1"/>
        <v>0</v>
      </c>
      <c r="C307" s="95" t="str">
        <f t="shared" si="2"/>
        <v/>
      </c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</row>
    <row r="308" ht="14.25" customHeight="1" outlineLevel="1">
      <c r="B308" s="507">
        <f t="shared" si="1"/>
        <v>0</v>
      </c>
      <c r="C308" s="95" t="str">
        <f t="shared" si="2"/>
        <v/>
      </c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</row>
    <row r="309" ht="14.25" customHeight="1" outlineLevel="1">
      <c r="B309" s="507">
        <f t="shared" si="1"/>
        <v>0</v>
      </c>
      <c r="C309" s="95" t="str">
        <f t="shared" si="2"/>
        <v/>
      </c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</row>
    <row r="310" ht="14.25" customHeight="1" outlineLevel="1">
      <c r="B310" s="507">
        <f t="shared" si="1"/>
        <v>0</v>
      </c>
      <c r="C310" s="95" t="str">
        <f t="shared" si="2"/>
        <v/>
      </c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</row>
    <row r="311" ht="14.25" customHeight="1" outlineLevel="1">
      <c r="B311" s="507">
        <f t="shared" si="1"/>
        <v>0</v>
      </c>
      <c r="C311" s="95" t="str">
        <f t="shared" si="2"/>
        <v/>
      </c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</row>
    <row r="312" ht="14.25" customHeight="1" outlineLevel="1">
      <c r="B312" s="507">
        <f t="shared" si="1"/>
        <v>0</v>
      </c>
      <c r="C312" s="95" t="str">
        <f t="shared" si="2"/>
        <v/>
      </c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</row>
    <row r="313" ht="14.25" customHeight="1" outlineLevel="1">
      <c r="B313" s="507">
        <f t="shared" si="1"/>
        <v>0</v>
      </c>
      <c r="C313" s="95" t="str">
        <f t="shared" si="2"/>
        <v/>
      </c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</row>
    <row r="314" ht="14.25" customHeight="1" outlineLevel="1">
      <c r="B314" s="507">
        <f t="shared" si="1"/>
        <v>0</v>
      </c>
      <c r="C314" s="95" t="str">
        <f t="shared" si="2"/>
        <v/>
      </c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</row>
    <row r="315" ht="14.25" customHeight="1" outlineLevel="1">
      <c r="B315" s="507">
        <f t="shared" si="1"/>
        <v>0</v>
      </c>
      <c r="C315" s="95" t="str">
        <f t="shared" si="2"/>
        <v/>
      </c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</row>
    <row r="316" ht="14.25" customHeight="1" outlineLevel="1">
      <c r="B316" s="507">
        <f t="shared" si="1"/>
        <v>0</v>
      </c>
      <c r="C316" s="95" t="str">
        <f t="shared" si="2"/>
        <v/>
      </c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</row>
    <row r="317" ht="14.25" customHeight="1" outlineLevel="1">
      <c r="B317" s="507">
        <f t="shared" si="1"/>
        <v>0</v>
      </c>
      <c r="C317" s="95" t="str">
        <f t="shared" si="2"/>
        <v/>
      </c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</row>
    <row r="318" ht="14.25" customHeight="1" outlineLevel="1">
      <c r="B318" s="507">
        <f t="shared" si="1"/>
        <v>0</v>
      </c>
      <c r="C318" s="95" t="str">
        <f t="shared" si="2"/>
        <v/>
      </c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</row>
    <row r="319" ht="14.25" customHeight="1">
      <c r="A319" s="509" t="s">
        <v>375</v>
      </c>
      <c r="B319" s="510"/>
      <c r="C319" s="509"/>
      <c r="D319" s="509"/>
      <c r="E319" s="509"/>
      <c r="F319" s="509"/>
      <c r="G319" s="509">
        <f t="shared" ref="G319:AE319" si="3">G262</f>
        <v>9529906</v>
      </c>
      <c r="H319" s="509">
        <f t="shared" si="3"/>
        <v>1207036</v>
      </c>
      <c r="I319" s="509">
        <f t="shared" si="3"/>
        <v>10192741</v>
      </c>
      <c r="J319" s="509">
        <f t="shared" si="3"/>
        <v>133977</v>
      </c>
      <c r="K319" s="509">
        <f t="shared" si="3"/>
        <v>0</v>
      </c>
      <c r="L319" s="509">
        <f t="shared" si="3"/>
        <v>0</v>
      </c>
      <c r="M319" s="509">
        <f t="shared" si="3"/>
        <v>21063660</v>
      </c>
      <c r="N319" s="509">
        <f t="shared" si="3"/>
        <v>7684404</v>
      </c>
      <c r="O319" s="509">
        <f t="shared" si="3"/>
        <v>5220866</v>
      </c>
      <c r="P319" s="509">
        <f t="shared" si="3"/>
        <v>2695</v>
      </c>
      <c r="Q319" s="509">
        <f t="shared" si="3"/>
        <v>18674</v>
      </c>
      <c r="R319" s="509">
        <f t="shared" si="3"/>
        <v>0</v>
      </c>
      <c r="S319" s="509">
        <f t="shared" si="3"/>
        <v>0</v>
      </c>
      <c r="T319" s="509">
        <f t="shared" si="3"/>
        <v>12926639</v>
      </c>
      <c r="U319" s="509">
        <f t="shared" si="3"/>
        <v>3997018</v>
      </c>
      <c r="V319" s="509">
        <f t="shared" si="3"/>
        <v>30904543</v>
      </c>
      <c r="W319" s="509">
        <f t="shared" si="3"/>
        <v>957870</v>
      </c>
      <c r="X319" s="509">
        <f t="shared" si="3"/>
        <v>6717077</v>
      </c>
      <c r="Y319" s="509">
        <f t="shared" si="3"/>
        <v>0</v>
      </c>
      <c r="Z319" s="509">
        <f t="shared" si="3"/>
        <v>0</v>
      </c>
      <c r="AA319" s="509">
        <f t="shared" si="3"/>
        <v>42576508</v>
      </c>
      <c r="AB319" s="509">
        <f t="shared" si="3"/>
        <v>12003820</v>
      </c>
      <c r="AC319" s="509">
        <f t="shared" si="3"/>
        <v>10884473</v>
      </c>
      <c r="AD319" s="509">
        <f t="shared" si="3"/>
        <v>0</v>
      </c>
      <c r="AE319" s="509">
        <f t="shared" si="3"/>
        <v>22888293</v>
      </c>
      <c r="AF319" s="95"/>
      <c r="AG319" s="95"/>
      <c r="AH319" s="95"/>
      <c r="AI319" s="95"/>
      <c r="AJ319" s="95"/>
      <c r="AK319" s="95"/>
      <c r="AL319" s="95"/>
      <c r="AM319" s="95"/>
      <c r="AN319" s="95"/>
    </row>
    <row r="320" ht="14.25" customHeight="1">
      <c r="A320" s="509" t="s">
        <v>376</v>
      </c>
      <c r="B320" s="510"/>
      <c r="C320" s="509"/>
      <c r="D320" s="509"/>
      <c r="E320" s="509"/>
      <c r="F320" s="509"/>
      <c r="G320" s="509" t="str">
        <f t="shared" ref="G320:J320" si="4">#REF!</f>
        <v>#REF!</v>
      </c>
      <c r="H320" s="509" t="str">
        <f t="shared" si="4"/>
        <v>#REF!</v>
      </c>
      <c r="I320" s="509" t="str">
        <f t="shared" si="4"/>
        <v>#REF!</v>
      </c>
      <c r="J320" s="509" t="str">
        <f t="shared" si="4"/>
        <v>#REF!</v>
      </c>
      <c r="K320" s="509"/>
      <c r="L320" s="509"/>
      <c r="M320" s="509" t="str">
        <f t="shared" ref="M320:Q320" si="5">#REF!</f>
        <v>#REF!</v>
      </c>
      <c r="N320" s="509" t="str">
        <f t="shared" si="5"/>
        <v>#REF!</v>
      </c>
      <c r="O320" s="509" t="str">
        <f t="shared" si="5"/>
        <v>#REF!</v>
      </c>
      <c r="P320" s="509" t="str">
        <f t="shared" si="5"/>
        <v>#REF!</v>
      </c>
      <c r="Q320" s="509" t="str">
        <f t="shared" si="5"/>
        <v>#REF!</v>
      </c>
      <c r="R320" s="509"/>
      <c r="S320" s="509" t="str">
        <f t="shared" ref="S320:X320" si="6">#REF!</f>
        <v>#REF!</v>
      </c>
      <c r="T320" s="509" t="str">
        <f t="shared" si="6"/>
        <v>#REF!</v>
      </c>
      <c r="U320" s="509" t="str">
        <f t="shared" si="6"/>
        <v>#REF!</v>
      </c>
      <c r="V320" s="509" t="str">
        <f t="shared" si="6"/>
        <v>#REF!</v>
      </c>
      <c r="W320" s="509" t="str">
        <f t="shared" si="6"/>
        <v>#REF!</v>
      </c>
      <c r="X320" s="509" t="str">
        <f t="shared" si="6"/>
        <v>#REF!</v>
      </c>
      <c r="Y320" s="509"/>
      <c r="Z320" s="509"/>
      <c r="AA320" s="509"/>
      <c r="AB320" s="509" t="str">
        <f t="shared" ref="AB320:AC320" si="7">#REF!</f>
        <v>#REF!</v>
      </c>
      <c r="AC320" s="509" t="str">
        <f t="shared" si="7"/>
        <v>#REF!</v>
      </c>
      <c r="AD320" s="509"/>
      <c r="AE320" s="509"/>
      <c r="AF320" s="95"/>
      <c r="AG320" s="95"/>
      <c r="AH320" s="95"/>
      <c r="AI320" s="95"/>
      <c r="AJ320" s="95"/>
      <c r="AK320" s="95"/>
      <c r="AL320" s="95"/>
      <c r="AM320" s="95"/>
      <c r="AN320" s="95"/>
    </row>
    <row r="321" ht="14.25" customHeight="1">
      <c r="A321" s="509" t="s">
        <v>377</v>
      </c>
      <c r="B321" s="509"/>
      <c r="C321" s="509"/>
      <c r="D321" s="509"/>
      <c r="E321" s="509"/>
      <c r="F321" s="509"/>
      <c r="G321" s="509">
        <f t="shared" ref="G321:AE321" si="8">G263</f>
        <v>-3296196</v>
      </c>
      <c r="H321" s="509">
        <f t="shared" si="8"/>
        <v>4165526</v>
      </c>
      <c r="I321" s="509">
        <f t="shared" si="8"/>
        <v>1490970</v>
      </c>
      <c r="J321" s="509">
        <f t="shared" si="8"/>
        <v>2268636</v>
      </c>
      <c r="K321" s="509">
        <f t="shared" si="8"/>
        <v>0</v>
      </c>
      <c r="L321" s="509">
        <f t="shared" si="8"/>
        <v>0</v>
      </c>
      <c r="M321" s="509">
        <f t="shared" si="8"/>
        <v>4628936</v>
      </c>
      <c r="N321" s="509">
        <f t="shared" si="8"/>
        <v>-1375521</v>
      </c>
      <c r="O321" s="509">
        <f t="shared" si="8"/>
        <v>-1289068</v>
      </c>
      <c r="P321" s="509">
        <f t="shared" si="8"/>
        <v>1088659</v>
      </c>
      <c r="Q321" s="509">
        <f t="shared" si="8"/>
        <v>572483</v>
      </c>
      <c r="R321" s="509">
        <f t="shared" si="8"/>
        <v>0</v>
      </c>
      <c r="S321" s="509">
        <f t="shared" si="8"/>
        <v>0</v>
      </c>
      <c r="T321" s="509">
        <f t="shared" si="8"/>
        <v>-1003447</v>
      </c>
      <c r="U321" s="509">
        <f t="shared" si="8"/>
        <v>1850430</v>
      </c>
      <c r="V321" s="509">
        <f t="shared" si="8"/>
        <v>946866</v>
      </c>
      <c r="W321" s="509">
        <f t="shared" si="8"/>
        <v>7250161</v>
      </c>
      <c r="X321" s="509">
        <f t="shared" si="8"/>
        <v>3037859</v>
      </c>
      <c r="Y321" s="509">
        <f t="shared" si="8"/>
        <v>112000</v>
      </c>
      <c r="Z321" s="509">
        <f t="shared" si="8"/>
        <v>0</v>
      </c>
      <c r="AA321" s="509">
        <f t="shared" si="8"/>
        <v>13197316</v>
      </c>
      <c r="AB321" s="509">
        <f t="shared" si="8"/>
        <v>-12003820</v>
      </c>
      <c r="AC321" s="509">
        <f t="shared" si="8"/>
        <v>-10884473</v>
      </c>
      <c r="AD321" s="509">
        <f t="shared" si="8"/>
        <v>0</v>
      </c>
      <c r="AE321" s="509">
        <f t="shared" si="8"/>
        <v>-22888293</v>
      </c>
      <c r="AF321" s="95"/>
      <c r="AG321" s="95"/>
      <c r="AH321" s="95"/>
      <c r="AI321" s="95"/>
      <c r="AJ321" s="95"/>
      <c r="AK321" s="95"/>
      <c r="AL321" s="95"/>
      <c r="AM321" s="95"/>
      <c r="AN321" s="95"/>
    </row>
    <row r="322" ht="14.25" customHeight="1">
      <c r="A322" s="509" t="s">
        <v>378</v>
      </c>
      <c r="B322" s="509"/>
      <c r="C322" s="509"/>
      <c r="D322" s="509"/>
      <c r="E322" s="509"/>
      <c r="F322" s="509"/>
      <c r="G322" s="509" t="str">
        <f t="shared" ref="G322:J322" si="9">#REF!</f>
        <v>#REF!</v>
      </c>
      <c r="H322" s="509" t="str">
        <f t="shared" si="9"/>
        <v>#REF!</v>
      </c>
      <c r="I322" s="509" t="str">
        <f t="shared" si="9"/>
        <v>#REF!</v>
      </c>
      <c r="J322" s="509" t="str">
        <f t="shared" si="9"/>
        <v>#REF!</v>
      </c>
      <c r="K322" s="509"/>
      <c r="L322" s="509"/>
      <c r="M322" s="509" t="str">
        <f t="shared" ref="M322:Q322" si="10">#REF!</f>
        <v>#REF!</v>
      </c>
      <c r="N322" s="509" t="str">
        <f t="shared" si="10"/>
        <v>#REF!</v>
      </c>
      <c r="O322" s="509" t="str">
        <f t="shared" si="10"/>
        <v>#REF!</v>
      </c>
      <c r="P322" s="509" t="str">
        <f t="shared" si="10"/>
        <v>#REF!</v>
      </c>
      <c r="Q322" s="509" t="str">
        <f t="shared" si="10"/>
        <v>#REF!</v>
      </c>
      <c r="R322" s="509"/>
      <c r="S322" s="509" t="str">
        <f t="shared" ref="S322:X322" si="11">#REF!</f>
        <v>#REF!</v>
      </c>
      <c r="T322" s="509" t="str">
        <f t="shared" si="11"/>
        <v>#REF!</v>
      </c>
      <c r="U322" s="509" t="str">
        <f t="shared" si="11"/>
        <v>#REF!</v>
      </c>
      <c r="V322" s="509" t="str">
        <f t="shared" si="11"/>
        <v>#REF!</v>
      </c>
      <c r="W322" s="509" t="str">
        <f t="shared" si="11"/>
        <v>#REF!</v>
      </c>
      <c r="X322" s="509" t="str">
        <f t="shared" si="11"/>
        <v>#REF!</v>
      </c>
      <c r="Y322" s="509"/>
      <c r="Z322" s="509"/>
      <c r="AA322" s="509"/>
      <c r="AB322" s="509" t="str">
        <f t="shared" ref="AB322:AC322" si="12">#REF!</f>
        <v>#REF!</v>
      </c>
      <c r="AC322" s="509" t="str">
        <f t="shared" si="12"/>
        <v>#REF!</v>
      </c>
      <c r="AD322" s="509"/>
      <c r="AE322" s="509"/>
      <c r="AF322" s="95"/>
      <c r="AG322" s="95"/>
      <c r="AH322" s="95"/>
      <c r="AI322" s="95"/>
      <c r="AJ322" s="95"/>
      <c r="AK322" s="95"/>
      <c r="AL322" s="95"/>
      <c r="AM322" s="95"/>
      <c r="AN322" s="95"/>
    </row>
    <row r="323" ht="14.25" customHeight="1">
      <c r="A323" s="95"/>
      <c r="B323" s="95"/>
      <c r="C323" s="95"/>
      <c r="D323" s="95"/>
      <c r="E323" s="95"/>
      <c r="F323" s="95"/>
      <c r="G323" s="95" t="str">
        <f t="shared" ref="G323:J323" si="13">G320-G319</f>
        <v>#REF!</v>
      </c>
      <c r="H323" s="95" t="str">
        <f t="shared" si="13"/>
        <v>#REF!</v>
      </c>
      <c r="I323" s="95" t="str">
        <f t="shared" si="13"/>
        <v>#REF!</v>
      </c>
      <c r="J323" s="95" t="str">
        <f t="shared" si="13"/>
        <v>#REF!</v>
      </c>
      <c r="K323" s="95"/>
      <c r="L323" s="95"/>
      <c r="M323" s="95"/>
      <c r="N323" s="95" t="str">
        <f t="shared" ref="N323:Q323" si="14">N320-N319</f>
        <v>#REF!</v>
      </c>
      <c r="O323" s="95" t="str">
        <f t="shared" si="14"/>
        <v>#REF!</v>
      </c>
      <c r="P323" s="95" t="str">
        <f t="shared" si="14"/>
        <v>#REF!</v>
      </c>
      <c r="Q323" s="95" t="str">
        <f t="shared" si="14"/>
        <v>#REF!</v>
      </c>
      <c r="R323" s="95"/>
      <c r="S323" s="95"/>
      <c r="T323" s="95"/>
      <c r="U323" s="95" t="str">
        <f t="shared" ref="U323:Z323" si="15">U320-U319</f>
        <v>#REF!</v>
      </c>
      <c r="V323" s="95" t="str">
        <f t="shared" si="15"/>
        <v>#REF!</v>
      </c>
      <c r="W323" s="95" t="str">
        <f t="shared" si="15"/>
        <v>#REF!</v>
      </c>
      <c r="X323" s="95" t="str">
        <f t="shared" si="15"/>
        <v>#REF!</v>
      </c>
      <c r="Y323" s="95">
        <f t="shared" si="15"/>
        <v>0</v>
      </c>
      <c r="Z323" s="95">
        <f t="shared" si="15"/>
        <v>0</v>
      </c>
      <c r="AA323" s="95"/>
      <c r="AB323" s="95" t="str">
        <f t="shared" ref="AB323:AD323" si="16">AB320-AB319</f>
        <v>#REF!</v>
      </c>
      <c r="AC323" s="95" t="str">
        <f t="shared" si="16"/>
        <v>#REF!</v>
      </c>
      <c r="AD323" s="95">
        <f t="shared" si="16"/>
        <v>0</v>
      </c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</row>
    <row r="324" ht="14.25" customHeight="1">
      <c r="A324" s="95"/>
      <c r="B324" s="95"/>
      <c r="C324" s="95"/>
      <c r="D324" s="95"/>
      <c r="E324" s="95"/>
      <c r="F324" s="95"/>
      <c r="G324" s="95" t="str">
        <f t="shared" ref="G324:J324" si="17">G322-G321</f>
        <v>#REF!</v>
      </c>
      <c r="H324" s="95" t="str">
        <f t="shared" si="17"/>
        <v>#REF!</v>
      </c>
      <c r="I324" s="95" t="str">
        <f t="shared" si="17"/>
        <v>#REF!</v>
      </c>
      <c r="J324" s="95" t="str">
        <f t="shared" si="17"/>
        <v>#REF!</v>
      </c>
      <c r="K324" s="95"/>
      <c r="L324" s="95"/>
      <c r="M324" s="95"/>
      <c r="N324" s="95" t="str">
        <f t="shared" ref="N324:Q324" si="18">N322-N321</f>
        <v>#REF!</v>
      </c>
      <c r="O324" s="95" t="str">
        <f t="shared" si="18"/>
        <v>#REF!</v>
      </c>
      <c r="P324" s="95" t="str">
        <f t="shared" si="18"/>
        <v>#REF!</v>
      </c>
      <c r="Q324" s="95" t="str">
        <f t="shared" si="18"/>
        <v>#REF!</v>
      </c>
      <c r="R324" s="95"/>
      <c r="S324" s="95"/>
      <c r="T324" s="95"/>
      <c r="U324" s="95" t="str">
        <f t="shared" ref="U324:Z324" si="19">U322-U321</f>
        <v>#REF!</v>
      </c>
      <c r="V324" s="95" t="str">
        <f t="shared" si="19"/>
        <v>#REF!</v>
      </c>
      <c r="W324" s="95" t="str">
        <f t="shared" si="19"/>
        <v>#REF!</v>
      </c>
      <c r="X324" s="95" t="str">
        <f t="shared" si="19"/>
        <v>#REF!</v>
      </c>
      <c r="Y324" s="95">
        <f t="shared" si="19"/>
        <v>-112000</v>
      </c>
      <c r="Z324" s="95">
        <f t="shared" si="19"/>
        <v>0</v>
      </c>
      <c r="AA324" s="95"/>
      <c r="AB324" s="95" t="str">
        <f t="shared" ref="AB324:AD324" si="20">AB322-AB321</f>
        <v>#REF!</v>
      </c>
      <c r="AC324" s="95" t="str">
        <f t="shared" si="20"/>
        <v>#REF!</v>
      </c>
      <c r="AD324" s="95">
        <f t="shared" si="20"/>
        <v>0</v>
      </c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</row>
    <row r="325" ht="14.25" customHeight="1">
      <c r="A325" s="95" t="s">
        <v>379</v>
      </c>
      <c r="B325" s="95"/>
      <c r="C325" s="95"/>
      <c r="D325" s="95"/>
      <c r="E325" s="95"/>
      <c r="F325" s="95"/>
      <c r="G325" s="95" t="str">
        <f t="shared" ref="G325:J325" si="21">#REF!</f>
        <v>#REF!</v>
      </c>
      <c r="H325" s="95" t="str">
        <f t="shared" si="21"/>
        <v>#REF!</v>
      </c>
      <c r="I325" s="95" t="str">
        <f t="shared" si="21"/>
        <v>#REF!</v>
      </c>
      <c r="J325" s="95" t="str">
        <f t="shared" si="21"/>
        <v>#REF!</v>
      </c>
      <c r="K325" s="95"/>
      <c r="L325" s="95"/>
      <c r="M325" s="95"/>
      <c r="N325" s="95" t="str">
        <f t="shared" ref="N325:Q325" si="22">#REF!</f>
        <v>#REF!</v>
      </c>
      <c r="O325" s="95" t="str">
        <f t="shared" si="22"/>
        <v>#REF!</v>
      </c>
      <c r="P325" s="95" t="str">
        <f t="shared" si="22"/>
        <v>#REF!</v>
      </c>
      <c r="Q325" s="95" t="str">
        <f t="shared" si="22"/>
        <v>#REF!</v>
      </c>
      <c r="R325" s="95"/>
      <c r="S325" s="95"/>
      <c r="T325" s="95"/>
      <c r="U325" s="95" t="str">
        <f t="shared" ref="U325:X325" si="23">#REF!</f>
        <v>#REF!</v>
      </c>
      <c r="V325" s="95" t="str">
        <f t="shared" si="23"/>
        <v>#REF!</v>
      </c>
      <c r="W325" s="95" t="str">
        <f t="shared" si="23"/>
        <v>#REF!</v>
      </c>
      <c r="X325" s="95" t="str">
        <f t="shared" si="23"/>
        <v>#REF!</v>
      </c>
      <c r="Y325" s="95"/>
      <c r="Z325" s="95"/>
      <c r="AA325" s="95"/>
      <c r="AB325" s="95" t="str">
        <f t="shared" ref="AB325:AC325" si="24">#REF!</f>
        <v>#REF!</v>
      </c>
      <c r="AC325" s="95" t="str">
        <f t="shared" si="24"/>
        <v>#REF!</v>
      </c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</row>
    <row r="326" ht="14.25" customHeight="1">
      <c r="A326" s="95"/>
      <c r="B326" s="95"/>
      <c r="C326" s="95"/>
      <c r="D326" s="95"/>
      <c r="E326" s="95"/>
      <c r="F326" s="95"/>
      <c r="G326" s="95" t="str">
        <f t="shared" ref="G326:J326" si="25">G323-G325</f>
        <v>#REF!</v>
      </c>
      <c r="H326" s="95" t="str">
        <f t="shared" si="25"/>
        <v>#REF!</v>
      </c>
      <c r="I326" s="95" t="str">
        <f t="shared" si="25"/>
        <v>#REF!</v>
      </c>
      <c r="J326" s="95" t="str">
        <f t="shared" si="25"/>
        <v>#REF!</v>
      </c>
      <c r="K326" s="95"/>
      <c r="L326" s="95"/>
      <c r="M326" s="95"/>
      <c r="N326" s="95" t="str">
        <f t="shared" ref="N326:Q326" si="26">N323-N325</f>
        <v>#REF!</v>
      </c>
      <c r="O326" s="95" t="str">
        <f t="shared" si="26"/>
        <v>#REF!</v>
      </c>
      <c r="P326" s="95" t="str">
        <f t="shared" si="26"/>
        <v>#REF!</v>
      </c>
      <c r="Q326" s="95" t="str">
        <f t="shared" si="26"/>
        <v>#REF!</v>
      </c>
      <c r="R326" s="95"/>
      <c r="S326" s="95"/>
      <c r="T326" s="95"/>
      <c r="U326" s="95" t="str">
        <f t="shared" ref="U326:Z326" si="27">U323-U325</f>
        <v>#REF!</v>
      </c>
      <c r="V326" s="95" t="str">
        <f t="shared" si="27"/>
        <v>#REF!</v>
      </c>
      <c r="W326" s="95" t="str">
        <f t="shared" si="27"/>
        <v>#REF!</v>
      </c>
      <c r="X326" s="95" t="str">
        <f t="shared" si="27"/>
        <v>#REF!</v>
      </c>
      <c r="Y326" s="95">
        <f t="shared" si="27"/>
        <v>0</v>
      </c>
      <c r="Z326" s="95">
        <f t="shared" si="27"/>
        <v>0</v>
      </c>
      <c r="AA326" s="95"/>
      <c r="AB326" s="95" t="str">
        <f t="shared" ref="AB326:AC326" si="28">AB323-AB325</f>
        <v>#REF!</v>
      </c>
      <c r="AC326" s="95" t="str">
        <f t="shared" si="28"/>
        <v>#REF!</v>
      </c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511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</row>
    <row r="359" ht="14.25" customHeight="1"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</row>
    <row r="360" ht="14.25" customHeight="1"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</row>
    <row r="361" ht="14.25" customHeight="1"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</row>
    <row r="362" ht="14.25" customHeight="1"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</row>
    <row r="363" ht="14.25" customHeight="1"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</row>
    <row r="364" ht="14.25" customHeight="1"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</row>
    <row r="365" ht="14.25" customHeight="1"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</row>
    <row r="366" ht="14.25" customHeight="1"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</row>
    <row r="367" ht="14.25" customHeight="1"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</row>
    <row r="368" ht="14.25" customHeight="1"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</row>
    <row r="369" ht="14.25" customHeight="1"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</row>
    <row r="370" ht="14.25" customHeight="1"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</row>
    <row r="371" ht="14.25" customHeight="1"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</row>
    <row r="372" ht="14.25" customHeight="1"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</row>
    <row r="373" ht="14.25" customHeight="1"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</row>
    <row r="374" ht="14.25" customHeight="1"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</row>
    <row r="375" ht="14.25" customHeight="1"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</row>
    <row r="376" ht="14.25" customHeight="1"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</row>
    <row r="377" ht="14.25" customHeight="1"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</row>
    <row r="378" ht="14.25" customHeight="1"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</row>
    <row r="379" ht="14.25" customHeight="1"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</row>
    <row r="380" ht="14.25" customHeight="1"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</row>
    <row r="381" ht="14.25" customHeight="1"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</row>
    <row r="382" ht="14.25" customHeight="1"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</row>
    <row r="383" ht="14.25" customHeight="1"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</row>
    <row r="384" ht="14.25" customHeight="1"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</row>
    <row r="385" ht="14.25" customHeight="1"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</row>
    <row r="386" ht="14.25" customHeight="1"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</row>
    <row r="387" ht="14.25" customHeight="1"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</row>
    <row r="388" ht="14.25" customHeight="1"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</row>
    <row r="389" ht="14.25" customHeight="1"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</row>
    <row r="390" ht="14.25" customHeight="1"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</row>
    <row r="391" ht="14.25" customHeight="1"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</row>
    <row r="392" ht="14.25" customHeight="1"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</row>
    <row r="393" ht="14.25" customHeight="1"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</row>
    <row r="394" ht="14.25" customHeight="1"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</row>
    <row r="395" ht="14.25" customHeight="1"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</row>
    <row r="396" ht="14.25" customHeight="1"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</row>
    <row r="397" ht="14.25" customHeight="1"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</row>
    <row r="398" ht="14.25" customHeight="1"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</row>
    <row r="399" ht="14.25" customHeight="1"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</row>
    <row r="400" ht="14.25" customHeight="1"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</row>
    <row r="401" ht="14.25" customHeight="1"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</row>
    <row r="402" ht="14.25" customHeight="1"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</row>
    <row r="403" ht="14.25" customHeight="1"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</row>
    <row r="404" ht="14.25" customHeight="1"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</row>
    <row r="405" ht="14.25" customHeight="1"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</row>
    <row r="406" ht="14.25" customHeight="1"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</row>
    <row r="407" ht="14.25" customHeight="1"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</row>
    <row r="408" ht="14.25" customHeight="1"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</row>
    <row r="409" ht="14.25" customHeight="1"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</row>
    <row r="410" ht="14.25" customHeight="1"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</row>
    <row r="411" ht="14.25" customHeight="1"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</row>
    <row r="412" ht="14.25" customHeight="1"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</row>
    <row r="413" ht="14.25" customHeight="1"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</row>
    <row r="414" ht="14.25" customHeight="1"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</row>
    <row r="415" ht="14.25" customHeight="1"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</row>
    <row r="416" ht="14.25" customHeight="1"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</row>
    <row r="417" ht="14.25" customHeight="1"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</row>
    <row r="418" ht="14.25" customHeight="1"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</row>
    <row r="419" ht="14.25" customHeight="1"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</row>
    <row r="420" ht="14.25" customHeight="1"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</row>
    <row r="421" ht="14.25" customHeight="1"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</row>
    <row r="422" ht="14.25" customHeight="1"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</row>
    <row r="423" ht="14.25" customHeight="1"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</row>
    <row r="424" ht="14.25" customHeight="1"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</row>
    <row r="425" ht="14.25" customHeight="1"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</row>
    <row r="426" ht="14.25" customHeight="1"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</row>
    <row r="427" ht="14.25" customHeight="1"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</row>
    <row r="428" ht="14.25" customHeight="1"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</row>
    <row r="429" ht="14.25" customHeight="1"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</row>
    <row r="430" ht="14.25" customHeight="1"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</row>
    <row r="431" ht="14.25" customHeight="1"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</row>
    <row r="432" ht="14.25" customHeight="1"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</row>
    <row r="433" ht="14.25" customHeight="1"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</row>
    <row r="434" ht="14.25" customHeight="1"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</row>
    <row r="435" ht="14.25" customHeight="1"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</row>
    <row r="436" ht="14.25" customHeight="1"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</row>
    <row r="437" ht="14.25" customHeight="1"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</row>
    <row r="438" ht="14.25" customHeight="1"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</row>
    <row r="439" ht="14.25" customHeight="1"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</row>
    <row r="440" ht="14.25" customHeight="1"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</row>
    <row r="441" ht="14.25" customHeight="1"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</row>
    <row r="442" ht="14.25" customHeight="1"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</row>
    <row r="443" ht="14.25" customHeight="1"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</row>
    <row r="444" ht="14.25" customHeight="1"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</row>
    <row r="445" ht="14.25" customHeight="1"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</row>
    <row r="446" ht="14.25" customHeight="1"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</row>
    <row r="447" ht="14.25" customHeight="1"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</row>
    <row r="448" ht="14.25" customHeight="1"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</row>
    <row r="449" ht="14.25" customHeight="1"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</row>
    <row r="450" ht="14.25" customHeight="1"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</row>
    <row r="451" ht="14.25" customHeight="1"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</row>
    <row r="452" ht="14.25" customHeight="1"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</row>
    <row r="453" ht="14.25" customHeight="1"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</row>
    <row r="454" ht="14.25" customHeight="1"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</row>
    <row r="455" ht="14.25" customHeight="1"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</row>
    <row r="456" ht="14.25" customHeight="1"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</row>
    <row r="457" ht="14.25" customHeight="1"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</row>
    <row r="458" ht="14.25" customHeight="1"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</row>
    <row r="459" ht="14.25" customHeight="1"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</row>
    <row r="460" ht="14.25" customHeight="1"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</row>
    <row r="461" ht="14.25" customHeight="1"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</row>
    <row r="462" ht="14.25" customHeight="1"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</row>
    <row r="463" ht="14.25" customHeight="1"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</row>
    <row r="464" ht="14.25" customHeight="1"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</row>
    <row r="465" ht="14.25" customHeight="1"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</row>
    <row r="466" ht="14.25" customHeight="1"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</row>
    <row r="467" ht="14.25" customHeight="1"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</row>
    <row r="468" ht="14.25" customHeight="1"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</row>
    <row r="469" ht="14.25" customHeight="1"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</row>
    <row r="470" ht="14.25" customHeight="1"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</row>
    <row r="471" ht="14.25" customHeight="1"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</row>
    <row r="472" ht="14.25" customHeight="1"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</row>
    <row r="473" ht="14.25" customHeight="1"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</row>
    <row r="474" ht="14.25" customHeight="1"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</row>
    <row r="475" ht="14.25" customHeight="1"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</row>
    <row r="476" ht="14.25" customHeight="1"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</row>
    <row r="477" ht="14.25" customHeight="1"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</row>
    <row r="478" ht="14.25" customHeight="1"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</row>
    <row r="479" ht="14.25" customHeight="1"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</row>
    <row r="480" ht="14.25" customHeight="1"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</row>
    <row r="481" ht="14.25" customHeight="1"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</row>
    <row r="482" ht="14.25" customHeight="1"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</row>
    <row r="483" ht="14.25" customHeight="1"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</row>
    <row r="484" ht="14.25" customHeight="1"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</row>
    <row r="485" ht="14.25" customHeight="1"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</row>
    <row r="486" ht="14.25" customHeight="1"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</row>
    <row r="487" ht="14.25" customHeight="1"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</row>
    <row r="488" ht="14.25" customHeight="1"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</row>
    <row r="489" ht="14.25" customHeight="1"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</row>
    <row r="490" ht="14.25" customHeight="1"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</row>
    <row r="491" ht="14.25" customHeight="1"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</row>
    <row r="492" ht="14.25" customHeight="1"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</row>
    <row r="493" ht="14.25" customHeight="1"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</row>
    <row r="494" ht="14.25" customHeight="1"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</row>
    <row r="495" ht="14.25" customHeight="1"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</row>
    <row r="496" ht="14.25" customHeight="1"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</row>
    <row r="497" ht="14.25" customHeight="1"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</row>
    <row r="498" ht="14.25" customHeight="1"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</row>
    <row r="499" ht="14.25" customHeight="1"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</row>
    <row r="500" ht="14.25" customHeight="1"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</row>
    <row r="501" ht="14.25" customHeight="1"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</row>
    <row r="502" ht="14.25" customHeight="1"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</row>
    <row r="503" ht="14.25" customHeight="1"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</row>
    <row r="504" ht="14.25" customHeight="1"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</row>
    <row r="505" ht="14.25" customHeight="1"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</row>
    <row r="506" ht="14.25" customHeight="1"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</row>
    <row r="507" ht="14.25" customHeight="1"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</row>
    <row r="508" ht="14.25" customHeight="1"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</row>
    <row r="509" ht="14.25" customHeight="1"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</row>
    <row r="510" ht="14.25" customHeight="1"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</row>
    <row r="511" ht="14.25" customHeight="1"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</row>
    <row r="512" ht="14.25" customHeight="1"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</row>
    <row r="513" ht="14.25" customHeight="1"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</row>
    <row r="514" ht="14.25" customHeight="1"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</row>
    <row r="515" ht="14.25" customHeight="1"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</row>
    <row r="516" ht="14.25" customHeight="1"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</row>
    <row r="517" ht="14.25" customHeight="1"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</row>
    <row r="518" ht="14.25" customHeight="1"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</row>
    <row r="519" ht="14.25" customHeight="1"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</row>
    <row r="520" ht="14.25" customHeight="1"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</row>
    <row r="521" ht="14.25" customHeight="1"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</row>
    <row r="522" ht="14.25" customHeight="1"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</row>
    <row r="523" ht="14.25" customHeight="1"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</row>
    <row r="524" ht="14.25" customHeight="1"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</row>
    <row r="525" ht="14.25" customHeight="1"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</row>
    <row r="526" ht="14.25" customHeight="1"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</row>
    <row r="527" ht="14.25" customHeight="1"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</row>
    <row r="528" ht="14.25" customHeight="1"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</row>
    <row r="529" ht="14.25" customHeight="1"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</row>
    <row r="530" ht="14.25" customHeight="1"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</row>
    <row r="531" ht="14.25" customHeight="1"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</row>
    <row r="532" ht="14.25" customHeight="1"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</row>
    <row r="533" ht="14.25" customHeight="1"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</row>
    <row r="534" ht="14.25" customHeight="1"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</row>
    <row r="535" ht="14.25" customHeight="1"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</row>
    <row r="536" ht="14.25" customHeight="1"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</row>
    <row r="537" ht="14.25" customHeight="1"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</row>
    <row r="538" ht="14.25" customHeight="1"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</row>
    <row r="539" ht="14.25" customHeight="1"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</row>
    <row r="540" ht="14.25" customHeight="1"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</row>
    <row r="541" ht="14.25" customHeight="1"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</row>
    <row r="542" ht="14.25" customHeight="1"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</row>
    <row r="543" ht="14.25" customHeight="1"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</row>
    <row r="544" ht="14.25" customHeight="1"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</row>
    <row r="545" ht="14.25" customHeight="1"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</row>
    <row r="546" ht="14.25" customHeight="1"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</row>
    <row r="547" ht="14.25" customHeight="1"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</row>
    <row r="548" ht="14.25" customHeight="1"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</row>
    <row r="549" ht="14.25" customHeight="1"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</row>
    <row r="550" ht="14.25" customHeight="1"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</row>
    <row r="551" ht="14.25" customHeight="1"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</row>
    <row r="552" ht="14.25" customHeight="1"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</row>
    <row r="553" ht="14.25" customHeight="1"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</row>
    <row r="554" ht="14.25" customHeight="1"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</row>
    <row r="555" ht="14.25" customHeight="1"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</row>
    <row r="556" ht="14.25" customHeight="1"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</row>
    <row r="557" ht="14.25" customHeight="1"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</row>
    <row r="558" ht="14.25" customHeight="1"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</row>
    <row r="559" ht="14.25" customHeight="1"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</row>
    <row r="560" ht="14.25" customHeight="1"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</row>
    <row r="561" ht="14.25" customHeight="1"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</row>
    <row r="562" ht="14.25" customHeight="1"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</row>
    <row r="563" ht="14.25" customHeight="1"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</row>
    <row r="564" ht="14.25" customHeight="1"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</row>
    <row r="565" ht="14.25" customHeight="1"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</row>
    <row r="566" ht="14.25" customHeight="1"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</row>
    <row r="567" ht="14.25" customHeight="1"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</row>
    <row r="568" ht="14.25" customHeight="1"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</row>
    <row r="569" ht="14.25" customHeight="1"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</row>
    <row r="570" ht="14.25" customHeight="1"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</row>
    <row r="571" ht="14.25" customHeight="1"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</row>
    <row r="572" ht="14.25" customHeight="1"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</row>
    <row r="573" ht="14.25" customHeight="1"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</row>
    <row r="574" ht="14.25" customHeight="1"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</row>
    <row r="575" ht="14.25" customHeight="1"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</row>
    <row r="576" ht="14.25" customHeight="1"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</row>
    <row r="577" ht="14.25" customHeight="1"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</row>
    <row r="578" ht="14.25" customHeight="1"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</row>
    <row r="579" ht="14.25" customHeight="1"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</row>
    <row r="580" ht="14.25" customHeight="1"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</row>
    <row r="581" ht="14.25" customHeight="1"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</row>
    <row r="582" ht="14.25" customHeight="1"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</row>
    <row r="583" ht="14.25" customHeight="1"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</row>
    <row r="584" ht="14.25" customHeight="1"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</row>
    <row r="585" ht="14.25" customHeight="1"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</row>
    <row r="586" ht="14.25" customHeight="1"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</row>
    <row r="587" ht="14.25" customHeight="1"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</row>
    <row r="588" ht="14.25" customHeight="1"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</row>
    <row r="589" ht="14.25" customHeight="1"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</row>
    <row r="590" ht="14.25" customHeight="1"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</row>
    <row r="591" ht="14.25" customHeight="1"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</row>
    <row r="592" ht="14.25" customHeight="1"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</row>
    <row r="593" ht="14.25" customHeight="1"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</row>
    <row r="594" ht="14.25" customHeight="1"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</row>
    <row r="595" ht="14.25" customHeight="1"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</row>
    <row r="596" ht="14.25" customHeight="1"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</row>
    <row r="597" ht="14.25" customHeight="1"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</row>
    <row r="598" ht="14.25" customHeight="1"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</row>
    <row r="599" ht="14.25" customHeight="1"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</row>
    <row r="600" ht="14.25" customHeight="1"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</row>
    <row r="601" ht="14.25" customHeight="1"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</row>
    <row r="602" ht="14.25" customHeight="1"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</row>
    <row r="603" ht="14.25" customHeight="1"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</row>
    <row r="604" ht="14.25" customHeight="1"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</row>
    <row r="605" ht="14.25" customHeight="1"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</row>
    <row r="606" ht="14.25" customHeight="1"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</row>
    <row r="607" ht="14.25" customHeight="1"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</row>
    <row r="608" ht="14.25" customHeight="1"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</row>
    <row r="609" ht="14.25" customHeight="1"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</row>
    <row r="610" ht="14.25" customHeight="1"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</row>
    <row r="611" ht="14.25" customHeight="1"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</row>
    <row r="612" ht="14.25" customHeight="1"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</row>
    <row r="613" ht="14.25" customHeight="1"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</row>
    <row r="614" ht="14.25" customHeight="1"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</row>
    <row r="615" ht="14.25" customHeight="1"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</row>
    <row r="616" ht="14.25" customHeight="1"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</row>
    <row r="617" ht="14.25" customHeight="1"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</row>
    <row r="618" ht="14.25" customHeight="1"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</row>
    <row r="619" ht="14.25" customHeight="1"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</row>
    <row r="620" ht="14.25" customHeight="1"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</row>
    <row r="621" ht="14.25" customHeight="1"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</row>
    <row r="622" ht="14.25" customHeight="1"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</row>
    <row r="623" ht="14.25" customHeight="1"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</row>
    <row r="624" ht="14.25" customHeight="1"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</row>
    <row r="625" ht="14.25" customHeight="1"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</row>
    <row r="626" ht="14.25" customHeight="1"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</row>
    <row r="627" ht="14.25" customHeight="1"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</row>
    <row r="628" ht="14.25" customHeight="1"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</row>
    <row r="629" ht="14.25" customHeight="1"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</row>
    <row r="630" ht="14.25" customHeight="1"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</row>
    <row r="631" ht="14.25" customHeight="1"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</row>
    <row r="632" ht="14.25" customHeight="1"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</row>
    <row r="633" ht="14.25" customHeight="1"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</row>
    <row r="634" ht="14.25" customHeight="1"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</row>
    <row r="635" ht="14.25" customHeight="1"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</row>
    <row r="636" ht="14.25" customHeight="1"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</row>
    <row r="637" ht="14.25" customHeight="1"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</row>
    <row r="638" ht="14.25" customHeight="1"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</row>
    <row r="639" ht="14.25" customHeight="1"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</row>
    <row r="640" ht="14.25" customHeight="1"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</row>
    <row r="641" ht="14.25" customHeight="1"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</row>
    <row r="642" ht="14.25" customHeight="1"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</row>
    <row r="643" ht="14.25" customHeight="1"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</row>
    <row r="644" ht="14.25" customHeight="1"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</row>
    <row r="645" ht="14.25" customHeight="1"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</row>
    <row r="646" ht="14.25" customHeight="1"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</row>
    <row r="647" ht="14.25" customHeight="1"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</row>
    <row r="648" ht="14.25" customHeight="1"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</row>
    <row r="649" ht="14.25" customHeight="1"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</row>
    <row r="650" ht="14.25" customHeight="1"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</row>
    <row r="651" ht="14.25" customHeight="1"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</row>
    <row r="652" ht="14.25" customHeight="1"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</row>
    <row r="653" ht="14.25" customHeight="1"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</row>
    <row r="654" ht="14.25" customHeight="1"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</row>
    <row r="655" ht="14.25" customHeight="1"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</row>
    <row r="656" ht="14.25" customHeight="1"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</row>
    <row r="657" ht="14.25" customHeight="1"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</row>
    <row r="658" ht="14.25" customHeight="1"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</row>
    <row r="659" ht="14.25" customHeight="1"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</row>
    <row r="660" ht="14.25" customHeight="1"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</row>
    <row r="661" ht="14.25" customHeight="1"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</row>
    <row r="662" ht="14.25" customHeight="1"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</row>
    <row r="663" ht="14.25" customHeight="1"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</row>
    <row r="664" ht="14.25" customHeight="1"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</row>
    <row r="665" ht="14.25" customHeight="1"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</row>
    <row r="666" ht="14.25" customHeight="1"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</row>
    <row r="667" ht="14.25" customHeight="1"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</row>
    <row r="668" ht="14.25" customHeight="1"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</row>
    <row r="669" ht="14.25" customHeight="1"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</row>
    <row r="670" ht="14.25" customHeight="1"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</row>
    <row r="671" ht="14.25" customHeight="1"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</row>
    <row r="672" ht="14.25" customHeight="1"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</row>
    <row r="673" ht="14.25" customHeight="1"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</row>
    <row r="674" ht="14.25" customHeight="1"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</row>
    <row r="675" ht="14.25" customHeight="1"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</row>
    <row r="676" ht="14.25" customHeight="1"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</row>
    <row r="677" ht="14.25" customHeight="1"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</row>
    <row r="678" ht="14.25" customHeight="1"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</row>
    <row r="679" ht="14.25" customHeight="1"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</row>
    <row r="680" ht="14.25" customHeight="1"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</row>
    <row r="681" ht="14.25" customHeight="1"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</row>
    <row r="682" ht="14.25" customHeight="1"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</row>
    <row r="683" ht="14.25" customHeight="1"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</row>
    <row r="684" ht="14.25" customHeight="1"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</row>
    <row r="685" ht="14.25" customHeight="1"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</row>
    <row r="686" ht="14.25" customHeight="1"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</row>
    <row r="687" ht="14.25" customHeight="1"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</row>
    <row r="688" ht="14.25" customHeight="1"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</row>
    <row r="689" ht="14.25" customHeight="1"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</row>
    <row r="690" ht="14.25" customHeight="1"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</row>
    <row r="691" ht="14.25" customHeight="1"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</row>
    <row r="692" ht="14.25" customHeight="1"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</row>
    <row r="693" ht="14.25" customHeight="1"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</row>
    <row r="694" ht="14.25" customHeight="1"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</row>
    <row r="695" ht="14.25" customHeight="1"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</row>
    <row r="696" ht="14.25" customHeight="1"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</row>
    <row r="697" ht="14.25" customHeight="1"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</row>
    <row r="698" ht="14.25" customHeight="1"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</row>
    <row r="699" ht="14.25" customHeight="1"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</row>
    <row r="700" ht="14.25" customHeight="1"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</row>
    <row r="701" ht="14.25" customHeight="1"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</row>
    <row r="702" ht="14.25" customHeight="1"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</row>
    <row r="703" ht="14.25" customHeight="1"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</row>
    <row r="704" ht="14.25" customHeight="1"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</row>
    <row r="705" ht="14.25" customHeight="1"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</row>
    <row r="706" ht="14.25" customHeight="1"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</row>
    <row r="707" ht="14.25" customHeight="1"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</row>
    <row r="708" ht="14.25" customHeight="1"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</row>
    <row r="709" ht="14.25" customHeight="1"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</row>
    <row r="710" ht="14.25" customHeight="1"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</row>
    <row r="711" ht="14.25" customHeight="1"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</row>
    <row r="712" ht="14.25" customHeight="1"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</row>
    <row r="713" ht="14.25" customHeight="1"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</row>
    <row r="714" ht="14.25" customHeight="1"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</row>
    <row r="715" ht="14.25" customHeight="1"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</row>
    <row r="716" ht="14.25" customHeight="1"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</row>
    <row r="717" ht="14.25" customHeight="1"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</row>
    <row r="718" ht="14.25" customHeight="1"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</row>
    <row r="719" ht="14.25" customHeight="1"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</row>
    <row r="720" ht="14.25" customHeight="1"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</row>
    <row r="721" ht="14.25" customHeight="1"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</row>
    <row r="722" ht="14.25" customHeight="1"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</row>
    <row r="723" ht="14.25" customHeight="1"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</row>
    <row r="724" ht="14.25" customHeight="1"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</row>
    <row r="725" ht="14.25" customHeight="1"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</row>
    <row r="726" ht="14.25" customHeight="1"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</row>
    <row r="727" ht="14.25" customHeight="1"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</row>
    <row r="728" ht="14.25" customHeight="1"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</row>
    <row r="729" ht="14.25" customHeight="1"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</row>
    <row r="730" ht="14.25" customHeight="1"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</row>
    <row r="731" ht="14.25" customHeight="1"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</row>
    <row r="732" ht="14.25" customHeight="1"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</row>
    <row r="733" ht="14.25" customHeight="1"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</row>
    <row r="734" ht="14.25" customHeight="1"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</row>
    <row r="735" ht="14.25" customHeight="1"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</row>
    <row r="736" ht="14.25" customHeight="1"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</row>
    <row r="737" ht="14.25" customHeight="1"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</row>
    <row r="738" ht="14.25" customHeight="1"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</row>
    <row r="739" ht="14.25" customHeight="1"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</row>
    <row r="740" ht="14.25" customHeight="1"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</row>
    <row r="741" ht="14.25" customHeight="1"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</row>
    <row r="742" ht="14.25" customHeight="1"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</row>
    <row r="743" ht="14.25" customHeight="1"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</row>
    <row r="744" ht="14.25" customHeight="1"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</row>
    <row r="745" ht="14.25" customHeight="1"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</row>
    <row r="746" ht="14.25" customHeight="1"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</row>
    <row r="747" ht="14.25" customHeight="1"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</row>
    <row r="748" ht="14.25" customHeight="1"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</row>
    <row r="749" ht="14.25" customHeight="1"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</row>
    <row r="750" ht="14.25" customHeight="1"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</row>
    <row r="751" ht="14.25" customHeight="1"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</row>
    <row r="752" ht="14.25" customHeight="1"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</row>
    <row r="753" ht="14.25" customHeight="1"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</row>
    <row r="754" ht="14.25" customHeight="1"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</row>
    <row r="755" ht="14.25" customHeight="1"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</row>
    <row r="756" ht="14.25" customHeight="1"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</row>
    <row r="757" ht="14.25" customHeight="1"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</row>
    <row r="758" ht="14.25" customHeight="1"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</row>
    <row r="759" ht="14.25" customHeight="1"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</row>
    <row r="760" ht="14.25" customHeight="1"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</row>
    <row r="761" ht="14.25" customHeight="1"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</row>
    <row r="762" ht="14.25" customHeight="1"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</row>
    <row r="763" ht="14.25" customHeight="1"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</row>
    <row r="764" ht="14.25" customHeight="1"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</row>
    <row r="765" ht="14.25" customHeight="1"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</row>
    <row r="766" ht="14.25" customHeight="1"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</row>
    <row r="767" ht="14.25" customHeight="1"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</row>
    <row r="768" ht="14.25" customHeight="1"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</row>
    <row r="769" ht="14.25" customHeight="1"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</row>
    <row r="770" ht="14.25" customHeight="1"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</row>
    <row r="771" ht="14.25" customHeight="1"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</row>
    <row r="772" ht="14.25" customHeight="1"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</row>
    <row r="773" ht="14.25" customHeight="1"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</row>
    <row r="774" ht="14.25" customHeight="1"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</row>
    <row r="775" ht="14.25" customHeight="1"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</row>
    <row r="776" ht="14.25" customHeight="1"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</row>
    <row r="777" ht="14.25" customHeight="1"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</row>
    <row r="778" ht="14.25" customHeight="1"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</row>
    <row r="779" ht="14.25" customHeight="1"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</row>
    <row r="780" ht="14.25" customHeight="1"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</row>
    <row r="781" ht="14.25" customHeight="1"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</row>
    <row r="782" ht="14.25" customHeight="1"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</row>
    <row r="783" ht="14.25" customHeight="1"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</row>
    <row r="784" ht="14.25" customHeight="1"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</row>
    <row r="785" ht="14.25" customHeight="1"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</row>
    <row r="786" ht="14.25" customHeight="1"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</row>
    <row r="787" ht="14.25" customHeight="1"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</row>
    <row r="788" ht="14.25" customHeight="1"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</row>
    <row r="789" ht="14.25" customHeight="1"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</row>
    <row r="790" ht="14.25" customHeight="1"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</row>
    <row r="791" ht="14.25" customHeight="1"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</row>
    <row r="792" ht="14.25" customHeight="1"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</row>
    <row r="793" ht="14.25" customHeight="1"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</row>
    <row r="794" ht="14.25" customHeight="1"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</row>
    <row r="795" ht="14.25" customHeight="1"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</row>
    <row r="796" ht="14.25" customHeight="1"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</row>
    <row r="797" ht="14.25" customHeight="1"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</row>
    <row r="798" ht="14.25" customHeight="1"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</row>
    <row r="799" ht="14.25" customHeight="1"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</row>
    <row r="800" ht="14.25" customHeight="1"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</row>
    <row r="801" ht="14.25" customHeight="1"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</row>
    <row r="802" ht="14.25" customHeight="1"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</row>
    <row r="803" ht="14.25" customHeight="1"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</row>
    <row r="804" ht="14.25" customHeight="1"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</row>
    <row r="805" ht="14.25" customHeight="1"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</row>
    <row r="806" ht="14.25" customHeight="1"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</row>
    <row r="807" ht="14.25" customHeight="1"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</row>
    <row r="808" ht="14.25" customHeight="1"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</row>
    <row r="809" ht="14.25" customHeight="1"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</row>
    <row r="810" ht="14.25" customHeight="1"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</row>
    <row r="811" ht="14.25" customHeight="1"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</row>
    <row r="812" ht="14.25" customHeight="1"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</row>
    <row r="813" ht="14.25" customHeight="1"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</row>
    <row r="814" ht="14.25" customHeight="1"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</row>
    <row r="815" ht="14.25" customHeight="1"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</row>
    <row r="816" ht="14.25" customHeight="1"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</row>
    <row r="817" ht="14.25" customHeight="1"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</row>
    <row r="818" ht="14.25" customHeight="1"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</row>
    <row r="819" ht="14.25" customHeight="1"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</row>
    <row r="820" ht="14.25" customHeight="1"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</row>
    <row r="821" ht="14.25" customHeight="1"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</row>
    <row r="822" ht="14.25" customHeight="1"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</row>
    <row r="823" ht="14.25" customHeight="1"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</row>
    <row r="824" ht="14.25" customHeight="1"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</row>
    <row r="825" ht="14.25" customHeight="1"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</row>
    <row r="826" ht="14.25" customHeight="1"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</row>
    <row r="827" ht="14.25" customHeight="1"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</row>
    <row r="828" ht="14.25" customHeight="1"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</row>
    <row r="829" ht="14.25" customHeight="1"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</row>
    <row r="830" ht="14.25" customHeight="1"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</row>
    <row r="831" ht="14.25" customHeight="1"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</row>
    <row r="832" ht="14.25" customHeight="1"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</row>
    <row r="833" ht="14.25" customHeight="1"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</row>
    <row r="834" ht="14.25" customHeight="1"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</row>
    <row r="835" ht="14.25" customHeight="1"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</row>
    <row r="836" ht="14.25" customHeight="1"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</row>
    <row r="837" ht="14.25" customHeight="1"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</row>
    <row r="838" ht="14.25" customHeight="1"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</row>
    <row r="839" ht="14.25" customHeight="1"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</row>
    <row r="840" ht="14.25" customHeight="1"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</row>
    <row r="841" ht="14.25" customHeight="1"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</row>
    <row r="842" ht="14.25" customHeight="1"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</row>
    <row r="843" ht="14.25" customHeight="1"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</row>
    <row r="844" ht="14.25" customHeight="1"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</row>
    <row r="845" ht="14.25" customHeight="1"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</row>
    <row r="846" ht="14.25" customHeight="1"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</row>
    <row r="847" ht="14.25" customHeight="1"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</row>
    <row r="848" ht="14.25" customHeight="1"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</row>
    <row r="849" ht="14.25" customHeight="1"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</row>
    <row r="850" ht="14.25" customHeight="1"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</row>
    <row r="851" ht="14.25" customHeight="1"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</row>
    <row r="852" ht="14.25" customHeight="1"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</row>
    <row r="853" ht="14.25" customHeight="1"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</row>
    <row r="854" ht="14.25" customHeight="1"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</row>
    <row r="855" ht="14.25" customHeight="1"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</row>
    <row r="856" ht="14.25" customHeight="1"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</row>
    <row r="857" ht="14.25" customHeight="1"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</row>
    <row r="858" ht="14.25" customHeight="1"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</row>
    <row r="859" ht="14.25" customHeight="1"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</row>
    <row r="860" ht="14.25" customHeight="1"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</row>
    <row r="861" ht="14.25" customHeight="1"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</row>
    <row r="862" ht="14.25" customHeight="1"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</row>
    <row r="863" ht="14.25" customHeight="1"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</row>
    <row r="864" ht="14.25" customHeight="1"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</row>
    <row r="865" ht="14.25" customHeight="1"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</row>
    <row r="866" ht="14.25" customHeight="1"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</row>
    <row r="867" ht="14.25" customHeight="1"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</row>
    <row r="868" ht="14.25" customHeight="1"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</row>
    <row r="869" ht="14.25" customHeight="1"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</row>
    <row r="870" ht="14.25" customHeight="1"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</row>
    <row r="871" ht="14.25" customHeight="1"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</row>
    <row r="872" ht="14.25" customHeight="1"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</row>
    <row r="873" ht="14.25" customHeight="1"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</row>
    <row r="874" ht="14.25" customHeight="1"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</row>
    <row r="875" ht="14.25" customHeight="1"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</row>
    <row r="876" ht="14.25" customHeight="1"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</row>
    <row r="877" ht="14.25" customHeight="1"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</row>
    <row r="878" ht="14.25" customHeight="1"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</row>
    <row r="879" ht="14.25" customHeight="1"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</row>
    <row r="880" ht="14.25" customHeight="1"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</row>
    <row r="881" ht="14.25" customHeight="1"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</row>
    <row r="882" ht="14.25" customHeight="1"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</row>
    <row r="883" ht="14.25" customHeight="1"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</row>
    <row r="884" ht="14.25" customHeight="1"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</row>
    <row r="885" ht="14.25" customHeight="1"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</row>
    <row r="886" ht="14.25" customHeight="1"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</row>
    <row r="887" ht="14.25" customHeight="1"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</row>
    <row r="888" ht="14.25" customHeight="1"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</row>
    <row r="889" ht="14.25" customHeight="1"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</row>
    <row r="890" ht="14.25" customHeight="1"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</row>
    <row r="891" ht="14.25" customHeight="1"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</row>
    <row r="892" ht="14.25" customHeight="1"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</row>
    <row r="893" ht="14.25" customHeight="1"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</row>
    <row r="894" ht="14.25" customHeight="1"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</row>
    <row r="895" ht="14.25" customHeight="1"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</row>
    <row r="896" ht="14.25" customHeight="1"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</row>
    <row r="897" ht="14.25" customHeight="1"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</row>
    <row r="898" ht="14.25" customHeight="1"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</row>
    <row r="899" ht="14.25" customHeight="1"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</row>
    <row r="900" ht="14.25" customHeight="1"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</row>
    <row r="901" ht="14.25" customHeight="1"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</row>
    <row r="902" ht="14.25" customHeight="1"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</row>
    <row r="903" ht="14.25" customHeight="1"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</row>
    <row r="904" ht="14.25" customHeight="1"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</row>
    <row r="905" ht="14.25" customHeight="1"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</row>
    <row r="906" ht="14.25" customHeight="1"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</row>
    <row r="907" ht="14.25" customHeight="1"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</row>
    <row r="908" ht="14.25" customHeight="1"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</row>
    <row r="909" ht="14.25" customHeight="1"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</row>
    <row r="910" ht="14.25" customHeight="1"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</row>
    <row r="911" ht="14.25" customHeight="1"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</row>
    <row r="912" ht="14.25" customHeight="1"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</row>
    <row r="913" ht="14.25" customHeight="1"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</row>
    <row r="914" ht="14.25" customHeight="1"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</row>
    <row r="915" ht="14.25" customHeight="1"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</row>
    <row r="916" ht="14.25" customHeight="1"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</row>
    <row r="917" ht="14.25" customHeight="1"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</row>
    <row r="918" ht="14.25" customHeight="1"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</row>
    <row r="919" ht="14.25" customHeight="1"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</row>
    <row r="920" ht="14.25" customHeight="1"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</row>
    <row r="921" ht="14.25" customHeight="1"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</row>
    <row r="922" ht="14.25" customHeight="1"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</row>
    <row r="923" ht="14.25" customHeight="1"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</row>
    <row r="924" ht="14.25" customHeight="1"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</row>
    <row r="925" ht="14.25" customHeight="1"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</row>
    <row r="926" ht="14.25" customHeight="1"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</row>
    <row r="927" ht="14.25" customHeight="1"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</row>
    <row r="928" ht="14.25" customHeight="1"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</row>
    <row r="929" ht="14.25" customHeight="1"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</row>
    <row r="930" ht="14.25" customHeight="1"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</row>
    <row r="931" ht="14.25" customHeight="1"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</row>
    <row r="932" ht="14.25" customHeight="1"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</row>
    <row r="933" ht="14.25" customHeight="1"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</row>
    <row r="934" ht="14.25" customHeight="1"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</row>
    <row r="935" ht="14.25" customHeight="1"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</row>
    <row r="936" ht="14.25" customHeight="1"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</row>
    <row r="937" ht="14.25" customHeight="1"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</row>
    <row r="938" ht="14.25" customHeight="1"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</row>
    <row r="939" ht="14.25" customHeight="1"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</row>
    <row r="940" ht="14.25" customHeight="1"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</row>
    <row r="941" ht="14.25" customHeight="1"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</row>
    <row r="942" ht="14.25" customHeight="1"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</row>
    <row r="943" ht="14.25" customHeight="1"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</row>
    <row r="944" ht="14.25" customHeight="1"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</row>
    <row r="945" ht="14.25" customHeight="1"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</row>
    <row r="946" ht="14.25" customHeight="1"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</row>
    <row r="947" ht="14.25" customHeight="1"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</row>
    <row r="948" ht="14.25" customHeight="1"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</row>
    <row r="949" ht="14.25" customHeight="1"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</row>
    <row r="950" ht="14.25" customHeight="1"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</row>
    <row r="951" ht="14.25" customHeight="1"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</row>
    <row r="952" ht="14.25" customHeight="1"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</row>
    <row r="953" ht="14.25" customHeight="1"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</row>
    <row r="954" ht="14.25" customHeight="1"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</row>
    <row r="955" ht="14.25" customHeight="1"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</row>
    <row r="956" ht="14.25" customHeight="1"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</row>
    <row r="957" ht="14.25" customHeight="1"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</row>
    <row r="958" ht="14.25" customHeight="1"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</row>
    <row r="959" ht="14.25" customHeight="1"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</row>
    <row r="960" ht="14.25" customHeight="1"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</row>
    <row r="961" ht="14.25" customHeight="1"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</row>
    <row r="962" ht="14.25" customHeight="1"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</row>
    <row r="963" ht="14.25" customHeight="1"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</row>
    <row r="964" ht="14.25" customHeight="1"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</row>
    <row r="965" ht="14.25" customHeight="1"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</row>
    <row r="966" ht="14.25" customHeight="1"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</row>
    <row r="967" ht="14.25" customHeight="1"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</row>
    <row r="968" ht="14.25" customHeight="1"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</row>
    <row r="969" ht="14.25" customHeight="1"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</row>
    <row r="970" ht="14.25" customHeight="1"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</row>
    <row r="971" ht="14.25" customHeight="1"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</row>
    <row r="972" ht="14.25" customHeight="1"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</row>
    <row r="973" ht="14.25" customHeight="1"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</row>
    <row r="974" ht="14.25" customHeight="1"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</row>
    <row r="975" ht="14.25" customHeight="1"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</row>
    <row r="976" ht="14.25" customHeight="1"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</row>
    <row r="977" ht="14.25" customHeight="1"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</row>
    <row r="978" ht="14.25" customHeight="1"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</row>
    <row r="979" ht="14.25" customHeight="1"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</row>
    <row r="980" ht="14.25" customHeight="1"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</row>
    <row r="981" ht="14.25" customHeight="1"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</row>
    <row r="982" ht="14.25" customHeight="1"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</row>
    <row r="983" ht="14.25" customHeight="1"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</row>
    <row r="984" ht="14.25" customHeight="1"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</row>
    <row r="985" ht="14.25" customHeight="1"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</row>
    <row r="986" ht="14.25" customHeight="1"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</row>
    <row r="987" ht="14.25" customHeight="1"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</row>
    <row r="988" ht="14.25" customHeight="1"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</row>
    <row r="989" ht="14.25" customHeight="1"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</row>
    <row r="990" ht="14.25" customHeight="1"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</row>
    <row r="991" ht="14.25" customHeight="1"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</row>
    <row r="992" ht="14.25" customHeight="1"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</row>
    <row r="993" ht="14.25" customHeight="1"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</row>
    <row r="994" ht="14.25" customHeight="1"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</row>
    <row r="995" ht="14.25" customHeight="1"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</row>
    <row r="996" ht="14.25" customHeight="1"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</row>
    <row r="997" ht="14.25" customHeight="1"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</row>
    <row r="998" ht="14.25" customHeight="1"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</row>
    <row r="999" ht="14.25" customHeight="1"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</row>
    <row r="1000" ht="14.25" customHeight="1"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</row>
  </sheetData>
  <autoFilter ref="$B$2:$AN$358"/>
  <printOptions/>
  <pageMargins bottom="0.75" footer="0.0" header="0.0" left="0.7" right="0.7" top="0.75"/>
  <pageSetup paperSize="9" orientation="portrait"/>
  <drawing r:id="rId1"/>
</worksheet>
</file>